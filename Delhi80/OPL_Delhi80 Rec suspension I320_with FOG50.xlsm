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8.xml" ContentType="application/vnd.openxmlformats-officedocument.spreadsheetml.chartsheet+xml"/>
  <Override PartName="/xl/worksheets/sheet9.xml" ContentType="application/vnd.openxmlformats-officedocument.spreadsheetml.work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charts/chart18.xml" ContentType="application/vnd.openxmlformats-officedocument.drawingml.chart+xml"/>
  <Override PartName="/xl/drawings/drawing17.xml" ContentType="application/vnd.openxmlformats-officedocument.drawing+xml"/>
  <Override PartName="/xl/charts/chart19.xml" ContentType="application/vnd.openxmlformats-officedocument.drawingml.chart+xml"/>
  <Override PartName="/xl/drawings/drawing18.xml" ContentType="application/vnd.openxmlformats-officedocument.drawing+xml"/>
  <Override PartName="/xl/charts/chart20.xml" ContentType="application/vnd.openxmlformats-officedocument.drawingml.chart+xml"/>
  <Override PartName="/xl/drawings/drawing19.xml" ContentType="application/vnd.openxmlformats-officedocument.drawing+xml"/>
  <Override PartName="/xl/charts/chart21.xml" ContentType="application/vnd.openxmlformats-officedocument.drawingml.chart+xml"/>
  <Override PartName="/xl/drawings/drawing20.xml" ContentType="application/vnd.openxmlformats-officedocument.drawing+xml"/>
  <Override PartName="/xl/charts/chart2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2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2.xml" ContentType="application/vnd.openxmlformats-officedocument.drawing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3.xml" ContentType="application/vnd.openxmlformats-officedocument.drawing+xml"/>
  <Override PartName="/xl/charts/chart2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4.xml" ContentType="application/vnd.openxmlformats-officedocument.drawing+xml"/>
  <Override PartName="/xl/charts/chart2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5.xml" ContentType="application/vnd.openxmlformats-officedocument.drawing+xml"/>
  <Override PartName="/xl/charts/chart27.xml" ContentType="application/vnd.openxmlformats-officedocument.drawingml.chart+xml"/>
  <Override PartName="/xl/drawings/drawing2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drawings/drawing29.xml" ContentType="application/vnd.openxmlformats-officedocument.drawing+xml"/>
  <Override PartName="/xl/charts/chart39.xml" ContentType="application/vnd.openxmlformats-officedocument.drawingml.chart+xml"/>
  <Override PartName="/xl/drawings/drawing30.xml" ContentType="application/vnd.openxmlformats-officedocument.drawing+xml"/>
  <Override PartName="/xl/charts/chart40.xml" ContentType="application/vnd.openxmlformats-officedocument.drawingml.chart+xml"/>
  <Override PartName="/xl/drawings/drawing31.xml" ContentType="application/vnd.openxmlformats-officedocument.drawing+xml"/>
  <Override PartName="/xl/charts/chart41.xml" ContentType="application/vnd.openxmlformats-officedocument.drawingml.chart+xml"/>
  <Override PartName="/xl/drawings/drawing32.xml" ContentType="application/vnd.openxmlformats-officedocument.drawing+xml"/>
  <Override PartName="/xl/charts/chart42.xml" ContentType="application/vnd.openxmlformats-officedocument.drawingml.chart+xml"/>
  <Override PartName="/xl/drawings/drawing3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undCheck 15.0-x64\data\"/>
    </mc:Choice>
  </mc:AlternateContent>
  <bookViews>
    <workbookView xWindow="108090" yWindow="525" windowWidth="16380" windowHeight="13590" tabRatio="715" firstSheet="14" activeTab="20"/>
  </bookViews>
  <sheets>
    <sheet name="MeasurementSetup" sheetId="39" r:id="rId1"/>
    <sheet name="Cover" sheetId="9" r:id="rId2"/>
    <sheet name="MSG Front average" sheetId="4" r:id="rId3"/>
    <sheet name="MSG Rear average" sheetId="12" r:id="rId4"/>
    <sheet name="MSG&amp;Probability" sheetId="40" r:id="rId5"/>
    <sheet name="MSG Dev #1" sheetId="11" r:id="rId6"/>
    <sheet name="MSG Dev #2" sheetId="14" r:id="rId7"/>
    <sheet name="MSG Dev #3" sheetId="15" r:id="rId8"/>
    <sheet name="MSG Dev #4" sheetId="22" r:id="rId9"/>
    <sheet name="MSG Dev #5" sheetId="23" r:id="rId10"/>
    <sheet name="OPL Front Dev #1" sheetId="6" r:id="rId11"/>
    <sheet name="OPL Front Dev #2" sheetId="16" r:id="rId12"/>
    <sheet name="OPL Front Dev #3" sheetId="17" r:id="rId13"/>
    <sheet name="OPL Front Dev #4" sheetId="24" r:id="rId14"/>
    <sheet name="OPL Front Dev #5" sheetId="25" r:id="rId15"/>
    <sheet name="OPL Rear Dev #1" sheetId="8" r:id="rId16"/>
    <sheet name="OPL Rear Dev #2" sheetId="18" r:id="rId17"/>
    <sheet name="OPL Rear Dev #3" sheetId="19" r:id="rId18"/>
    <sheet name="OPL Rear Dev #4" sheetId="26" r:id="rId19"/>
    <sheet name="OPL Rear Dev #5" sheetId="27" r:id="rId20"/>
    <sheet name="Data #1" sheetId="1" r:id="rId21"/>
    <sheet name="Data #2" sheetId="2" r:id="rId22"/>
    <sheet name="Data #3" sheetId="3" r:id="rId23"/>
    <sheet name="Data #4" sheetId="20" r:id="rId24"/>
    <sheet name="Data #5" sheetId="21" r:id="rId25"/>
    <sheet name="MaxMinChart1" sheetId="36" r:id="rId26"/>
    <sheet name="Average data" sheetId="10" r:id="rId27"/>
    <sheet name="HRChart1" sheetId="30" r:id="rId28"/>
    <sheet name="HLChart2" sheetId="31" r:id="rId29"/>
    <sheet name="LChart3" sheetId="32" r:id="rId30"/>
    <sheet name="RearHRChart4" sheetId="33" r:id="rId31"/>
    <sheet name="RearHLChart5" sheetId="34" r:id="rId32"/>
    <sheet name="RearLChart6" sheetId="35" r:id="rId33"/>
    <sheet name="UPL_Import" sheetId="29" r:id="rId34"/>
    <sheet name="SC_Import" sheetId="28" r:id="rId35"/>
    <sheet name="Settings" sheetId="38" r:id="rId36"/>
  </sheets>
  <functionGroups builtInGroupCount="18"/>
  <externalReferences>
    <externalReference r:id="rId37"/>
  </externalReferences>
  <definedNames>
    <definedName name="ChartTitle">Settings!$C$9</definedName>
    <definedName name="ChartTitleList">Settings!$B$9</definedName>
    <definedName name="Cover_Sheet">Cover!$D$9</definedName>
    <definedName name="FilePath">SC_Import!$E$26</definedName>
    <definedName name="FilePath_UPL">UPL_Import!$E$23</definedName>
    <definedName name="FilePath_UPL2">UPL_Import!$P$23</definedName>
    <definedName name="FilePath2">SC_Import!$O$26</definedName>
    <definedName name="Header_UPL">UPL_Import!$J$12</definedName>
    <definedName name="Item_UPL">UPL_Import!$C$23</definedName>
    <definedName name="ModelName" localSheetId="0">[1]Cover!$B$2</definedName>
    <definedName name="ModelName">Cover!$B$1</definedName>
    <definedName name="OPL_F1">Settings!$C$49</definedName>
    <definedName name="OPL_F2">Settings!$C$50</definedName>
    <definedName name="OPL_F3">Settings!$C$51</definedName>
    <definedName name="OPL_F4">Settings!$C$52</definedName>
    <definedName name="OPL_F5">Settings!$C$53</definedName>
    <definedName name="OPL_R1">Settings!$C$54</definedName>
    <definedName name="OPL_R2">Settings!$C$55</definedName>
    <definedName name="OPL_R3">Settings!$C$56</definedName>
    <definedName name="OPL_R4">Settings!$C$57</definedName>
    <definedName name="OPL_R5">Settings!$C$58</definedName>
    <definedName name="_xlnm.Print_Area" localSheetId="1">Cover!$A$1:$C$24</definedName>
    <definedName name="TargetCell">SC_Import!$G$12</definedName>
    <definedName name="TargetCell_UPL">UPL_Import!$G$12</definedName>
    <definedName name="TargetCell_UPL2">UPL_Import!$R$12</definedName>
    <definedName name="TargetCell2">SC_Import!$Q$12</definedName>
    <definedName name="TargetSheet">SC_Import!$D$26</definedName>
    <definedName name="TargetSheet_UPL">UPL_Import!$D$23</definedName>
  </definedNames>
  <calcPr calcId="152511"/>
</workbook>
</file>

<file path=xl/calcChain.xml><?xml version="1.0" encoding="utf-8"?>
<calcChain xmlns="http://schemas.openxmlformats.org/spreadsheetml/2006/main">
  <c r="R6" i="1" l="1"/>
  <c r="D12" i="9" l="1"/>
  <c r="D13" i="9"/>
  <c r="D14" i="9"/>
  <c r="D15" i="9"/>
  <c r="D11" i="9"/>
  <c r="AS84" i="10" l="1"/>
  <c r="AM84" i="10"/>
  <c r="AS83" i="10"/>
  <c r="AM83" i="10"/>
  <c r="AS82" i="10"/>
  <c r="AM82" i="10"/>
  <c r="AS81" i="10"/>
  <c r="AM81" i="10"/>
  <c r="AS80" i="10"/>
  <c r="AM80" i="10"/>
  <c r="AS79" i="10"/>
  <c r="AM79" i="10"/>
  <c r="AS78" i="10"/>
  <c r="AM78" i="10"/>
  <c r="AS77" i="10"/>
  <c r="AM77" i="10"/>
  <c r="AS76" i="10"/>
  <c r="AM76" i="10"/>
  <c r="AS75" i="10"/>
  <c r="AM75" i="10"/>
  <c r="AS74" i="10"/>
  <c r="AM74" i="10"/>
  <c r="AS73" i="10"/>
  <c r="AM73" i="10"/>
  <c r="AS72" i="10"/>
  <c r="AM72" i="10"/>
  <c r="AS71" i="10"/>
  <c r="AM71" i="10"/>
  <c r="AS70" i="10"/>
  <c r="AM70" i="10"/>
  <c r="AS69" i="10"/>
  <c r="AM69" i="10"/>
  <c r="AS68" i="10"/>
  <c r="AM68" i="10"/>
  <c r="AS67" i="10"/>
  <c r="AM67" i="10"/>
  <c r="AS66" i="10"/>
  <c r="AM66" i="10"/>
  <c r="AS65" i="10"/>
  <c r="AM65" i="10"/>
  <c r="AS64" i="10"/>
  <c r="AM64" i="10"/>
  <c r="AS63" i="10"/>
  <c r="AM63" i="10"/>
  <c r="AS62" i="10"/>
  <c r="AM62" i="10"/>
  <c r="AS61" i="10"/>
  <c r="AM61" i="10"/>
  <c r="AS60" i="10"/>
  <c r="AM60" i="10"/>
  <c r="AS59" i="10"/>
  <c r="AM59" i="10"/>
  <c r="AS58" i="10"/>
  <c r="AM58" i="10"/>
  <c r="AS57" i="10"/>
  <c r="AM57" i="10"/>
  <c r="AS56" i="10"/>
  <c r="AM56" i="10"/>
  <c r="AS55" i="10"/>
  <c r="AM55" i="10"/>
  <c r="AS54" i="10"/>
  <c r="AM54" i="10"/>
  <c r="AS53" i="10"/>
  <c r="AM53" i="10"/>
  <c r="AS52" i="10"/>
  <c r="AM52" i="10"/>
  <c r="AS51" i="10"/>
  <c r="AM51" i="10"/>
  <c r="AS50" i="10"/>
  <c r="AM50" i="10"/>
  <c r="AS49" i="10"/>
  <c r="AM49" i="10"/>
  <c r="AS48" i="10"/>
  <c r="AM48" i="10"/>
  <c r="AS47" i="10"/>
  <c r="AM47" i="10"/>
  <c r="AS46" i="10"/>
  <c r="AM46" i="10"/>
  <c r="AS45" i="10"/>
  <c r="AM45" i="10"/>
  <c r="AS44" i="10"/>
  <c r="AM44" i="10"/>
  <c r="AS43" i="10"/>
  <c r="AM43" i="10"/>
  <c r="AS42" i="10"/>
  <c r="AM42" i="10"/>
  <c r="AS41" i="10"/>
  <c r="AM41" i="10"/>
  <c r="AS40" i="10"/>
  <c r="AM40" i="10"/>
  <c r="AS39" i="10"/>
  <c r="AM39" i="10"/>
  <c r="AS38" i="10"/>
  <c r="AM38" i="10"/>
  <c r="AS37" i="10"/>
  <c r="AM37" i="10"/>
  <c r="AS36" i="10"/>
  <c r="AM36" i="10"/>
  <c r="AS35" i="10"/>
  <c r="AM35" i="10"/>
  <c r="AS34" i="10"/>
  <c r="AM34" i="10"/>
  <c r="AS33" i="10"/>
  <c r="AM33" i="10"/>
  <c r="AS32" i="10"/>
  <c r="AM32" i="10"/>
  <c r="AS31" i="10"/>
  <c r="AM31" i="10"/>
  <c r="AS30" i="10"/>
  <c r="AM30" i="10"/>
  <c r="AS29" i="10"/>
  <c r="AM29" i="10"/>
  <c r="AS28" i="10"/>
  <c r="AM28" i="10"/>
  <c r="AS27" i="10"/>
  <c r="AM27" i="10"/>
  <c r="AS26" i="10"/>
  <c r="AM26" i="10"/>
  <c r="AS25" i="10"/>
  <c r="AM25" i="10"/>
  <c r="AS24" i="10"/>
  <c r="AM24" i="10"/>
  <c r="AS23" i="10"/>
  <c r="AM23" i="10"/>
  <c r="AS22" i="10"/>
  <c r="AM22" i="10"/>
  <c r="AS21" i="10"/>
  <c r="AM21" i="10"/>
  <c r="AS20" i="10"/>
  <c r="AM20" i="10"/>
  <c r="AS19" i="10"/>
  <c r="AM19" i="10"/>
  <c r="AS18" i="10"/>
  <c r="AM18" i="10"/>
  <c r="AS17" i="10"/>
  <c r="AM17" i="10"/>
  <c r="AS16" i="10"/>
  <c r="AM16" i="10"/>
  <c r="AS15" i="10"/>
  <c r="AM15" i="10"/>
  <c r="AS14" i="10"/>
  <c r="AM14" i="10"/>
  <c r="AS13" i="10"/>
  <c r="AM13" i="10"/>
  <c r="AS12" i="10"/>
  <c r="AM12" i="10"/>
  <c r="AS11" i="10"/>
  <c r="AM11" i="10"/>
  <c r="AS10" i="10"/>
  <c r="AM10" i="10"/>
  <c r="AS9" i="10"/>
  <c r="AM9" i="10"/>
  <c r="AS8" i="10"/>
  <c r="AM8" i="10"/>
  <c r="AS7" i="10"/>
  <c r="AM7" i="10"/>
  <c r="AS6" i="10"/>
  <c r="AM6" i="10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AE10" i="21"/>
  <c r="AE9" i="21"/>
  <c r="AE8" i="21"/>
  <c r="AE7" i="21"/>
  <c r="AE6" i="21"/>
  <c r="H5" i="21"/>
  <c r="AE79" i="20"/>
  <c r="AE78" i="20"/>
  <c r="AE77" i="20"/>
  <c r="AE76" i="20"/>
  <c r="AE75" i="20"/>
  <c r="AE74" i="20"/>
  <c r="AE73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AE10" i="20"/>
  <c r="AE9" i="20"/>
  <c r="AE8" i="20"/>
  <c r="AE7" i="20"/>
  <c r="AE6" i="20"/>
  <c r="H5" i="20"/>
  <c r="AE79" i="3"/>
  <c r="AE78" i="3"/>
  <c r="AE77" i="3"/>
  <c r="AE76" i="3"/>
  <c r="AE75" i="3"/>
  <c r="AE74" i="3"/>
  <c r="AE73" i="3"/>
  <c r="AE72" i="3"/>
  <c r="AE71" i="3"/>
  <c r="AE70" i="3"/>
  <c r="AE69" i="3"/>
  <c r="AE68" i="3"/>
  <c r="AE67" i="3"/>
  <c r="AE66" i="3"/>
  <c r="AE65" i="3"/>
  <c r="AE64" i="3"/>
  <c r="AE63" i="3"/>
  <c r="AE62" i="3"/>
  <c r="AE61" i="3"/>
  <c r="AE60" i="3"/>
  <c r="AE59" i="3"/>
  <c r="AE58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H5" i="3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H5" i="2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H5" i="1"/>
  <c r="AC84" i="40"/>
  <c r="BJ83" i="40"/>
  <c r="BI83" i="40"/>
  <c r="AG83" i="40"/>
  <c r="AF83" i="40"/>
  <c r="AE83" i="40"/>
  <c r="AD83" i="40"/>
  <c r="AC83" i="40"/>
  <c r="BJ82" i="40"/>
  <c r="BI82" i="40"/>
  <c r="AG82" i="40"/>
  <c r="AF82" i="40"/>
  <c r="AE82" i="40"/>
  <c r="AD82" i="40"/>
  <c r="AC82" i="40"/>
  <c r="BJ81" i="40"/>
  <c r="BI81" i="40"/>
  <c r="AG81" i="40"/>
  <c r="AF81" i="40"/>
  <c r="AE81" i="40"/>
  <c r="AD81" i="40"/>
  <c r="AC81" i="40"/>
  <c r="BJ80" i="40"/>
  <c r="BI80" i="40"/>
  <c r="AG80" i="40"/>
  <c r="AF80" i="40"/>
  <c r="AE80" i="40"/>
  <c r="AD80" i="40"/>
  <c r="AC80" i="40"/>
  <c r="BJ79" i="40"/>
  <c r="BI79" i="40"/>
  <c r="AG79" i="40"/>
  <c r="AF79" i="40"/>
  <c r="AE79" i="40"/>
  <c r="AD79" i="40"/>
  <c r="AC79" i="40"/>
  <c r="BJ78" i="40"/>
  <c r="BI78" i="40"/>
  <c r="AG78" i="40"/>
  <c r="AF78" i="40"/>
  <c r="AE78" i="40"/>
  <c r="AD78" i="40"/>
  <c r="AC78" i="40"/>
  <c r="BJ77" i="40"/>
  <c r="BI77" i="40"/>
  <c r="AG77" i="40"/>
  <c r="AF77" i="40"/>
  <c r="AE77" i="40"/>
  <c r="AD77" i="40"/>
  <c r="AC77" i="40"/>
  <c r="BJ76" i="40"/>
  <c r="BI76" i="40"/>
  <c r="AG76" i="40"/>
  <c r="AF76" i="40"/>
  <c r="AE76" i="40"/>
  <c r="AD76" i="40"/>
  <c r="AC76" i="40"/>
  <c r="BJ75" i="40"/>
  <c r="BI75" i="40"/>
  <c r="AG75" i="40"/>
  <c r="AF75" i="40"/>
  <c r="AE75" i="40"/>
  <c r="AD75" i="40"/>
  <c r="AC75" i="40"/>
  <c r="BJ74" i="40"/>
  <c r="BI74" i="40"/>
  <c r="AG74" i="40"/>
  <c r="AF74" i="40"/>
  <c r="AE74" i="40"/>
  <c r="AD74" i="40"/>
  <c r="AC74" i="40"/>
  <c r="BJ73" i="40"/>
  <c r="BI73" i="40"/>
  <c r="AG73" i="40"/>
  <c r="AF73" i="40"/>
  <c r="AE73" i="40"/>
  <c r="AD73" i="40"/>
  <c r="AC73" i="40"/>
  <c r="BJ72" i="40"/>
  <c r="BI72" i="40"/>
  <c r="AG72" i="40"/>
  <c r="AF72" i="40"/>
  <c r="AE72" i="40"/>
  <c r="AD72" i="40"/>
  <c r="AC72" i="40"/>
  <c r="BJ71" i="40"/>
  <c r="BI71" i="40"/>
  <c r="AG71" i="40"/>
  <c r="AF71" i="40"/>
  <c r="AE71" i="40"/>
  <c r="AD71" i="40"/>
  <c r="AC71" i="40"/>
  <c r="BJ70" i="40"/>
  <c r="BI70" i="40"/>
  <c r="AG70" i="40"/>
  <c r="AF70" i="40"/>
  <c r="AE70" i="40"/>
  <c r="AD70" i="40"/>
  <c r="AC70" i="40"/>
  <c r="BJ69" i="40"/>
  <c r="BI69" i="40"/>
  <c r="AG69" i="40"/>
  <c r="AF69" i="40"/>
  <c r="AE69" i="40"/>
  <c r="AD69" i="40"/>
  <c r="AC69" i="40"/>
  <c r="BJ68" i="40"/>
  <c r="BI68" i="40"/>
  <c r="AG68" i="40"/>
  <c r="AF68" i="40"/>
  <c r="AE68" i="40"/>
  <c r="AD68" i="40"/>
  <c r="AC68" i="40"/>
  <c r="BJ67" i="40"/>
  <c r="BI67" i="40"/>
  <c r="AG67" i="40"/>
  <c r="AF67" i="40"/>
  <c r="AE67" i="40"/>
  <c r="AD67" i="40"/>
  <c r="AC67" i="40"/>
  <c r="BJ66" i="40"/>
  <c r="BI66" i="40"/>
  <c r="AG66" i="40"/>
  <c r="AF66" i="40"/>
  <c r="AE66" i="40"/>
  <c r="AD66" i="40"/>
  <c r="AC66" i="40"/>
  <c r="BJ65" i="40"/>
  <c r="BI65" i="40"/>
  <c r="AG65" i="40"/>
  <c r="AF65" i="40"/>
  <c r="AE65" i="40"/>
  <c r="AD65" i="40"/>
  <c r="AC65" i="40"/>
  <c r="BJ64" i="40"/>
  <c r="BI64" i="40"/>
  <c r="AG64" i="40"/>
  <c r="AF64" i="40"/>
  <c r="AE64" i="40"/>
  <c r="AD64" i="40"/>
  <c r="AC64" i="40"/>
  <c r="BJ63" i="40"/>
  <c r="BI63" i="40"/>
  <c r="AG63" i="40"/>
  <c r="AF63" i="40"/>
  <c r="AE63" i="40"/>
  <c r="AD63" i="40"/>
  <c r="AC63" i="40"/>
  <c r="BJ62" i="40"/>
  <c r="BI62" i="40"/>
  <c r="AG62" i="40"/>
  <c r="AF62" i="40"/>
  <c r="AE62" i="40"/>
  <c r="AD62" i="40"/>
  <c r="AC62" i="40"/>
  <c r="BJ61" i="40"/>
  <c r="BI61" i="40"/>
  <c r="AG61" i="40"/>
  <c r="AF61" i="40"/>
  <c r="AE61" i="40"/>
  <c r="AD61" i="40"/>
  <c r="AC61" i="40"/>
  <c r="BJ60" i="40"/>
  <c r="BI60" i="40"/>
  <c r="AG60" i="40"/>
  <c r="AF60" i="40"/>
  <c r="AE60" i="40"/>
  <c r="AD60" i="40"/>
  <c r="AC60" i="40"/>
  <c r="BJ59" i="40"/>
  <c r="BI59" i="40"/>
  <c r="AG59" i="40"/>
  <c r="AF59" i="40"/>
  <c r="AE59" i="40"/>
  <c r="AD59" i="40"/>
  <c r="AC59" i="40"/>
  <c r="BJ58" i="40"/>
  <c r="BI58" i="40"/>
  <c r="AG58" i="40"/>
  <c r="AF58" i="40"/>
  <c r="AE58" i="40"/>
  <c r="AD58" i="40"/>
  <c r="AC58" i="40"/>
  <c r="BJ57" i="40"/>
  <c r="BI57" i="40"/>
  <c r="AG57" i="40"/>
  <c r="AF57" i="40"/>
  <c r="AE57" i="40"/>
  <c r="AD57" i="40"/>
  <c r="AC57" i="40"/>
  <c r="BJ56" i="40"/>
  <c r="BI56" i="40"/>
  <c r="AG56" i="40"/>
  <c r="AF56" i="40"/>
  <c r="AE56" i="40"/>
  <c r="AD56" i="40"/>
  <c r="AC56" i="40"/>
  <c r="BJ55" i="40"/>
  <c r="BI55" i="40"/>
  <c r="AG55" i="40"/>
  <c r="AF55" i="40"/>
  <c r="AE55" i="40"/>
  <c r="AD55" i="40"/>
  <c r="AC55" i="40"/>
  <c r="BJ54" i="40"/>
  <c r="BI54" i="40"/>
  <c r="AG54" i="40"/>
  <c r="AF54" i="40"/>
  <c r="AE54" i="40"/>
  <c r="AD54" i="40"/>
  <c r="AC54" i="40"/>
  <c r="BJ53" i="40"/>
  <c r="BI53" i="40"/>
  <c r="AG53" i="40"/>
  <c r="AF53" i="40"/>
  <c r="AE53" i="40"/>
  <c r="AD53" i="40"/>
  <c r="AC53" i="40"/>
  <c r="BJ52" i="40"/>
  <c r="BI52" i="40"/>
  <c r="AG52" i="40"/>
  <c r="AF52" i="40"/>
  <c r="AE52" i="40"/>
  <c r="AD52" i="40"/>
  <c r="AC52" i="40"/>
  <c r="BJ51" i="40"/>
  <c r="BI51" i="40"/>
  <c r="AG51" i="40"/>
  <c r="AF51" i="40"/>
  <c r="AE51" i="40"/>
  <c r="AD51" i="40"/>
  <c r="AC51" i="40"/>
  <c r="BJ50" i="40"/>
  <c r="BI50" i="40"/>
  <c r="AG50" i="40"/>
  <c r="AF50" i="40"/>
  <c r="AE50" i="40"/>
  <c r="AD50" i="40"/>
  <c r="AC50" i="40"/>
  <c r="BJ49" i="40"/>
  <c r="BI49" i="40"/>
  <c r="AG49" i="40"/>
  <c r="AF49" i="40"/>
  <c r="AE49" i="40"/>
  <c r="AD49" i="40"/>
  <c r="AC49" i="40"/>
  <c r="BJ48" i="40"/>
  <c r="BI48" i="40"/>
  <c r="AG48" i="40"/>
  <c r="AF48" i="40"/>
  <c r="AE48" i="40"/>
  <c r="AD48" i="40"/>
  <c r="AC48" i="40"/>
  <c r="BJ47" i="40"/>
  <c r="BI47" i="40"/>
  <c r="AG47" i="40"/>
  <c r="AF47" i="40"/>
  <c r="AE47" i="40"/>
  <c r="AD47" i="40"/>
  <c r="AC47" i="40"/>
  <c r="BJ46" i="40"/>
  <c r="BI46" i="40"/>
  <c r="AG46" i="40"/>
  <c r="AF46" i="40"/>
  <c r="AE46" i="40"/>
  <c r="AD46" i="40"/>
  <c r="AC46" i="40"/>
  <c r="BJ45" i="40"/>
  <c r="BI45" i="40"/>
  <c r="AG45" i="40"/>
  <c r="AF45" i="40"/>
  <c r="AE45" i="40"/>
  <c r="AD45" i="40"/>
  <c r="AC45" i="40"/>
  <c r="BJ44" i="40"/>
  <c r="BI44" i="40"/>
  <c r="AG44" i="40"/>
  <c r="AF44" i="40"/>
  <c r="AE44" i="40"/>
  <c r="AD44" i="40"/>
  <c r="AC44" i="40"/>
  <c r="BJ43" i="40"/>
  <c r="BI43" i="40"/>
  <c r="AG43" i="40"/>
  <c r="AF43" i="40"/>
  <c r="AE43" i="40"/>
  <c r="AD43" i="40"/>
  <c r="AC43" i="40"/>
  <c r="BJ42" i="40"/>
  <c r="BI42" i="40"/>
  <c r="AG42" i="40"/>
  <c r="AF42" i="40"/>
  <c r="AE42" i="40"/>
  <c r="AD42" i="40"/>
  <c r="AC42" i="40"/>
  <c r="BJ41" i="40"/>
  <c r="BI41" i="40"/>
  <c r="AG41" i="40"/>
  <c r="AF41" i="40"/>
  <c r="AE41" i="40"/>
  <c r="AD41" i="40"/>
  <c r="AC41" i="40"/>
  <c r="BJ40" i="40"/>
  <c r="BI40" i="40"/>
  <c r="AG40" i="40"/>
  <c r="AF40" i="40"/>
  <c r="AE40" i="40"/>
  <c r="AD40" i="40"/>
  <c r="AC40" i="40"/>
  <c r="BJ39" i="40"/>
  <c r="BI39" i="40"/>
  <c r="AG39" i="40"/>
  <c r="AF39" i="40"/>
  <c r="AE39" i="40"/>
  <c r="AD39" i="40"/>
  <c r="AC39" i="40"/>
  <c r="BJ38" i="40"/>
  <c r="BI38" i="40"/>
  <c r="AG38" i="40"/>
  <c r="AF38" i="40"/>
  <c r="AE38" i="40"/>
  <c r="AD38" i="40"/>
  <c r="AC38" i="40"/>
  <c r="BJ37" i="40"/>
  <c r="BI37" i="40"/>
  <c r="AG37" i="40"/>
  <c r="AF37" i="40"/>
  <c r="AE37" i="40"/>
  <c r="AD37" i="40"/>
  <c r="AC37" i="40"/>
  <c r="BJ36" i="40"/>
  <c r="BI36" i="40"/>
  <c r="AG36" i="40"/>
  <c r="AF36" i="40"/>
  <c r="AE36" i="40"/>
  <c r="AD36" i="40"/>
  <c r="AC36" i="40"/>
  <c r="BJ35" i="40"/>
  <c r="BI35" i="40"/>
  <c r="AG35" i="40"/>
  <c r="AF35" i="40"/>
  <c r="AE35" i="40"/>
  <c r="AD35" i="40"/>
  <c r="AC35" i="40"/>
  <c r="BJ34" i="40"/>
  <c r="BI34" i="40"/>
  <c r="AG34" i="40"/>
  <c r="AF34" i="40"/>
  <c r="AE34" i="40"/>
  <c r="AD34" i="40"/>
  <c r="AC34" i="40"/>
  <c r="BJ33" i="40"/>
  <c r="BI33" i="40"/>
  <c r="AG33" i="40"/>
  <c r="AF33" i="40"/>
  <c r="AE33" i="40"/>
  <c r="AD33" i="40"/>
  <c r="AC33" i="40"/>
  <c r="BJ32" i="40"/>
  <c r="BI32" i="40"/>
  <c r="AG32" i="40"/>
  <c r="AF32" i="40"/>
  <c r="AE32" i="40"/>
  <c r="AD32" i="40"/>
  <c r="AC32" i="40"/>
  <c r="BJ31" i="40"/>
  <c r="BI31" i="40"/>
  <c r="AG31" i="40"/>
  <c r="AF31" i="40"/>
  <c r="AE31" i="40"/>
  <c r="AD31" i="40"/>
  <c r="AC31" i="40"/>
  <c r="BJ30" i="40"/>
  <c r="BI30" i="40"/>
  <c r="AG30" i="40"/>
  <c r="AF30" i="40"/>
  <c r="AE30" i="40"/>
  <c r="AD30" i="40"/>
  <c r="AC30" i="40"/>
  <c r="BJ29" i="40"/>
  <c r="BI29" i="40"/>
  <c r="AG29" i="40"/>
  <c r="AF29" i="40"/>
  <c r="AE29" i="40"/>
  <c r="AD29" i="40"/>
  <c r="AC29" i="40"/>
  <c r="BJ28" i="40"/>
  <c r="BI28" i="40"/>
  <c r="AG28" i="40"/>
  <c r="AF28" i="40"/>
  <c r="AE28" i="40"/>
  <c r="AD28" i="40"/>
  <c r="AC28" i="40"/>
  <c r="BJ27" i="40"/>
  <c r="BI27" i="40"/>
  <c r="AG27" i="40"/>
  <c r="AF27" i="40"/>
  <c r="AE27" i="40"/>
  <c r="AD27" i="40"/>
  <c r="AC27" i="40"/>
  <c r="BJ26" i="40"/>
  <c r="BI26" i="40"/>
  <c r="AG26" i="40"/>
  <c r="AF26" i="40"/>
  <c r="AE26" i="40"/>
  <c r="AD26" i="40"/>
  <c r="AC26" i="40"/>
  <c r="BJ25" i="40"/>
  <c r="BI25" i="40"/>
  <c r="AG25" i="40"/>
  <c r="AF25" i="40"/>
  <c r="AE25" i="40"/>
  <c r="AD25" i="40"/>
  <c r="AC25" i="40"/>
  <c r="BJ24" i="40"/>
  <c r="BI24" i="40"/>
  <c r="AG24" i="40"/>
  <c r="AF24" i="40"/>
  <c r="AE24" i="40"/>
  <c r="AD24" i="40"/>
  <c r="AC24" i="40"/>
  <c r="BJ23" i="40"/>
  <c r="BI23" i="40"/>
  <c r="AG23" i="40"/>
  <c r="AF23" i="40"/>
  <c r="AE23" i="40"/>
  <c r="AD23" i="40"/>
  <c r="AC23" i="40"/>
  <c r="BJ22" i="40"/>
  <c r="BI22" i="40"/>
  <c r="AG22" i="40"/>
  <c r="AF22" i="40"/>
  <c r="AE22" i="40"/>
  <c r="AD22" i="40"/>
  <c r="AC22" i="40"/>
  <c r="BJ21" i="40"/>
  <c r="BI21" i="40"/>
  <c r="AG21" i="40"/>
  <c r="AF21" i="40"/>
  <c r="AE21" i="40"/>
  <c r="AD21" i="40"/>
  <c r="AC21" i="40"/>
  <c r="BJ20" i="40"/>
  <c r="BI20" i="40"/>
  <c r="AG20" i="40"/>
  <c r="AF20" i="40"/>
  <c r="AE20" i="40"/>
  <c r="AD20" i="40"/>
  <c r="AC20" i="40"/>
  <c r="BJ19" i="40"/>
  <c r="BI19" i="40"/>
  <c r="AG19" i="40"/>
  <c r="AF19" i="40"/>
  <c r="AE19" i="40"/>
  <c r="AD19" i="40"/>
  <c r="AC19" i="40"/>
  <c r="BJ18" i="40"/>
  <c r="BI18" i="40"/>
  <c r="AG18" i="40"/>
  <c r="AF18" i="40"/>
  <c r="AE18" i="40"/>
  <c r="AD18" i="40"/>
  <c r="AC18" i="40"/>
  <c r="BJ17" i="40"/>
  <c r="BI17" i="40"/>
  <c r="AG17" i="40"/>
  <c r="AF17" i="40"/>
  <c r="AE17" i="40"/>
  <c r="AD17" i="40"/>
  <c r="AC17" i="40"/>
  <c r="BJ16" i="40"/>
  <c r="BI16" i="40"/>
  <c r="AG16" i="40"/>
  <c r="AF16" i="40"/>
  <c r="AE16" i="40"/>
  <c r="AD16" i="40"/>
  <c r="AC16" i="40"/>
  <c r="BJ15" i="40"/>
  <c r="BI15" i="40"/>
  <c r="AG15" i="40"/>
  <c r="AF15" i="40"/>
  <c r="AE15" i="40"/>
  <c r="AD15" i="40"/>
  <c r="AC15" i="40"/>
  <c r="BJ14" i="40"/>
  <c r="BI14" i="40"/>
  <c r="AG14" i="40"/>
  <c r="AF14" i="40"/>
  <c r="AE14" i="40"/>
  <c r="AD14" i="40"/>
  <c r="AC14" i="40"/>
  <c r="BJ13" i="40"/>
  <c r="BI13" i="40"/>
  <c r="AG13" i="40"/>
  <c r="AF13" i="40"/>
  <c r="AE13" i="40"/>
  <c r="AD13" i="40"/>
  <c r="AC13" i="40"/>
  <c r="BJ12" i="40"/>
  <c r="BI12" i="40"/>
  <c r="AG12" i="40"/>
  <c r="AF12" i="40"/>
  <c r="AE12" i="40"/>
  <c r="AD12" i="40"/>
  <c r="AC12" i="40"/>
  <c r="BJ11" i="40"/>
  <c r="BI11" i="40"/>
  <c r="AG11" i="40"/>
  <c r="AF11" i="40"/>
  <c r="AE11" i="40"/>
  <c r="AD11" i="40"/>
  <c r="AC11" i="40"/>
  <c r="BJ10" i="40"/>
  <c r="BI10" i="40"/>
  <c r="AG10" i="40"/>
  <c r="AF10" i="40"/>
  <c r="AE10" i="40"/>
  <c r="AD10" i="40"/>
  <c r="AC10" i="40"/>
  <c r="BJ9" i="40"/>
  <c r="BI9" i="40"/>
  <c r="AG9" i="40"/>
  <c r="AF9" i="40"/>
  <c r="AE9" i="40"/>
  <c r="AD9" i="40"/>
  <c r="AC9" i="40"/>
  <c r="BJ8" i="40"/>
  <c r="BI8" i="40"/>
  <c r="AG8" i="40"/>
  <c r="AF8" i="40"/>
  <c r="AE8" i="40"/>
  <c r="AD8" i="40"/>
  <c r="AC8" i="40"/>
  <c r="BJ7" i="40"/>
  <c r="BI7" i="40"/>
  <c r="AG7" i="40"/>
  <c r="AF7" i="40"/>
  <c r="AE7" i="40"/>
  <c r="AD7" i="40"/>
  <c r="AC7" i="40"/>
  <c r="BJ6" i="40"/>
  <c r="BI6" i="40"/>
  <c r="AG6" i="40"/>
  <c r="AF6" i="40"/>
  <c r="AE6" i="40"/>
  <c r="AD6" i="40"/>
  <c r="AC6" i="40"/>
  <c r="BJ5" i="40"/>
  <c r="BI5" i="40"/>
  <c r="AG5" i="40"/>
  <c r="AF5" i="40"/>
  <c r="AE5" i="40"/>
  <c r="AD5" i="40"/>
  <c r="AC5" i="40"/>
  <c r="BJ4" i="40"/>
  <c r="BI4" i="40"/>
  <c r="AG4" i="40"/>
  <c r="AF4" i="40"/>
  <c r="AE4" i="40"/>
  <c r="AD4" i="40"/>
  <c r="AC4" i="40"/>
  <c r="BJ84" i="40"/>
  <c r="BI84" i="40"/>
  <c r="AG84" i="40"/>
  <c r="AF84" i="40"/>
  <c r="AE84" i="40"/>
  <c r="AD84" i="40"/>
  <c r="F88" i="1"/>
  <c r="AE86" i="1"/>
  <c r="AE85" i="1"/>
  <c r="AE84" i="1"/>
  <c r="AE83" i="1"/>
  <c r="AE82" i="1"/>
  <c r="AE81" i="1"/>
  <c r="AE80" i="1"/>
  <c r="F88" i="2"/>
  <c r="AE86" i="2"/>
  <c r="AE85" i="2"/>
  <c r="AE84" i="2"/>
  <c r="AE83" i="2"/>
  <c r="AE82" i="2"/>
  <c r="AE81" i="2"/>
  <c r="AE80" i="2"/>
  <c r="F88" i="3"/>
  <c r="AE86" i="3"/>
  <c r="AE85" i="3"/>
  <c r="AE84" i="3"/>
  <c r="AE83" i="3"/>
  <c r="AE82" i="3"/>
  <c r="AE81" i="3"/>
  <c r="AE80" i="3"/>
  <c r="F88" i="20"/>
  <c r="AE86" i="20"/>
  <c r="AE85" i="20"/>
  <c r="AE84" i="20"/>
  <c r="AE83" i="20"/>
  <c r="AE82" i="20"/>
  <c r="AE81" i="20"/>
  <c r="AE80" i="20"/>
  <c r="F88" i="21"/>
  <c r="AE86" i="21"/>
  <c r="AE85" i="21"/>
  <c r="AE84" i="21"/>
  <c r="AE83" i="21"/>
  <c r="AE82" i="21"/>
  <c r="AE81" i="21"/>
  <c r="AE80" i="21"/>
  <c r="AS86" i="10"/>
  <c r="AM86" i="10"/>
  <c r="AS85" i="10"/>
  <c r="AM85" i="10"/>
  <c r="E75" i="28" l="1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3" i="28"/>
  <c r="E32" i="28"/>
  <c r="E31" i="28"/>
  <c r="E30" i="28"/>
  <c r="E29" i="28"/>
  <c r="E28" i="28"/>
  <c r="E27" i="28"/>
  <c r="E26" i="28"/>
  <c r="D75" i="28"/>
  <c r="D74" i="28"/>
  <c r="D65" i="28"/>
  <c r="D64" i="28"/>
  <c r="D55" i="28"/>
  <c r="D54" i="28"/>
  <c r="D45" i="28"/>
  <c r="D44" i="28"/>
  <c r="E35" i="28"/>
  <c r="E34" i="28"/>
  <c r="D35" i="28"/>
  <c r="D34" i="28"/>
  <c r="B4" i="9" l="1"/>
  <c r="H11" i="9" l="1"/>
  <c r="H12" i="9"/>
  <c r="H13" i="9"/>
  <c r="H14" i="9"/>
  <c r="H15" i="9"/>
  <c r="O27" i="28"/>
  <c r="O28" i="28"/>
  <c r="O29" i="28"/>
  <c r="O30" i="28"/>
  <c r="O31" i="28"/>
  <c r="O32" i="28"/>
  <c r="O33" i="28"/>
  <c r="O36" i="28"/>
  <c r="O37" i="28"/>
  <c r="O38" i="28"/>
  <c r="O39" i="28"/>
  <c r="O40" i="28"/>
  <c r="O41" i="28"/>
  <c r="O42" i="28"/>
  <c r="O43" i="28"/>
  <c r="O46" i="28"/>
  <c r="O47" i="28"/>
  <c r="O48" i="28"/>
  <c r="O49" i="28"/>
  <c r="O50" i="28"/>
  <c r="O51" i="28"/>
  <c r="O52" i="28"/>
  <c r="O53" i="28"/>
  <c r="O56" i="28"/>
  <c r="O57" i="28"/>
  <c r="O58" i="28"/>
  <c r="O59" i="28"/>
  <c r="O60" i="28"/>
  <c r="O61" i="28"/>
  <c r="O62" i="28"/>
  <c r="O63" i="28"/>
  <c r="O66" i="28"/>
  <c r="O67" i="28"/>
  <c r="O68" i="28"/>
  <c r="O69" i="28"/>
  <c r="O70" i="28"/>
  <c r="O71" i="28"/>
  <c r="O72" i="28"/>
  <c r="O73" i="28"/>
  <c r="O26" i="28"/>
  <c r="Z1" i="40" l="1"/>
  <c r="AM1" i="40" l="1"/>
  <c r="AK1" i="40"/>
  <c r="X1" i="40"/>
  <c r="BN1" i="40"/>
  <c r="BL1" i="40"/>
  <c r="BA1" i="40"/>
  <c r="AY1" i="40"/>
  <c r="BD5" i="40"/>
  <c r="BE5" i="40"/>
  <c r="BF5" i="40"/>
  <c r="BG5" i="40"/>
  <c r="BH5" i="40"/>
  <c r="BD6" i="40"/>
  <c r="BE6" i="40"/>
  <c r="BF6" i="40"/>
  <c r="BG6" i="40"/>
  <c r="BH6" i="40"/>
  <c r="BD7" i="40"/>
  <c r="BE7" i="40"/>
  <c r="BF7" i="40"/>
  <c r="BG7" i="40"/>
  <c r="BH7" i="40"/>
  <c r="BD8" i="40"/>
  <c r="BE8" i="40"/>
  <c r="BF8" i="40"/>
  <c r="BG8" i="40"/>
  <c r="BH8" i="40"/>
  <c r="BD9" i="40"/>
  <c r="BE9" i="40"/>
  <c r="BF9" i="40"/>
  <c r="BG9" i="40"/>
  <c r="BH9" i="40"/>
  <c r="BD10" i="40"/>
  <c r="BE10" i="40"/>
  <c r="BF10" i="40"/>
  <c r="BG10" i="40"/>
  <c r="BH10" i="40"/>
  <c r="BD11" i="40"/>
  <c r="BE11" i="40"/>
  <c r="BF11" i="40"/>
  <c r="BG11" i="40"/>
  <c r="BH11" i="40"/>
  <c r="BD12" i="40"/>
  <c r="BE12" i="40"/>
  <c r="BF12" i="40"/>
  <c r="BG12" i="40"/>
  <c r="BH12" i="40"/>
  <c r="BD13" i="40"/>
  <c r="BE13" i="40"/>
  <c r="BF13" i="40"/>
  <c r="BG13" i="40"/>
  <c r="BH13" i="40"/>
  <c r="BD14" i="40"/>
  <c r="BE14" i="40"/>
  <c r="BF14" i="40"/>
  <c r="BG14" i="40"/>
  <c r="BH14" i="40"/>
  <c r="BD15" i="40"/>
  <c r="BE15" i="40"/>
  <c r="BF15" i="40"/>
  <c r="BG15" i="40"/>
  <c r="BH15" i="40"/>
  <c r="BD16" i="40"/>
  <c r="BE16" i="40"/>
  <c r="BF16" i="40"/>
  <c r="BG16" i="40"/>
  <c r="BH16" i="40"/>
  <c r="BD17" i="40"/>
  <c r="BE17" i="40"/>
  <c r="BF17" i="40"/>
  <c r="BG17" i="40"/>
  <c r="BH17" i="40"/>
  <c r="BD18" i="40"/>
  <c r="BE18" i="40"/>
  <c r="BF18" i="40"/>
  <c r="BG18" i="40"/>
  <c r="BH18" i="40"/>
  <c r="BD19" i="40"/>
  <c r="BE19" i="40"/>
  <c r="BF19" i="40"/>
  <c r="BG19" i="40"/>
  <c r="BH19" i="40"/>
  <c r="BD20" i="40"/>
  <c r="BE20" i="40"/>
  <c r="BF20" i="40"/>
  <c r="BG20" i="40"/>
  <c r="BH20" i="40"/>
  <c r="BD21" i="40"/>
  <c r="BE21" i="40"/>
  <c r="BF21" i="40"/>
  <c r="BG21" i="40"/>
  <c r="BH21" i="40"/>
  <c r="BD22" i="40"/>
  <c r="BE22" i="40"/>
  <c r="BF22" i="40"/>
  <c r="BG22" i="40"/>
  <c r="BH22" i="40"/>
  <c r="BD23" i="40"/>
  <c r="BE23" i="40"/>
  <c r="BF23" i="40"/>
  <c r="BG23" i="40"/>
  <c r="BH23" i="40"/>
  <c r="BD24" i="40"/>
  <c r="BE24" i="40"/>
  <c r="BF24" i="40"/>
  <c r="BG24" i="40"/>
  <c r="BH24" i="40"/>
  <c r="BD25" i="40"/>
  <c r="BE25" i="40"/>
  <c r="BF25" i="40"/>
  <c r="BG25" i="40"/>
  <c r="BH25" i="40"/>
  <c r="BD26" i="40"/>
  <c r="BE26" i="40"/>
  <c r="BF26" i="40"/>
  <c r="BG26" i="40"/>
  <c r="BH26" i="40"/>
  <c r="BD27" i="40"/>
  <c r="BE27" i="40"/>
  <c r="BF27" i="40"/>
  <c r="BG27" i="40"/>
  <c r="BH27" i="40"/>
  <c r="BD28" i="40"/>
  <c r="BE28" i="40"/>
  <c r="BF28" i="40"/>
  <c r="BG28" i="40"/>
  <c r="BH28" i="40"/>
  <c r="BD29" i="40"/>
  <c r="BE29" i="40"/>
  <c r="BF29" i="40"/>
  <c r="BG29" i="40"/>
  <c r="BH29" i="40"/>
  <c r="BD30" i="40"/>
  <c r="BE30" i="40"/>
  <c r="BF30" i="40"/>
  <c r="BG30" i="40"/>
  <c r="BH30" i="40"/>
  <c r="BD31" i="40"/>
  <c r="BE31" i="40"/>
  <c r="BF31" i="40"/>
  <c r="BG31" i="40"/>
  <c r="BH31" i="40"/>
  <c r="BD32" i="40"/>
  <c r="BE32" i="40"/>
  <c r="BF32" i="40"/>
  <c r="BG32" i="40"/>
  <c r="BH32" i="40"/>
  <c r="BD33" i="40"/>
  <c r="BE33" i="40"/>
  <c r="BF33" i="40"/>
  <c r="BG33" i="40"/>
  <c r="BH33" i="40"/>
  <c r="BD34" i="40"/>
  <c r="BE34" i="40"/>
  <c r="BF34" i="40"/>
  <c r="BG34" i="40"/>
  <c r="BH34" i="40"/>
  <c r="BD35" i="40"/>
  <c r="BE35" i="40"/>
  <c r="BF35" i="40"/>
  <c r="BG35" i="40"/>
  <c r="BH35" i="40"/>
  <c r="BD36" i="40"/>
  <c r="BE36" i="40"/>
  <c r="BF36" i="40"/>
  <c r="BG36" i="40"/>
  <c r="BH36" i="40"/>
  <c r="BD37" i="40"/>
  <c r="BE37" i="40"/>
  <c r="BF37" i="40"/>
  <c r="BG37" i="40"/>
  <c r="BH37" i="40"/>
  <c r="BD38" i="40"/>
  <c r="BE38" i="40"/>
  <c r="BF38" i="40"/>
  <c r="BG38" i="40"/>
  <c r="BH38" i="40"/>
  <c r="BD39" i="40"/>
  <c r="BE39" i="40"/>
  <c r="BF39" i="40"/>
  <c r="BG39" i="40"/>
  <c r="BH39" i="40"/>
  <c r="BD40" i="40"/>
  <c r="BE40" i="40"/>
  <c r="BF40" i="40"/>
  <c r="BG40" i="40"/>
  <c r="BH40" i="40"/>
  <c r="BD41" i="40"/>
  <c r="BE41" i="40"/>
  <c r="BF41" i="40"/>
  <c r="BG41" i="40"/>
  <c r="BH41" i="40"/>
  <c r="BD42" i="40"/>
  <c r="BE42" i="40"/>
  <c r="BF42" i="40"/>
  <c r="BG42" i="40"/>
  <c r="BH42" i="40"/>
  <c r="BD43" i="40"/>
  <c r="BE43" i="40"/>
  <c r="BF43" i="40"/>
  <c r="BG43" i="40"/>
  <c r="BH43" i="40"/>
  <c r="BD44" i="40"/>
  <c r="BE44" i="40"/>
  <c r="BF44" i="40"/>
  <c r="BG44" i="40"/>
  <c r="BH44" i="40"/>
  <c r="BD45" i="40"/>
  <c r="BE45" i="40"/>
  <c r="BF45" i="40"/>
  <c r="BG45" i="40"/>
  <c r="BH45" i="40"/>
  <c r="BD46" i="40"/>
  <c r="BE46" i="40"/>
  <c r="BF46" i="40"/>
  <c r="BG46" i="40"/>
  <c r="BH46" i="40"/>
  <c r="BD47" i="40"/>
  <c r="BE47" i="40"/>
  <c r="BF47" i="40"/>
  <c r="BG47" i="40"/>
  <c r="BH47" i="40"/>
  <c r="BD48" i="40"/>
  <c r="BE48" i="40"/>
  <c r="BF48" i="40"/>
  <c r="BG48" i="40"/>
  <c r="BH48" i="40"/>
  <c r="BD49" i="40"/>
  <c r="BE49" i="40"/>
  <c r="BF49" i="40"/>
  <c r="BG49" i="40"/>
  <c r="BH49" i="40"/>
  <c r="BD50" i="40"/>
  <c r="BE50" i="40"/>
  <c r="BF50" i="40"/>
  <c r="BG50" i="40"/>
  <c r="BH50" i="40"/>
  <c r="BD51" i="40"/>
  <c r="BE51" i="40"/>
  <c r="BF51" i="40"/>
  <c r="BG51" i="40"/>
  <c r="BH51" i="40"/>
  <c r="BD52" i="40"/>
  <c r="BE52" i="40"/>
  <c r="BF52" i="40"/>
  <c r="BG52" i="40"/>
  <c r="BH52" i="40"/>
  <c r="BD53" i="40"/>
  <c r="BE53" i="40"/>
  <c r="BF53" i="40"/>
  <c r="BG53" i="40"/>
  <c r="BH53" i="40"/>
  <c r="BD54" i="40"/>
  <c r="BE54" i="40"/>
  <c r="BF54" i="40"/>
  <c r="BG54" i="40"/>
  <c r="BH54" i="40"/>
  <c r="BD55" i="40"/>
  <c r="BE55" i="40"/>
  <c r="BF55" i="40"/>
  <c r="BG55" i="40"/>
  <c r="BH55" i="40"/>
  <c r="BD56" i="40"/>
  <c r="BE56" i="40"/>
  <c r="BF56" i="40"/>
  <c r="BG56" i="40"/>
  <c r="BH56" i="40"/>
  <c r="BD57" i="40"/>
  <c r="BE57" i="40"/>
  <c r="BF57" i="40"/>
  <c r="BG57" i="40"/>
  <c r="BH57" i="40"/>
  <c r="BD58" i="40"/>
  <c r="BE58" i="40"/>
  <c r="BF58" i="40"/>
  <c r="BG58" i="40"/>
  <c r="BH58" i="40"/>
  <c r="BD59" i="40"/>
  <c r="BE59" i="40"/>
  <c r="BF59" i="40"/>
  <c r="BG59" i="40"/>
  <c r="BH59" i="40"/>
  <c r="BD60" i="40"/>
  <c r="BE60" i="40"/>
  <c r="BF60" i="40"/>
  <c r="BG60" i="40"/>
  <c r="BH60" i="40"/>
  <c r="BD61" i="40"/>
  <c r="BE61" i="40"/>
  <c r="BF61" i="40"/>
  <c r="BG61" i="40"/>
  <c r="BH61" i="40"/>
  <c r="BD62" i="40"/>
  <c r="BE62" i="40"/>
  <c r="BF62" i="40"/>
  <c r="BG62" i="40"/>
  <c r="BH62" i="40"/>
  <c r="BD63" i="40"/>
  <c r="BE63" i="40"/>
  <c r="BF63" i="40"/>
  <c r="BG63" i="40"/>
  <c r="BH63" i="40"/>
  <c r="BD64" i="40"/>
  <c r="BE64" i="40"/>
  <c r="BF64" i="40"/>
  <c r="BG64" i="40"/>
  <c r="BH64" i="40"/>
  <c r="BD65" i="40"/>
  <c r="BE65" i="40"/>
  <c r="BF65" i="40"/>
  <c r="BG65" i="40"/>
  <c r="BH65" i="40"/>
  <c r="BD66" i="40"/>
  <c r="BE66" i="40"/>
  <c r="BF66" i="40"/>
  <c r="BG66" i="40"/>
  <c r="BH66" i="40"/>
  <c r="BD67" i="40"/>
  <c r="BE67" i="40"/>
  <c r="BF67" i="40"/>
  <c r="BG67" i="40"/>
  <c r="BH67" i="40"/>
  <c r="BD68" i="40"/>
  <c r="BE68" i="40"/>
  <c r="BF68" i="40"/>
  <c r="BG68" i="40"/>
  <c r="BH68" i="40"/>
  <c r="BD69" i="40"/>
  <c r="BE69" i="40"/>
  <c r="BF69" i="40"/>
  <c r="BG69" i="40"/>
  <c r="BH69" i="40"/>
  <c r="BD70" i="40"/>
  <c r="BE70" i="40"/>
  <c r="BF70" i="40"/>
  <c r="BG70" i="40"/>
  <c r="BH70" i="40"/>
  <c r="BD71" i="40"/>
  <c r="BE71" i="40"/>
  <c r="BF71" i="40"/>
  <c r="BG71" i="40"/>
  <c r="BH71" i="40"/>
  <c r="BD72" i="40"/>
  <c r="BE72" i="40"/>
  <c r="BF72" i="40"/>
  <c r="BG72" i="40"/>
  <c r="BH72" i="40"/>
  <c r="BD73" i="40"/>
  <c r="BE73" i="40"/>
  <c r="BF73" i="40"/>
  <c r="BG73" i="40"/>
  <c r="BH73" i="40"/>
  <c r="BD74" i="40"/>
  <c r="BE74" i="40"/>
  <c r="BF74" i="40"/>
  <c r="BG74" i="40"/>
  <c r="BH74" i="40"/>
  <c r="BD75" i="40"/>
  <c r="BE75" i="40"/>
  <c r="BF75" i="40"/>
  <c r="BG75" i="40"/>
  <c r="BH75" i="40"/>
  <c r="BD76" i="40"/>
  <c r="BE76" i="40"/>
  <c r="BF76" i="40"/>
  <c r="BG76" i="40"/>
  <c r="BH76" i="40"/>
  <c r="BD77" i="40"/>
  <c r="BE77" i="40"/>
  <c r="BF77" i="40"/>
  <c r="BG77" i="40"/>
  <c r="BH77" i="40"/>
  <c r="BD78" i="40"/>
  <c r="BE78" i="40"/>
  <c r="BF78" i="40"/>
  <c r="BG78" i="40"/>
  <c r="BH78" i="40"/>
  <c r="BD79" i="40"/>
  <c r="BE79" i="40"/>
  <c r="BF79" i="40"/>
  <c r="BG79" i="40"/>
  <c r="BH79" i="40"/>
  <c r="BD80" i="40"/>
  <c r="BE80" i="40"/>
  <c r="BF80" i="40"/>
  <c r="BG80" i="40"/>
  <c r="BH80" i="40"/>
  <c r="BD81" i="40"/>
  <c r="BE81" i="40"/>
  <c r="BF81" i="40"/>
  <c r="BG81" i="40"/>
  <c r="BH81" i="40"/>
  <c r="BD82" i="40"/>
  <c r="BE82" i="40"/>
  <c r="BF82" i="40"/>
  <c r="BG82" i="40"/>
  <c r="BH82" i="40"/>
  <c r="BD83" i="40"/>
  <c r="BE83" i="40"/>
  <c r="BF83" i="40"/>
  <c r="BG83" i="40"/>
  <c r="BH83" i="40"/>
  <c r="BD84" i="40"/>
  <c r="BE84" i="40"/>
  <c r="BF84" i="40"/>
  <c r="BG84" i="40"/>
  <c r="BH84" i="40"/>
  <c r="BH4" i="40"/>
  <c r="BG4" i="40"/>
  <c r="BF4" i="40"/>
  <c r="BE4" i="40"/>
  <c r="BD4" i="40"/>
  <c r="AQ5" i="40"/>
  <c r="AR5" i="40"/>
  <c r="AS5" i="40"/>
  <c r="AT5" i="40"/>
  <c r="AU5" i="40"/>
  <c r="AQ6" i="40"/>
  <c r="AR6" i="40"/>
  <c r="AS6" i="40"/>
  <c r="AT6" i="40"/>
  <c r="AU6" i="40"/>
  <c r="AQ7" i="40"/>
  <c r="AR7" i="40"/>
  <c r="AS7" i="40"/>
  <c r="AT7" i="40"/>
  <c r="AU7" i="40"/>
  <c r="AQ8" i="40"/>
  <c r="AR8" i="40"/>
  <c r="AS8" i="40"/>
  <c r="AT8" i="40"/>
  <c r="AU8" i="40"/>
  <c r="AQ9" i="40"/>
  <c r="AR9" i="40"/>
  <c r="AS9" i="40"/>
  <c r="AT9" i="40"/>
  <c r="AU9" i="40"/>
  <c r="AQ10" i="40"/>
  <c r="AR10" i="40"/>
  <c r="AS10" i="40"/>
  <c r="AT10" i="40"/>
  <c r="AU10" i="40"/>
  <c r="AQ11" i="40"/>
  <c r="AR11" i="40"/>
  <c r="AS11" i="40"/>
  <c r="AT11" i="40"/>
  <c r="AU11" i="40"/>
  <c r="AQ12" i="40"/>
  <c r="AR12" i="40"/>
  <c r="AS12" i="40"/>
  <c r="AT12" i="40"/>
  <c r="AU12" i="40"/>
  <c r="AQ13" i="40"/>
  <c r="AR13" i="40"/>
  <c r="AS13" i="40"/>
  <c r="AT13" i="40"/>
  <c r="AU13" i="40"/>
  <c r="AQ14" i="40"/>
  <c r="AR14" i="40"/>
  <c r="AS14" i="40"/>
  <c r="AT14" i="40"/>
  <c r="AU14" i="40"/>
  <c r="AQ15" i="40"/>
  <c r="AR15" i="40"/>
  <c r="AS15" i="40"/>
  <c r="AT15" i="40"/>
  <c r="AU15" i="40"/>
  <c r="AQ16" i="40"/>
  <c r="AR16" i="40"/>
  <c r="AS16" i="40"/>
  <c r="AT16" i="40"/>
  <c r="AU16" i="40"/>
  <c r="AQ17" i="40"/>
  <c r="AR17" i="40"/>
  <c r="AS17" i="40"/>
  <c r="AT17" i="40"/>
  <c r="AU17" i="40"/>
  <c r="AQ18" i="40"/>
  <c r="AR18" i="40"/>
  <c r="AS18" i="40"/>
  <c r="AT18" i="40"/>
  <c r="AU18" i="40"/>
  <c r="AQ19" i="40"/>
  <c r="AR19" i="40"/>
  <c r="AS19" i="40"/>
  <c r="AT19" i="40"/>
  <c r="AU19" i="40"/>
  <c r="AQ20" i="40"/>
  <c r="AR20" i="40"/>
  <c r="AS20" i="40"/>
  <c r="AT20" i="40"/>
  <c r="AU20" i="40"/>
  <c r="AQ21" i="40"/>
  <c r="AR21" i="40"/>
  <c r="AS21" i="40"/>
  <c r="AT21" i="40"/>
  <c r="AU21" i="40"/>
  <c r="AQ22" i="40"/>
  <c r="AR22" i="40"/>
  <c r="AS22" i="40"/>
  <c r="AT22" i="40"/>
  <c r="AU22" i="40"/>
  <c r="AQ23" i="40"/>
  <c r="AR23" i="40"/>
  <c r="AS23" i="40"/>
  <c r="AT23" i="40"/>
  <c r="AU23" i="40"/>
  <c r="AQ24" i="40"/>
  <c r="AR24" i="40"/>
  <c r="AS24" i="40"/>
  <c r="AT24" i="40"/>
  <c r="AU24" i="40"/>
  <c r="AQ25" i="40"/>
  <c r="AR25" i="40"/>
  <c r="AS25" i="40"/>
  <c r="AT25" i="40"/>
  <c r="AU25" i="40"/>
  <c r="AQ26" i="40"/>
  <c r="AR26" i="40"/>
  <c r="AS26" i="40"/>
  <c r="AT26" i="40"/>
  <c r="AU26" i="40"/>
  <c r="AQ27" i="40"/>
  <c r="AR27" i="40"/>
  <c r="AS27" i="40"/>
  <c r="AT27" i="40"/>
  <c r="AU27" i="40"/>
  <c r="AQ28" i="40"/>
  <c r="AR28" i="40"/>
  <c r="AS28" i="40"/>
  <c r="AT28" i="40"/>
  <c r="AU28" i="40"/>
  <c r="AQ29" i="40"/>
  <c r="AR29" i="40"/>
  <c r="AS29" i="40"/>
  <c r="AT29" i="40"/>
  <c r="AU29" i="40"/>
  <c r="AQ30" i="40"/>
  <c r="AR30" i="40"/>
  <c r="AS30" i="40"/>
  <c r="AT30" i="40"/>
  <c r="AU30" i="40"/>
  <c r="AQ31" i="40"/>
  <c r="AR31" i="40"/>
  <c r="AS31" i="40"/>
  <c r="AT31" i="40"/>
  <c r="AU31" i="40"/>
  <c r="AQ32" i="40"/>
  <c r="AR32" i="40"/>
  <c r="AS32" i="40"/>
  <c r="AT32" i="40"/>
  <c r="AU32" i="40"/>
  <c r="AQ33" i="40"/>
  <c r="AR33" i="40"/>
  <c r="AS33" i="40"/>
  <c r="AT33" i="40"/>
  <c r="AU33" i="40"/>
  <c r="AQ34" i="40"/>
  <c r="AR34" i="40"/>
  <c r="AS34" i="40"/>
  <c r="AT34" i="40"/>
  <c r="AU34" i="40"/>
  <c r="AQ35" i="40"/>
  <c r="AR35" i="40"/>
  <c r="AS35" i="40"/>
  <c r="AT35" i="40"/>
  <c r="AU35" i="40"/>
  <c r="AQ36" i="40"/>
  <c r="AR36" i="40"/>
  <c r="AS36" i="40"/>
  <c r="AT36" i="40"/>
  <c r="AU36" i="40"/>
  <c r="AQ37" i="40"/>
  <c r="AR37" i="40"/>
  <c r="AS37" i="40"/>
  <c r="AT37" i="40"/>
  <c r="AU37" i="40"/>
  <c r="AQ38" i="40"/>
  <c r="AR38" i="40"/>
  <c r="AS38" i="40"/>
  <c r="AT38" i="40"/>
  <c r="AU38" i="40"/>
  <c r="AQ39" i="40"/>
  <c r="AR39" i="40"/>
  <c r="AS39" i="40"/>
  <c r="AT39" i="40"/>
  <c r="AU39" i="40"/>
  <c r="AQ40" i="40"/>
  <c r="AR40" i="40"/>
  <c r="AS40" i="40"/>
  <c r="AT40" i="40"/>
  <c r="AU40" i="40"/>
  <c r="AQ41" i="40"/>
  <c r="AR41" i="40"/>
  <c r="AS41" i="40"/>
  <c r="AT41" i="40"/>
  <c r="AU41" i="40"/>
  <c r="AQ42" i="40"/>
  <c r="AR42" i="40"/>
  <c r="AS42" i="40"/>
  <c r="AT42" i="40"/>
  <c r="AU42" i="40"/>
  <c r="AQ43" i="40"/>
  <c r="AR43" i="40"/>
  <c r="AS43" i="40"/>
  <c r="AT43" i="40"/>
  <c r="AU43" i="40"/>
  <c r="AQ44" i="40"/>
  <c r="AR44" i="40"/>
  <c r="AS44" i="40"/>
  <c r="AT44" i="40"/>
  <c r="AU44" i="40"/>
  <c r="AQ45" i="40"/>
  <c r="AR45" i="40"/>
  <c r="AS45" i="40"/>
  <c r="AT45" i="40"/>
  <c r="AU45" i="40"/>
  <c r="AQ46" i="40"/>
  <c r="AR46" i="40"/>
  <c r="AS46" i="40"/>
  <c r="AT46" i="40"/>
  <c r="AU46" i="40"/>
  <c r="AQ47" i="40"/>
  <c r="AR47" i="40"/>
  <c r="AS47" i="40"/>
  <c r="AT47" i="40"/>
  <c r="AU47" i="40"/>
  <c r="AQ48" i="40"/>
  <c r="AR48" i="40"/>
  <c r="AS48" i="40"/>
  <c r="AT48" i="40"/>
  <c r="AU48" i="40"/>
  <c r="AQ49" i="40"/>
  <c r="AR49" i="40"/>
  <c r="AS49" i="40"/>
  <c r="AT49" i="40"/>
  <c r="AU49" i="40"/>
  <c r="AQ50" i="40"/>
  <c r="AR50" i="40"/>
  <c r="AS50" i="40"/>
  <c r="AT50" i="40"/>
  <c r="AU50" i="40"/>
  <c r="AQ51" i="40"/>
  <c r="AR51" i="40"/>
  <c r="AS51" i="40"/>
  <c r="AT51" i="40"/>
  <c r="AU51" i="40"/>
  <c r="AQ52" i="40"/>
  <c r="AR52" i="40"/>
  <c r="AS52" i="40"/>
  <c r="AT52" i="40"/>
  <c r="AU52" i="40"/>
  <c r="AQ53" i="40"/>
  <c r="AR53" i="40"/>
  <c r="AS53" i="40"/>
  <c r="AT53" i="40"/>
  <c r="AU53" i="40"/>
  <c r="AQ54" i="40"/>
  <c r="AR54" i="40"/>
  <c r="AS54" i="40"/>
  <c r="AT54" i="40"/>
  <c r="AU54" i="40"/>
  <c r="AQ55" i="40"/>
  <c r="AR55" i="40"/>
  <c r="AS55" i="40"/>
  <c r="AT55" i="40"/>
  <c r="AU55" i="40"/>
  <c r="AQ56" i="40"/>
  <c r="AR56" i="40"/>
  <c r="AS56" i="40"/>
  <c r="AT56" i="40"/>
  <c r="AU56" i="40"/>
  <c r="AQ57" i="40"/>
  <c r="AR57" i="40"/>
  <c r="AS57" i="40"/>
  <c r="AT57" i="40"/>
  <c r="AU57" i="40"/>
  <c r="AQ58" i="40"/>
  <c r="AR58" i="40"/>
  <c r="AS58" i="40"/>
  <c r="AT58" i="40"/>
  <c r="AU58" i="40"/>
  <c r="AQ59" i="40"/>
  <c r="AR59" i="40"/>
  <c r="AS59" i="40"/>
  <c r="AT59" i="40"/>
  <c r="AU59" i="40"/>
  <c r="AQ60" i="40"/>
  <c r="AR60" i="40"/>
  <c r="AS60" i="40"/>
  <c r="AT60" i="40"/>
  <c r="AU60" i="40"/>
  <c r="AQ61" i="40"/>
  <c r="AR61" i="40"/>
  <c r="AS61" i="40"/>
  <c r="AT61" i="40"/>
  <c r="AU61" i="40"/>
  <c r="AQ62" i="40"/>
  <c r="AR62" i="40"/>
  <c r="AS62" i="40"/>
  <c r="AT62" i="40"/>
  <c r="AU62" i="40"/>
  <c r="AQ63" i="40"/>
  <c r="AR63" i="40"/>
  <c r="AS63" i="40"/>
  <c r="AT63" i="40"/>
  <c r="AU63" i="40"/>
  <c r="AQ64" i="40"/>
  <c r="AR64" i="40"/>
  <c r="AS64" i="40"/>
  <c r="AT64" i="40"/>
  <c r="AU64" i="40"/>
  <c r="AQ65" i="40"/>
  <c r="AR65" i="40"/>
  <c r="AS65" i="40"/>
  <c r="AT65" i="40"/>
  <c r="AU65" i="40"/>
  <c r="AQ66" i="40"/>
  <c r="AR66" i="40"/>
  <c r="AS66" i="40"/>
  <c r="AT66" i="40"/>
  <c r="AU66" i="40"/>
  <c r="AQ67" i="40"/>
  <c r="AR67" i="40"/>
  <c r="AS67" i="40"/>
  <c r="AT67" i="40"/>
  <c r="AU67" i="40"/>
  <c r="AQ68" i="40"/>
  <c r="AR68" i="40"/>
  <c r="AS68" i="40"/>
  <c r="AT68" i="40"/>
  <c r="AU68" i="40"/>
  <c r="AQ69" i="40"/>
  <c r="AR69" i="40"/>
  <c r="AS69" i="40"/>
  <c r="AT69" i="40"/>
  <c r="AU69" i="40"/>
  <c r="AQ70" i="40"/>
  <c r="AR70" i="40"/>
  <c r="AS70" i="40"/>
  <c r="AT70" i="40"/>
  <c r="AU70" i="40"/>
  <c r="AQ71" i="40"/>
  <c r="AR71" i="40"/>
  <c r="AS71" i="40"/>
  <c r="AT71" i="40"/>
  <c r="AU71" i="40"/>
  <c r="AQ72" i="40"/>
  <c r="AR72" i="40"/>
  <c r="AS72" i="40"/>
  <c r="AT72" i="40"/>
  <c r="AU72" i="40"/>
  <c r="AQ73" i="40"/>
  <c r="AR73" i="40"/>
  <c r="AS73" i="40"/>
  <c r="AT73" i="40"/>
  <c r="AU73" i="40"/>
  <c r="AQ74" i="40"/>
  <c r="AR74" i="40"/>
  <c r="AS74" i="40"/>
  <c r="AT74" i="40"/>
  <c r="AU74" i="40"/>
  <c r="AQ75" i="40"/>
  <c r="AR75" i="40"/>
  <c r="AS75" i="40"/>
  <c r="AT75" i="40"/>
  <c r="AU75" i="40"/>
  <c r="AQ76" i="40"/>
  <c r="AR76" i="40"/>
  <c r="AS76" i="40"/>
  <c r="AT76" i="40"/>
  <c r="AU76" i="40"/>
  <c r="AQ77" i="40"/>
  <c r="AR77" i="40"/>
  <c r="AS77" i="40"/>
  <c r="AT77" i="40"/>
  <c r="AU77" i="40"/>
  <c r="AQ78" i="40"/>
  <c r="AR78" i="40"/>
  <c r="AS78" i="40"/>
  <c r="AT78" i="40"/>
  <c r="AU78" i="40"/>
  <c r="AQ79" i="40"/>
  <c r="AR79" i="40"/>
  <c r="AS79" i="40"/>
  <c r="AT79" i="40"/>
  <c r="AU79" i="40"/>
  <c r="AQ80" i="40"/>
  <c r="AR80" i="40"/>
  <c r="AS80" i="40"/>
  <c r="AT80" i="40"/>
  <c r="AU80" i="40"/>
  <c r="AQ81" i="40"/>
  <c r="AR81" i="40"/>
  <c r="AS81" i="40"/>
  <c r="AT81" i="40"/>
  <c r="AU81" i="40"/>
  <c r="AQ82" i="40"/>
  <c r="AR82" i="40"/>
  <c r="AS82" i="40"/>
  <c r="AT82" i="40"/>
  <c r="AU82" i="40"/>
  <c r="AQ83" i="40"/>
  <c r="AR83" i="40"/>
  <c r="AS83" i="40"/>
  <c r="AT83" i="40"/>
  <c r="AU83" i="40"/>
  <c r="AQ84" i="40"/>
  <c r="AR84" i="40"/>
  <c r="AS84" i="40"/>
  <c r="AT84" i="40"/>
  <c r="AU84" i="40"/>
  <c r="AU4" i="40"/>
  <c r="AT4" i="40"/>
  <c r="AS4" i="40"/>
  <c r="AR4" i="40"/>
  <c r="AQ4" i="40"/>
  <c r="BH2" i="40"/>
  <c r="BH3" i="40" s="1"/>
  <c r="BG2" i="40"/>
  <c r="BG3" i="40" s="1"/>
  <c r="BF2" i="40"/>
  <c r="BF3" i="40" s="1"/>
  <c r="BE2" i="40"/>
  <c r="BE3" i="40" s="1"/>
  <c r="BD2" i="40"/>
  <c r="BD3" i="40" s="1"/>
  <c r="AU2" i="40"/>
  <c r="AU3" i="40" s="1"/>
  <c r="AT2" i="40"/>
  <c r="AT3" i="40" s="1"/>
  <c r="AS2" i="40"/>
  <c r="AS3" i="40" s="1"/>
  <c r="AR2" i="40"/>
  <c r="AR3" i="40" s="1"/>
  <c r="AQ2" i="40"/>
  <c r="AQ3" i="40" s="1"/>
  <c r="AW84" i="40" l="1"/>
  <c r="AW52" i="40"/>
  <c r="AV7" i="40"/>
  <c r="AW42" i="40"/>
  <c r="AV15" i="40"/>
  <c r="AV63" i="40"/>
  <c r="AV39" i="40"/>
  <c r="AV23" i="40"/>
  <c r="AV75" i="40"/>
  <c r="AW56" i="40"/>
  <c r="AV38" i="40"/>
  <c r="AV30" i="40"/>
  <c r="AV16" i="40"/>
  <c r="AW80" i="40"/>
  <c r="AW78" i="40"/>
  <c r="AW72" i="40"/>
  <c r="AV71" i="40"/>
  <c r="AV70" i="40"/>
  <c r="AV67" i="40"/>
  <c r="AV66" i="40"/>
  <c r="AW64" i="40"/>
  <c r="AV62" i="40"/>
  <c r="AV59" i="40"/>
  <c r="AW54" i="40"/>
  <c r="AV48" i="40"/>
  <c r="AV47" i="40"/>
  <c r="AW46" i="40"/>
  <c r="AW40" i="40"/>
  <c r="AW38" i="40"/>
  <c r="AV35" i="40"/>
  <c r="AV34" i="40"/>
  <c r="AW32" i="40"/>
  <c r="AV31" i="40"/>
  <c r="AW30" i="40"/>
  <c r="AV27" i="40"/>
  <c r="AW24" i="40"/>
  <c r="AW22" i="40"/>
  <c r="AV19" i="40"/>
  <c r="AW14" i="40"/>
  <c r="AW8" i="40"/>
  <c r="AW6" i="40"/>
  <c r="AV78" i="40"/>
  <c r="AV40" i="40"/>
  <c r="AV32" i="40"/>
  <c r="AV79" i="40"/>
  <c r="AW70" i="40"/>
  <c r="AV58" i="40"/>
  <c r="AV54" i="40"/>
  <c r="AW50" i="40"/>
  <c r="AW48" i="40"/>
  <c r="AW20" i="40"/>
  <c r="AV80" i="40"/>
  <c r="AV20" i="40"/>
  <c r="AW16" i="40"/>
  <c r="AV64" i="40"/>
  <c r="AV8" i="40"/>
  <c r="AW62" i="40"/>
  <c r="AV6" i="40"/>
  <c r="AV22" i="40"/>
  <c r="AV72" i="40"/>
  <c r="AV43" i="40"/>
  <c r="AW44" i="40"/>
  <c r="AW66" i="40"/>
  <c r="AV28" i="40"/>
  <c r="AW18" i="40"/>
  <c r="AV36" i="40"/>
  <c r="AV51" i="40"/>
  <c r="AV52" i="40"/>
  <c r="AV11" i="40"/>
  <c r="AV55" i="40"/>
  <c r="AW10" i="40"/>
  <c r="AV26" i="40"/>
  <c r="AW12" i="40"/>
  <c r="AW34" i="40"/>
  <c r="AV60" i="40"/>
  <c r="AV84" i="40"/>
  <c r="BA84" i="40" s="1"/>
  <c r="AW82" i="40"/>
  <c r="AV82" i="40"/>
  <c r="AV4" i="40"/>
  <c r="AW4" i="40"/>
  <c r="AW73" i="40"/>
  <c r="AV73" i="40"/>
  <c r="AW37" i="40"/>
  <c r="AV37" i="40"/>
  <c r="AW81" i="40"/>
  <c r="AV81" i="40"/>
  <c r="AW36" i="40"/>
  <c r="AW9" i="40"/>
  <c r="AV9" i="40"/>
  <c r="AV18" i="40"/>
  <c r="AW29" i="40"/>
  <c r="AV29" i="40"/>
  <c r="AW41" i="40"/>
  <c r="AV41" i="40"/>
  <c r="AV46" i="40"/>
  <c r="AV50" i="40"/>
  <c r="AW61" i="40"/>
  <c r="AV61" i="40"/>
  <c r="AW25" i="40"/>
  <c r="AV25" i="40"/>
  <c r="AW5" i="40"/>
  <c r="AV5" i="40"/>
  <c r="AW17" i="40"/>
  <c r="AV17" i="40"/>
  <c r="AW49" i="40"/>
  <c r="AV49" i="40"/>
  <c r="AV14" i="40"/>
  <c r="AV24" i="40"/>
  <c r="AW28" i="40"/>
  <c r="AV56" i="40"/>
  <c r="AW60" i="40"/>
  <c r="AW68" i="40"/>
  <c r="AV68" i="40"/>
  <c r="AW74" i="40"/>
  <c r="AV74" i="40"/>
  <c r="AW76" i="40"/>
  <c r="AV76" i="40"/>
  <c r="AW13" i="40"/>
  <c r="AV13" i="40"/>
  <c r="AW45" i="40"/>
  <c r="AV45" i="40"/>
  <c r="AW57" i="40"/>
  <c r="AV57" i="40"/>
  <c r="AV10" i="40"/>
  <c r="AV12" i="40"/>
  <c r="AW21" i="40"/>
  <c r="AV21" i="40"/>
  <c r="AW26" i="40"/>
  <c r="AW33" i="40"/>
  <c r="AV33" i="40"/>
  <c r="AV42" i="40"/>
  <c r="AV44" i="40"/>
  <c r="AW53" i="40"/>
  <c r="AV53" i="40"/>
  <c r="AW58" i="40"/>
  <c r="AW65" i="40"/>
  <c r="AV65" i="40"/>
  <c r="AW7" i="40"/>
  <c r="AW15" i="40"/>
  <c r="AW23" i="40"/>
  <c r="AW31" i="40"/>
  <c r="AW39" i="40"/>
  <c r="AW47" i="40"/>
  <c r="AW55" i="40"/>
  <c r="AW63" i="40"/>
  <c r="AW71" i="40"/>
  <c r="AW79" i="40"/>
  <c r="AW69" i="40"/>
  <c r="AV69" i="40"/>
  <c r="AW77" i="40"/>
  <c r="AV77" i="40"/>
  <c r="AW83" i="40"/>
  <c r="AV83" i="40"/>
  <c r="AW11" i="40"/>
  <c r="AW19" i="40"/>
  <c r="AW27" i="40"/>
  <c r="AW35" i="40"/>
  <c r="AW43" i="40"/>
  <c r="AW51" i="40"/>
  <c r="AW59" i="40"/>
  <c r="AW67" i="40"/>
  <c r="AW75" i="40"/>
  <c r="BA52" i="40" l="1"/>
  <c r="BA15" i="40"/>
  <c r="AY63" i="40"/>
  <c r="AY6" i="40"/>
  <c r="BA23" i="40"/>
  <c r="BA38" i="40"/>
  <c r="AY19" i="40"/>
  <c r="BA75" i="40"/>
  <c r="BA30" i="40"/>
  <c r="AY38" i="40"/>
  <c r="BA34" i="40"/>
  <c r="BA22" i="40"/>
  <c r="BA71" i="40"/>
  <c r="BA54" i="40"/>
  <c r="BA35" i="40"/>
  <c r="BA31" i="40"/>
  <c r="BA8" i="40"/>
  <c r="BA78" i="40"/>
  <c r="AY64" i="40"/>
  <c r="BA62" i="40"/>
  <c r="AY59" i="40"/>
  <c r="AY16" i="40"/>
  <c r="AY80" i="40"/>
  <c r="BA79" i="40"/>
  <c r="BA72" i="40"/>
  <c r="BA70" i="40"/>
  <c r="BA67" i="40"/>
  <c r="AY66" i="40"/>
  <c r="AY48" i="40"/>
  <c r="BA47" i="40"/>
  <c r="BA40" i="40"/>
  <c r="BA32" i="40"/>
  <c r="AY30" i="40"/>
  <c r="BA27" i="40"/>
  <c r="AY78" i="40"/>
  <c r="AY58" i="40"/>
  <c r="AY40" i="40"/>
  <c r="AY36" i="40"/>
  <c r="AY70" i="40"/>
  <c r="AY54" i="40"/>
  <c r="BA51" i="40"/>
  <c r="AY32" i="40"/>
  <c r="BA16" i="40"/>
  <c r="AY62" i="40"/>
  <c r="BA58" i="40"/>
  <c r="BA48" i="40"/>
  <c r="BA80" i="40"/>
  <c r="AY72" i="40"/>
  <c r="BA64" i="40"/>
  <c r="AY60" i="40"/>
  <c r="BA55" i="40"/>
  <c r="AY34" i="40"/>
  <c r="AY22" i="40"/>
  <c r="AY20" i="40"/>
  <c r="AY11" i="40"/>
  <c r="BA6" i="40"/>
  <c r="BA63" i="40"/>
  <c r="AY52" i="40"/>
  <c r="AY55" i="40"/>
  <c r="AY43" i="40"/>
  <c r="AY8" i="40"/>
  <c r="BA20" i="40"/>
  <c r="AY67" i="40"/>
  <c r="BA19" i="40"/>
  <c r="AY15" i="40"/>
  <c r="BA28" i="40"/>
  <c r="AY75" i="40"/>
  <c r="BA36" i="40"/>
  <c r="AY71" i="40"/>
  <c r="AY31" i="40"/>
  <c r="BA66" i="40"/>
  <c r="AY84" i="40"/>
  <c r="BA26" i="40"/>
  <c r="BA59" i="40"/>
  <c r="BA21" i="40"/>
  <c r="AY21" i="40"/>
  <c r="BA56" i="40"/>
  <c r="AY56" i="40"/>
  <c r="BA83" i="40"/>
  <c r="AY83" i="40"/>
  <c r="BA60" i="40"/>
  <c r="AY51" i="40"/>
  <c r="BA77" i="40"/>
  <c r="AY77" i="40"/>
  <c r="BA12" i="40"/>
  <c r="AY12" i="40"/>
  <c r="AY49" i="40"/>
  <c r="BA49" i="40"/>
  <c r="BA46" i="40"/>
  <c r="AY46" i="40"/>
  <c r="AY35" i="40"/>
  <c r="BA10" i="40"/>
  <c r="AY10" i="40"/>
  <c r="AY57" i="40"/>
  <c r="BA57" i="40"/>
  <c r="BA76" i="40"/>
  <c r="AY76" i="40"/>
  <c r="BA24" i="40"/>
  <c r="AY24" i="40"/>
  <c r="AY27" i="40"/>
  <c r="AY41" i="40"/>
  <c r="BA41" i="40"/>
  <c r="BA18" i="40"/>
  <c r="AY18" i="40"/>
  <c r="BA43" i="40"/>
  <c r="BA4" i="40"/>
  <c r="AY4" i="40"/>
  <c r="BA74" i="40"/>
  <c r="AY74" i="40"/>
  <c r="AY17" i="40"/>
  <c r="BA17" i="40"/>
  <c r="BA11" i="40"/>
  <c r="BA61" i="40"/>
  <c r="AY61" i="40"/>
  <c r="AY81" i="40"/>
  <c r="BA81" i="40"/>
  <c r="BA39" i="40"/>
  <c r="AY39" i="40"/>
  <c r="BA42" i="40"/>
  <c r="AY42" i="40"/>
  <c r="BA68" i="40"/>
  <c r="AY68" i="40"/>
  <c r="BA69" i="40"/>
  <c r="AY69" i="40"/>
  <c r="BA53" i="40"/>
  <c r="AY53" i="40"/>
  <c r="AY33" i="40"/>
  <c r="BA33" i="40"/>
  <c r="BA14" i="40"/>
  <c r="AY14" i="40"/>
  <c r="AY25" i="40"/>
  <c r="BA25" i="40"/>
  <c r="AY28" i="40"/>
  <c r="AY23" i="40"/>
  <c r="AY79" i="40"/>
  <c r="AY26" i="40"/>
  <c r="AY47" i="40"/>
  <c r="BA13" i="40"/>
  <c r="AY13" i="40"/>
  <c r="BA44" i="40"/>
  <c r="AY44" i="40"/>
  <c r="BA5" i="40"/>
  <c r="AY5" i="40"/>
  <c r="BA50" i="40"/>
  <c r="AY50" i="40"/>
  <c r="BA82" i="40"/>
  <c r="AY82" i="40"/>
  <c r="AY65" i="40"/>
  <c r="BA65" i="40"/>
  <c r="BA37" i="40"/>
  <c r="AY37" i="40"/>
  <c r="BA7" i="40"/>
  <c r="AY7" i="40"/>
  <c r="BA45" i="40"/>
  <c r="AY45" i="40"/>
  <c r="AY29" i="40"/>
  <c r="BA29" i="40"/>
  <c r="AY9" i="40"/>
  <c r="BA9" i="40"/>
  <c r="AY73" i="40"/>
  <c r="BA73" i="40"/>
  <c r="D32" i="38" l="1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C3" i="38"/>
  <c r="N73" i="28"/>
  <c r="D73" i="28"/>
  <c r="N72" i="28"/>
  <c r="D72" i="28"/>
  <c r="N71" i="28"/>
  <c r="D71" i="28"/>
  <c r="N70" i="28"/>
  <c r="D70" i="28"/>
  <c r="N69" i="28"/>
  <c r="D69" i="28"/>
  <c r="N68" i="28"/>
  <c r="D68" i="28"/>
  <c r="N67" i="28"/>
  <c r="D67" i="28"/>
  <c r="N66" i="28"/>
  <c r="D66" i="28"/>
  <c r="N63" i="28"/>
  <c r="D63" i="28"/>
  <c r="N62" i="28"/>
  <c r="D62" i="28"/>
  <c r="N61" i="28"/>
  <c r="D61" i="28"/>
  <c r="N60" i="28"/>
  <c r="D60" i="28"/>
  <c r="N59" i="28"/>
  <c r="D59" i="28"/>
  <c r="N58" i="28"/>
  <c r="D58" i="28"/>
  <c r="N57" i="28"/>
  <c r="D57" i="28"/>
  <c r="N56" i="28"/>
  <c r="D56" i="28"/>
  <c r="N53" i="28"/>
  <c r="D53" i="28"/>
  <c r="N52" i="28"/>
  <c r="D52" i="28"/>
  <c r="N51" i="28"/>
  <c r="D51" i="28"/>
  <c r="N50" i="28"/>
  <c r="D50" i="28"/>
  <c r="N49" i="28"/>
  <c r="D49" i="28"/>
  <c r="N48" i="28"/>
  <c r="D48" i="28"/>
  <c r="N47" i="28"/>
  <c r="D47" i="28"/>
  <c r="N46" i="28"/>
  <c r="D46" i="28"/>
  <c r="N43" i="28"/>
  <c r="D43" i="28"/>
  <c r="N42" i="28"/>
  <c r="D42" i="28"/>
  <c r="N41" i="28"/>
  <c r="D41" i="28"/>
  <c r="N40" i="28"/>
  <c r="D40" i="28"/>
  <c r="N39" i="28"/>
  <c r="D39" i="28"/>
  <c r="N38" i="28"/>
  <c r="D38" i="28"/>
  <c r="N37" i="28"/>
  <c r="D37" i="28"/>
  <c r="N36" i="28"/>
  <c r="D36" i="28"/>
  <c r="N33" i="28"/>
  <c r="D33" i="28"/>
  <c r="N32" i="28"/>
  <c r="D32" i="28"/>
  <c r="N31" i="28"/>
  <c r="D31" i="28"/>
  <c r="N30" i="28"/>
  <c r="D30" i="28"/>
  <c r="N29" i="28"/>
  <c r="D29" i="28"/>
  <c r="N28" i="28"/>
  <c r="D28" i="28"/>
  <c r="N27" i="28"/>
  <c r="D27" i="28"/>
  <c r="N26" i="28"/>
  <c r="D26" i="28"/>
  <c r="O37" i="29"/>
  <c r="D37" i="29"/>
  <c r="O36" i="29"/>
  <c r="D36" i="29"/>
  <c r="O35" i="29"/>
  <c r="D35" i="29"/>
  <c r="O34" i="29"/>
  <c r="D34" i="29"/>
  <c r="O33" i="29"/>
  <c r="D33" i="29"/>
  <c r="O32" i="29"/>
  <c r="D32" i="29"/>
  <c r="O31" i="29"/>
  <c r="D31" i="29"/>
  <c r="O30" i="29"/>
  <c r="D30" i="29"/>
  <c r="O29" i="29"/>
  <c r="D29" i="29"/>
  <c r="O28" i="29"/>
  <c r="D28" i="29"/>
  <c r="O27" i="29"/>
  <c r="D27" i="29"/>
  <c r="O26" i="29"/>
  <c r="D26" i="29"/>
  <c r="O25" i="29"/>
  <c r="D25" i="29"/>
  <c r="O24" i="29"/>
  <c r="D24" i="29"/>
  <c r="O23" i="29"/>
  <c r="D23" i="29"/>
  <c r="O8" i="29"/>
  <c r="D8" i="29"/>
  <c r="O7" i="29"/>
  <c r="D7" i="29"/>
  <c r="O6" i="29"/>
  <c r="P29" i="29" s="1"/>
  <c r="D6" i="29"/>
  <c r="O5" i="29"/>
  <c r="D5" i="29"/>
  <c r="O4" i="29"/>
  <c r="P24" i="29" s="1"/>
  <c r="D4" i="29"/>
  <c r="AR86" i="10"/>
  <c r="AQ86" i="10"/>
  <c r="AP86" i="10"/>
  <c r="AO86" i="10"/>
  <c r="AN86" i="10"/>
  <c r="AL86" i="10"/>
  <c r="AK86" i="10"/>
  <c r="AJ86" i="10"/>
  <c r="AI86" i="10"/>
  <c r="AH86" i="10"/>
  <c r="AR85" i="10"/>
  <c r="AQ85" i="10"/>
  <c r="AP85" i="10"/>
  <c r="AO85" i="10"/>
  <c r="AN85" i="10"/>
  <c r="AL85" i="10"/>
  <c r="AK85" i="10"/>
  <c r="AJ85" i="10"/>
  <c r="AI85" i="10"/>
  <c r="AH85" i="10"/>
  <c r="AR84" i="10"/>
  <c r="AQ84" i="10"/>
  <c r="AP84" i="10"/>
  <c r="AO84" i="10"/>
  <c r="AN84" i="10"/>
  <c r="AL84" i="10"/>
  <c r="AK84" i="10"/>
  <c r="AJ84" i="10"/>
  <c r="AI84" i="10"/>
  <c r="AH84" i="10"/>
  <c r="AT84" i="10" s="1"/>
  <c r="AR83" i="10"/>
  <c r="AQ83" i="10"/>
  <c r="AP83" i="10"/>
  <c r="AO83" i="10"/>
  <c r="AN83" i="10"/>
  <c r="AL83" i="10"/>
  <c r="AK83" i="10"/>
  <c r="AJ83" i="10"/>
  <c r="AI83" i="10"/>
  <c r="AH83" i="10"/>
  <c r="AR82" i="10"/>
  <c r="AQ82" i="10"/>
  <c r="AP82" i="10"/>
  <c r="AO82" i="10"/>
  <c r="AN82" i="10"/>
  <c r="AL82" i="10"/>
  <c r="AK82" i="10"/>
  <c r="AJ82" i="10"/>
  <c r="AI82" i="10"/>
  <c r="AH82" i="10"/>
  <c r="AR81" i="10"/>
  <c r="AQ81" i="10"/>
  <c r="AP81" i="10"/>
  <c r="AO81" i="10"/>
  <c r="AN81" i="10"/>
  <c r="AL81" i="10"/>
  <c r="AK81" i="10"/>
  <c r="AJ81" i="10"/>
  <c r="AI81" i="10"/>
  <c r="AH81" i="10"/>
  <c r="AR80" i="10"/>
  <c r="AQ80" i="10"/>
  <c r="AP80" i="10"/>
  <c r="AO80" i="10"/>
  <c r="AN80" i="10"/>
  <c r="AL80" i="10"/>
  <c r="AK80" i="10"/>
  <c r="AJ80" i="10"/>
  <c r="AI80" i="10"/>
  <c r="AH80" i="10"/>
  <c r="AT80" i="10" s="1"/>
  <c r="AR79" i="10"/>
  <c r="AQ79" i="10"/>
  <c r="AP79" i="10"/>
  <c r="AO79" i="10"/>
  <c r="AN79" i="10"/>
  <c r="AL79" i="10"/>
  <c r="AK79" i="10"/>
  <c r="AJ79" i="10"/>
  <c r="AI79" i="10"/>
  <c r="AH79" i="10"/>
  <c r="AR78" i="10"/>
  <c r="AQ78" i="10"/>
  <c r="AP78" i="10"/>
  <c r="AO78" i="10"/>
  <c r="AN78" i="10"/>
  <c r="AL78" i="10"/>
  <c r="AK78" i="10"/>
  <c r="AJ78" i="10"/>
  <c r="AI78" i="10"/>
  <c r="AH78" i="10"/>
  <c r="AR77" i="10"/>
  <c r="AQ77" i="10"/>
  <c r="AP77" i="10"/>
  <c r="AO77" i="10"/>
  <c r="AN77" i="10"/>
  <c r="AL77" i="10"/>
  <c r="AK77" i="10"/>
  <c r="AJ77" i="10"/>
  <c r="AI77" i="10"/>
  <c r="AH77" i="10"/>
  <c r="AR76" i="10"/>
  <c r="AQ76" i="10"/>
  <c r="AP76" i="10"/>
  <c r="AO76" i="10"/>
  <c r="AN76" i="10"/>
  <c r="AL76" i="10"/>
  <c r="AK76" i="10"/>
  <c r="AJ76" i="10"/>
  <c r="AI76" i="10"/>
  <c r="AH76" i="10"/>
  <c r="AR75" i="10"/>
  <c r="AQ75" i="10"/>
  <c r="AP75" i="10"/>
  <c r="AO75" i="10"/>
  <c r="AN75" i="10"/>
  <c r="AL75" i="10"/>
  <c r="AK75" i="10"/>
  <c r="AJ75" i="10"/>
  <c r="AI75" i="10"/>
  <c r="AH75" i="10"/>
  <c r="AT75" i="10" s="1"/>
  <c r="AR74" i="10"/>
  <c r="AQ74" i="10"/>
  <c r="AP74" i="10"/>
  <c r="AO74" i="10"/>
  <c r="AN74" i="10"/>
  <c r="AL74" i="10"/>
  <c r="AK74" i="10"/>
  <c r="AJ74" i="10"/>
  <c r="AI74" i="10"/>
  <c r="AH74" i="10"/>
  <c r="AR73" i="10"/>
  <c r="AQ73" i="10"/>
  <c r="AP73" i="10"/>
  <c r="AO73" i="10"/>
  <c r="AN73" i="10"/>
  <c r="AL73" i="10"/>
  <c r="AK73" i="10"/>
  <c r="AJ73" i="10"/>
  <c r="AI73" i="10"/>
  <c r="AH73" i="10"/>
  <c r="AR72" i="10"/>
  <c r="AQ72" i="10"/>
  <c r="AP72" i="10"/>
  <c r="AO72" i="10"/>
  <c r="AN72" i="10"/>
  <c r="AL72" i="10"/>
  <c r="AK72" i="10"/>
  <c r="AJ72" i="10"/>
  <c r="AI72" i="10"/>
  <c r="AH72" i="10"/>
  <c r="AT72" i="10" s="1"/>
  <c r="AR71" i="10"/>
  <c r="AQ71" i="10"/>
  <c r="AP71" i="10"/>
  <c r="AO71" i="10"/>
  <c r="AN71" i="10"/>
  <c r="AL71" i="10"/>
  <c r="AK71" i="10"/>
  <c r="AJ71" i="10"/>
  <c r="AI71" i="10"/>
  <c r="AH71" i="10"/>
  <c r="AR70" i="10"/>
  <c r="AQ70" i="10"/>
  <c r="AP70" i="10"/>
  <c r="AO70" i="10"/>
  <c r="AN70" i="10"/>
  <c r="AL70" i="10"/>
  <c r="AK70" i="10"/>
  <c r="AJ70" i="10"/>
  <c r="AI70" i="10"/>
  <c r="AH70" i="10"/>
  <c r="AR69" i="10"/>
  <c r="AQ69" i="10"/>
  <c r="AP69" i="10"/>
  <c r="AO69" i="10"/>
  <c r="AN69" i="10"/>
  <c r="AL69" i="10"/>
  <c r="AK69" i="10"/>
  <c r="AJ69" i="10"/>
  <c r="AI69" i="10"/>
  <c r="AH69" i="10"/>
  <c r="AR68" i="10"/>
  <c r="AQ68" i="10"/>
  <c r="AP68" i="10"/>
  <c r="AO68" i="10"/>
  <c r="AN68" i="10"/>
  <c r="AL68" i="10"/>
  <c r="AK68" i="10"/>
  <c r="AJ68" i="10"/>
  <c r="AI68" i="10"/>
  <c r="AH68" i="10"/>
  <c r="AR67" i="10"/>
  <c r="AQ67" i="10"/>
  <c r="AP67" i="10"/>
  <c r="AO67" i="10"/>
  <c r="AN67" i="10"/>
  <c r="AL67" i="10"/>
  <c r="AK67" i="10"/>
  <c r="AJ67" i="10"/>
  <c r="AI67" i="10"/>
  <c r="AH67" i="10"/>
  <c r="AR66" i="10"/>
  <c r="AQ66" i="10"/>
  <c r="AP66" i="10"/>
  <c r="AO66" i="10"/>
  <c r="AN66" i="10"/>
  <c r="AL66" i="10"/>
  <c r="AK66" i="10"/>
  <c r="AJ66" i="10"/>
  <c r="AI66" i="10"/>
  <c r="AH66" i="10"/>
  <c r="AR65" i="10"/>
  <c r="AQ65" i="10"/>
  <c r="AP65" i="10"/>
  <c r="AO65" i="10"/>
  <c r="AN65" i="10"/>
  <c r="AL65" i="10"/>
  <c r="AK65" i="10"/>
  <c r="AJ65" i="10"/>
  <c r="AI65" i="10"/>
  <c r="AH65" i="10"/>
  <c r="AR64" i="10"/>
  <c r="AQ64" i="10"/>
  <c r="AP64" i="10"/>
  <c r="AO64" i="10"/>
  <c r="AN64" i="10"/>
  <c r="AL64" i="10"/>
  <c r="AK64" i="10"/>
  <c r="AJ64" i="10"/>
  <c r="AI64" i="10"/>
  <c r="AH64" i="10"/>
  <c r="AR63" i="10"/>
  <c r="AQ63" i="10"/>
  <c r="AP63" i="10"/>
  <c r="AO63" i="10"/>
  <c r="AN63" i="10"/>
  <c r="AL63" i="10"/>
  <c r="AK63" i="10"/>
  <c r="AJ63" i="10"/>
  <c r="AI63" i="10"/>
  <c r="AH63" i="10"/>
  <c r="AR62" i="10"/>
  <c r="AQ62" i="10"/>
  <c r="AP62" i="10"/>
  <c r="AO62" i="10"/>
  <c r="AN62" i="10"/>
  <c r="AL62" i="10"/>
  <c r="AK62" i="10"/>
  <c r="AJ62" i="10"/>
  <c r="AI62" i="10"/>
  <c r="AH62" i="10"/>
  <c r="AR61" i="10"/>
  <c r="AQ61" i="10"/>
  <c r="AP61" i="10"/>
  <c r="AO61" i="10"/>
  <c r="AN61" i="10"/>
  <c r="AL61" i="10"/>
  <c r="AK61" i="10"/>
  <c r="AJ61" i="10"/>
  <c r="AI61" i="10"/>
  <c r="AH61" i="10"/>
  <c r="AR60" i="10"/>
  <c r="AQ60" i="10"/>
  <c r="AP60" i="10"/>
  <c r="AO60" i="10"/>
  <c r="AN60" i="10"/>
  <c r="AL60" i="10"/>
  <c r="AK60" i="10"/>
  <c r="AJ60" i="10"/>
  <c r="AI60" i="10"/>
  <c r="AH60" i="10"/>
  <c r="AR59" i="10"/>
  <c r="AQ59" i="10"/>
  <c r="AP59" i="10"/>
  <c r="AO59" i="10"/>
  <c r="AN59" i="10"/>
  <c r="AL59" i="10"/>
  <c r="AK59" i="10"/>
  <c r="AJ59" i="10"/>
  <c r="AI59" i="10"/>
  <c r="AH59" i="10"/>
  <c r="AR58" i="10"/>
  <c r="AQ58" i="10"/>
  <c r="AP58" i="10"/>
  <c r="AO58" i="10"/>
  <c r="AN58" i="10"/>
  <c r="AL58" i="10"/>
  <c r="AK58" i="10"/>
  <c r="AJ58" i="10"/>
  <c r="AI58" i="10"/>
  <c r="AH58" i="10"/>
  <c r="AR57" i="10"/>
  <c r="AQ57" i="10"/>
  <c r="AP57" i="10"/>
  <c r="AO57" i="10"/>
  <c r="AN57" i="10"/>
  <c r="AL57" i="10"/>
  <c r="AK57" i="10"/>
  <c r="AJ57" i="10"/>
  <c r="AI57" i="10"/>
  <c r="AH57" i="10"/>
  <c r="AR56" i="10"/>
  <c r="AQ56" i="10"/>
  <c r="AP56" i="10"/>
  <c r="AO56" i="10"/>
  <c r="AN56" i="10"/>
  <c r="AL56" i="10"/>
  <c r="AK56" i="10"/>
  <c r="AJ56" i="10"/>
  <c r="AI56" i="10"/>
  <c r="AH56" i="10"/>
  <c r="AR55" i="10"/>
  <c r="AQ55" i="10"/>
  <c r="AP55" i="10"/>
  <c r="AO55" i="10"/>
  <c r="AN55" i="10"/>
  <c r="AL55" i="10"/>
  <c r="AK55" i="10"/>
  <c r="AJ55" i="10"/>
  <c r="AI55" i="10"/>
  <c r="AH55" i="10"/>
  <c r="AR54" i="10"/>
  <c r="AQ54" i="10"/>
  <c r="AP54" i="10"/>
  <c r="AO54" i="10"/>
  <c r="AN54" i="10"/>
  <c r="AL54" i="10"/>
  <c r="AK54" i="10"/>
  <c r="AJ54" i="10"/>
  <c r="AI54" i="10"/>
  <c r="AH54" i="10"/>
  <c r="AR53" i="10"/>
  <c r="AQ53" i="10"/>
  <c r="AP53" i="10"/>
  <c r="AO53" i="10"/>
  <c r="AN53" i="10"/>
  <c r="AL53" i="10"/>
  <c r="AK53" i="10"/>
  <c r="AJ53" i="10"/>
  <c r="AI53" i="10"/>
  <c r="AH53" i="10"/>
  <c r="AR52" i="10"/>
  <c r="AQ52" i="10"/>
  <c r="AP52" i="10"/>
  <c r="AO52" i="10"/>
  <c r="AN52" i="10"/>
  <c r="AL52" i="10"/>
  <c r="AK52" i="10"/>
  <c r="AJ52" i="10"/>
  <c r="AI52" i="10"/>
  <c r="AH52" i="10"/>
  <c r="AR51" i="10"/>
  <c r="AQ51" i="10"/>
  <c r="AP51" i="10"/>
  <c r="AO51" i="10"/>
  <c r="AN51" i="10"/>
  <c r="AL51" i="10"/>
  <c r="AK51" i="10"/>
  <c r="AJ51" i="10"/>
  <c r="AI51" i="10"/>
  <c r="AH51" i="10"/>
  <c r="AT51" i="10" s="1"/>
  <c r="AR50" i="10"/>
  <c r="AQ50" i="10"/>
  <c r="AP50" i="10"/>
  <c r="AO50" i="10"/>
  <c r="AN50" i="10"/>
  <c r="AL50" i="10"/>
  <c r="AK50" i="10"/>
  <c r="AJ50" i="10"/>
  <c r="AI50" i="10"/>
  <c r="AH50" i="10"/>
  <c r="AR49" i="10"/>
  <c r="AQ49" i="10"/>
  <c r="AP49" i="10"/>
  <c r="AO49" i="10"/>
  <c r="AN49" i="10"/>
  <c r="AL49" i="10"/>
  <c r="AK49" i="10"/>
  <c r="AJ49" i="10"/>
  <c r="AI49" i="10"/>
  <c r="AH49" i="10"/>
  <c r="AR48" i="10"/>
  <c r="AQ48" i="10"/>
  <c r="AP48" i="10"/>
  <c r="AO48" i="10"/>
  <c r="AN48" i="10"/>
  <c r="AL48" i="10"/>
  <c r="AK48" i="10"/>
  <c r="AJ48" i="10"/>
  <c r="AI48" i="10"/>
  <c r="AH48" i="10"/>
  <c r="AR47" i="10"/>
  <c r="AQ47" i="10"/>
  <c r="AP47" i="10"/>
  <c r="AO47" i="10"/>
  <c r="AN47" i="10"/>
  <c r="AL47" i="10"/>
  <c r="AK47" i="10"/>
  <c r="AJ47" i="10"/>
  <c r="AI47" i="10"/>
  <c r="AH47" i="10"/>
  <c r="AR46" i="10"/>
  <c r="AQ46" i="10"/>
  <c r="AP46" i="10"/>
  <c r="AO46" i="10"/>
  <c r="AN46" i="10"/>
  <c r="AL46" i="10"/>
  <c r="AK46" i="10"/>
  <c r="AJ46" i="10"/>
  <c r="AI46" i="10"/>
  <c r="AH46" i="10"/>
  <c r="AR45" i="10"/>
  <c r="AQ45" i="10"/>
  <c r="AP45" i="10"/>
  <c r="AO45" i="10"/>
  <c r="AN45" i="10"/>
  <c r="AL45" i="10"/>
  <c r="AK45" i="10"/>
  <c r="AJ45" i="10"/>
  <c r="AI45" i="10"/>
  <c r="AH45" i="10"/>
  <c r="AR44" i="10"/>
  <c r="AQ44" i="10"/>
  <c r="AP44" i="10"/>
  <c r="AO44" i="10"/>
  <c r="AN44" i="10"/>
  <c r="AL44" i="10"/>
  <c r="AK44" i="10"/>
  <c r="AJ44" i="10"/>
  <c r="AI44" i="10"/>
  <c r="AH44" i="10"/>
  <c r="AR43" i="10"/>
  <c r="AQ43" i="10"/>
  <c r="AP43" i="10"/>
  <c r="AO43" i="10"/>
  <c r="AN43" i="10"/>
  <c r="AL43" i="10"/>
  <c r="AK43" i="10"/>
  <c r="AJ43" i="10"/>
  <c r="AI43" i="10"/>
  <c r="AH43" i="10"/>
  <c r="AT43" i="10" s="1"/>
  <c r="AR42" i="10"/>
  <c r="AQ42" i="10"/>
  <c r="AP42" i="10"/>
  <c r="AO42" i="10"/>
  <c r="AN42" i="10"/>
  <c r="AL42" i="10"/>
  <c r="AK42" i="10"/>
  <c r="AJ42" i="10"/>
  <c r="AI42" i="10"/>
  <c r="AH42" i="10"/>
  <c r="AR41" i="10"/>
  <c r="AQ41" i="10"/>
  <c r="AP41" i="10"/>
  <c r="AO41" i="10"/>
  <c r="AN41" i="10"/>
  <c r="AL41" i="10"/>
  <c r="AK41" i="10"/>
  <c r="AJ41" i="10"/>
  <c r="AI41" i="10"/>
  <c r="AH41" i="10"/>
  <c r="AR40" i="10"/>
  <c r="AQ40" i="10"/>
  <c r="AP40" i="10"/>
  <c r="AO40" i="10"/>
  <c r="AN40" i="10"/>
  <c r="AL40" i="10"/>
  <c r="AK40" i="10"/>
  <c r="AJ40" i="10"/>
  <c r="AI40" i="10"/>
  <c r="AH40" i="10"/>
  <c r="AR39" i="10"/>
  <c r="AQ39" i="10"/>
  <c r="AP39" i="10"/>
  <c r="AO39" i="10"/>
  <c r="AN39" i="10"/>
  <c r="AL39" i="10"/>
  <c r="AK39" i="10"/>
  <c r="AJ39" i="10"/>
  <c r="AI39" i="10"/>
  <c r="AH39" i="10"/>
  <c r="AR38" i="10"/>
  <c r="AQ38" i="10"/>
  <c r="AP38" i="10"/>
  <c r="AO38" i="10"/>
  <c r="AN38" i="10"/>
  <c r="AL38" i="10"/>
  <c r="AK38" i="10"/>
  <c r="AJ38" i="10"/>
  <c r="AI38" i="10"/>
  <c r="AH38" i="10"/>
  <c r="AR37" i="10"/>
  <c r="AQ37" i="10"/>
  <c r="AP37" i="10"/>
  <c r="AO37" i="10"/>
  <c r="AN37" i="10"/>
  <c r="AL37" i="10"/>
  <c r="AK37" i="10"/>
  <c r="AJ37" i="10"/>
  <c r="AI37" i="10"/>
  <c r="AH37" i="10"/>
  <c r="AR36" i="10"/>
  <c r="AQ36" i="10"/>
  <c r="AP36" i="10"/>
  <c r="AO36" i="10"/>
  <c r="AN36" i="10"/>
  <c r="AL36" i="10"/>
  <c r="AK36" i="10"/>
  <c r="AJ36" i="10"/>
  <c r="AI36" i="10"/>
  <c r="AH36" i="10"/>
  <c r="AR35" i="10"/>
  <c r="AQ35" i="10"/>
  <c r="AP35" i="10"/>
  <c r="AO35" i="10"/>
  <c r="AN35" i="10"/>
  <c r="AL35" i="10"/>
  <c r="AK35" i="10"/>
  <c r="AJ35" i="10"/>
  <c r="AI35" i="10"/>
  <c r="AH35" i="10"/>
  <c r="AR34" i="10"/>
  <c r="AQ34" i="10"/>
  <c r="AP34" i="10"/>
  <c r="AO34" i="10"/>
  <c r="AN34" i="10"/>
  <c r="AL34" i="10"/>
  <c r="AK34" i="10"/>
  <c r="AJ34" i="10"/>
  <c r="AI34" i="10"/>
  <c r="AH34" i="10"/>
  <c r="AR33" i="10"/>
  <c r="AQ33" i="10"/>
  <c r="AP33" i="10"/>
  <c r="AO33" i="10"/>
  <c r="AN33" i="10"/>
  <c r="AL33" i="10"/>
  <c r="AK33" i="10"/>
  <c r="AJ33" i="10"/>
  <c r="AI33" i="10"/>
  <c r="AH33" i="10"/>
  <c r="AR32" i="10"/>
  <c r="AQ32" i="10"/>
  <c r="AP32" i="10"/>
  <c r="AO32" i="10"/>
  <c r="AN32" i="10"/>
  <c r="AL32" i="10"/>
  <c r="AK32" i="10"/>
  <c r="AJ32" i="10"/>
  <c r="AI32" i="10"/>
  <c r="AH32" i="10"/>
  <c r="AT32" i="10" s="1"/>
  <c r="AR31" i="10"/>
  <c r="AQ31" i="10"/>
  <c r="AP31" i="10"/>
  <c r="AO31" i="10"/>
  <c r="AN31" i="10"/>
  <c r="AL31" i="10"/>
  <c r="AK31" i="10"/>
  <c r="AJ31" i="10"/>
  <c r="AI31" i="10"/>
  <c r="AH31" i="10"/>
  <c r="AR30" i="10"/>
  <c r="AQ30" i="10"/>
  <c r="AP30" i="10"/>
  <c r="AO30" i="10"/>
  <c r="AN30" i="10"/>
  <c r="AL30" i="10"/>
  <c r="AK30" i="10"/>
  <c r="AJ30" i="10"/>
  <c r="AI30" i="10"/>
  <c r="AH30" i="10"/>
  <c r="AR29" i="10"/>
  <c r="AQ29" i="10"/>
  <c r="AP29" i="10"/>
  <c r="AO29" i="10"/>
  <c r="AN29" i="10"/>
  <c r="AL29" i="10"/>
  <c r="AK29" i="10"/>
  <c r="AJ29" i="10"/>
  <c r="AI29" i="10"/>
  <c r="AH29" i="10"/>
  <c r="AR28" i="10"/>
  <c r="AQ28" i="10"/>
  <c r="AP28" i="10"/>
  <c r="AO28" i="10"/>
  <c r="AN28" i="10"/>
  <c r="AL28" i="10"/>
  <c r="AK28" i="10"/>
  <c r="AJ28" i="10"/>
  <c r="AI28" i="10"/>
  <c r="AH28" i="10"/>
  <c r="AR27" i="10"/>
  <c r="AQ27" i="10"/>
  <c r="AP27" i="10"/>
  <c r="AO27" i="10"/>
  <c r="AN27" i="10"/>
  <c r="AL27" i="10"/>
  <c r="AK27" i="10"/>
  <c r="AJ27" i="10"/>
  <c r="AI27" i="10"/>
  <c r="AH27" i="10"/>
  <c r="AR26" i="10"/>
  <c r="AQ26" i="10"/>
  <c r="AP26" i="10"/>
  <c r="AO26" i="10"/>
  <c r="AN26" i="10"/>
  <c r="AL26" i="10"/>
  <c r="AK26" i="10"/>
  <c r="AJ26" i="10"/>
  <c r="AI26" i="10"/>
  <c r="AH26" i="10"/>
  <c r="AR25" i="10"/>
  <c r="AQ25" i="10"/>
  <c r="AP25" i="10"/>
  <c r="AO25" i="10"/>
  <c r="AN25" i="10"/>
  <c r="AL25" i="10"/>
  <c r="AK25" i="10"/>
  <c r="AJ25" i="10"/>
  <c r="AI25" i="10"/>
  <c r="AH25" i="10"/>
  <c r="AR24" i="10"/>
  <c r="AQ24" i="10"/>
  <c r="AP24" i="10"/>
  <c r="AO24" i="10"/>
  <c r="AN24" i="10"/>
  <c r="AL24" i="10"/>
  <c r="AK24" i="10"/>
  <c r="AJ24" i="10"/>
  <c r="AI24" i="10"/>
  <c r="AH24" i="10"/>
  <c r="AT24" i="10" s="1"/>
  <c r="AR23" i="10"/>
  <c r="AQ23" i="10"/>
  <c r="AP23" i="10"/>
  <c r="AO23" i="10"/>
  <c r="AN23" i="10"/>
  <c r="AL23" i="10"/>
  <c r="AK23" i="10"/>
  <c r="AJ23" i="10"/>
  <c r="AI23" i="10"/>
  <c r="AH23" i="10"/>
  <c r="AR22" i="10"/>
  <c r="AQ22" i="10"/>
  <c r="AP22" i="10"/>
  <c r="AO22" i="10"/>
  <c r="AN22" i="10"/>
  <c r="AL22" i="10"/>
  <c r="AK22" i="10"/>
  <c r="AJ22" i="10"/>
  <c r="AI22" i="10"/>
  <c r="AH22" i="10"/>
  <c r="AR21" i="10"/>
  <c r="AQ21" i="10"/>
  <c r="AP21" i="10"/>
  <c r="AO21" i="10"/>
  <c r="AN21" i="10"/>
  <c r="AL21" i="10"/>
  <c r="AK21" i="10"/>
  <c r="AJ21" i="10"/>
  <c r="AI21" i="10"/>
  <c r="AH21" i="10"/>
  <c r="AR20" i="10"/>
  <c r="AQ20" i="10"/>
  <c r="AP20" i="10"/>
  <c r="AO20" i="10"/>
  <c r="AN20" i="10"/>
  <c r="AL20" i="10"/>
  <c r="AK20" i="10"/>
  <c r="AJ20" i="10"/>
  <c r="AI20" i="10"/>
  <c r="AH20" i="10"/>
  <c r="AR19" i="10"/>
  <c r="AQ19" i="10"/>
  <c r="AP19" i="10"/>
  <c r="AO19" i="10"/>
  <c r="AN19" i="10"/>
  <c r="AL19" i="10"/>
  <c r="AK19" i="10"/>
  <c r="AJ19" i="10"/>
  <c r="AI19" i="10"/>
  <c r="AH19" i="10"/>
  <c r="AR18" i="10"/>
  <c r="AQ18" i="10"/>
  <c r="AP18" i="10"/>
  <c r="AO18" i="10"/>
  <c r="AN18" i="10"/>
  <c r="AL18" i="10"/>
  <c r="AK18" i="10"/>
  <c r="AJ18" i="10"/>
  <c r="AI18" i="10"/>
  <c r="AH18" i="10"/>
  <c r="AR17" i="10"/>
  <c r="AQ17" i="10"/>
  <c r="AP17" i="10"/>
  <c r="AO17" i="10"/>
  <c r="AN17" i="10"/>
  <c r="AL17" i="10"/>
  <c r="AK17" i="10"/>
  <c r="AJ17" i="10"/>
  <c r="AI17" i="10"/>
  <c r="AH17" i="10"/>
  <c r="AR16" i="10"/>
  <c r="AQ16" i="10"/>
  <c r="AP16" i="10"/>
  <c r="AO16" i="10"/>
  <c r="AN16" i="10"/>
  <c r="AL16" i="10"/>
  <c r="AK16" i="10"/>
  <c r="AJ16" i="10"/>
  <c r="AI16" i="10"/>
  <c r="AH16" i="10"/>
  <c r="AR15" i="10"/>
  <c r="AQ15" i="10"/>
  <c r="AP15" i="10"/>
  <c r="AO15" i="10"/>
  <c r="AN15" i="10"/>
  <c r="AL15" i="10"/>
  <c r="AK15" i="10"/>
  <c r="AJ15" i="10"/>
  <c r="AI15" i="10"/>
  <c r="AH15" i="10"/>
  <c r="AR14" i="10"/>
  <c r="AQ14" i="10"/>
  <c r="AP14" i="10"/>
  <c r="AO14" i="10"/>
  <c r="AN14" i="10"/>
  <c r="AL14" i="10"/>
  <c r="AK14" i="10"/>
  <c r="AJ14" i="10"/>
  <c r="AI14" i="10"/>
  <c r="AH14" i="10"/>
  <c r="AR13" i="10"/>
  <c r="AQ13" i="10"/>
  <c r="AP13" i="10"/>
  <c r="AO13" i="10"/>
  <c r="AN13" i="10"/>
  <c r="AL13" i="10"/>
  <c r="AK13" i="10"/>
  <c r="AJ13" i="10"/>
  <c r="AI13" i="10"/>
  <c r="AH13" i="10"/>
  <c r="AR12" i="10"/>
  <c r="AQ12" i="10"/>
  <c r="AP12" i="10"/>
  <c r="AO12" i="10"/>
  <c r="AN12" i="10"/>
  <c r="AL12" i="10"/>
  <c r="AK12" i="10"/>
  <c r="AJ12" i="10"/>
  <c r="AI12" i="10"/>
  <c r="AH12" i="10"/>
  <c r="AR11" i="10"/>
  <c r="AQ11" i="10"/>
  <c r="AP11" i="10"/>
  <c r="AO11" i="10"/>
  <c r="AN11" i="10"/>
  <c r="AL11" i="10"/>
  <c r="AK11" i="10"/>
  <c r="AJ11" i="10"/>
  <c r="AI11" i="10"/>
  <c r="AH11" i="10"/>
  <c r="AR10" i="10"/>
  <c r="AQ10" i="10"/>
  <c r="AP10" i="10"/>
  <c r="AO10" i="10"/>
  <c r="AN10" i="10"/>
  <c r="AL10" i="10"/>
  <c r="AK10" i="10"/>
  <c r="AJ10" i="10"/>
  <c r="AI10" i="10"/>
  <c r="AH10" i="10"/>
  <c r="AR9" i="10"/>
  <c r="AQ9" i="10"/>
  <c r="AP9" i="10"/>
  <c r="AO9" i="10"/>
  <c r="AN9" i="10"/>
  <c r="AL9" i="10"/>
  <c r="AK9" i="10"/>
  <c r="AJ9" i="10"/>
  <c r="AI9" i="10"/>
  <c r="AH9" i="10"/>
  <c r="AR8" i="10"/>
  <c r="AQ8" i="10"/>
  <c r="AP8" i="10"/>
  <c r="AO8" i="10"/>
  <c r="AN8" i="10"/>
  <c r="AL8" i="10"/>
  <c r="AK8" i="10"/>
  <c r="AJ8" i="10"/>
  <c r="AI8" i="10"/>
  <c r="AH8" i="10"/>
  <c r="AR7" i="10"/>
  <c r="AQ7" i="10"/>
  <c r="AP7" i="10"/>
  <c r="AO7" i="10"/>
  <c r="AN7" i="10"/>
  <c r="AL7" i="10"/>
  <c r="AK7" i="10"/>
  <c r="AJ7" i="10"/>
  <c r="AI7" i="10"/>
  <c r="AH7" i="10"/>
  <c r="AR6" i="10"/>
  <c r="AQ6" i="10"/>
  <c r="AP6" i="10"/>
  <c r="AO6" i="10"/>
  <c r="AN6" i="10"/>
  <c r="AL6" i="10"/>
  <c r="AK6" i="10"/>
  <c r="AJ6" i="10"/>
  <c r="AI6" i="10"/>
  <c r="AH6" i="10"/>
  <c r="AX88" i="21"/>
  <c r="J15" i="9" s="1"/>
  <c r="AU88" i="21"/>
  <c r="I15" i="9" s="1"/>
  <c r="F15" i="9"/>
  <c r="C88" i="21"/>
  <c r="E15" i="9" s="1"/>
  <c r="AI86" i="21"/>
  <c r="AJ86" i="21" s="1"/>
  <c r="AD86" i="21"/>
  <c r="AC86" i="21"/>
  <c r="X86" i="21"/>
  <c r="T86" i="21"/>
  <c r="S86" i="21"/>
  <c r="R86" i="21"/>
  <c r="AI85" i="21"/>
  <c r="AJ85" i="21" s="1"/>
  <c r="AD85" i="21"/>
  <c r="AC85" i="21"/>
  <c r="X85" i="21"/>
  <c r="T85" i="21"/>
  <c r="S85" i="21"/>
  <c r="R85" i="21"/>
  <c r="AI84" i="21"/>
  <c r="AD84" i="21"/>
  <c r="AC84" i="21"/>
  <c r="X84" i="21"/>
  <c r="Y84" i="21" s="1"/>
  <c r="T84" i="21"/>
  <c r="S84" i="21"/>
  <c r="R84" i="21"/>
  <c r="AI83" i="21"/>
  <c r="AD83" i="21"/>
  <c r="AC83" i="21"/>
  <c r="X83" i="21"/>
  <c r="Y83" i="21" s="1"/>
  <c r="T83" i="21"/>
  <c r="S83" i="21"/>
  <c r="R83" i="21"/>
  <c r="AI82" i="21"/>
  <c r="AJ82" i="21" s="1"/>
  <c r="AD82" i="21"/>
  <c r="AC82" i="21"/>
  <c r="X82" i="21"/>
  <c r="T82" i="21"/>
  <c r="S82" i="21"/>
  <c r="R82" i="21"/>
  <c r="AI81" i="21"/>
  <c r="AJ81" i="21" s="1"/>
  <c r="AD81" i="21"/>
  <c r="AC81" i="21"/>
  <c r="X81" i="21"/>
  <c r="T81" i="21"/>
  <c r="S81" i="21"/>
  <c r="R81" i="21"/>
  <c r="AI80" i="21"/>
  <c r="AD80" i="21"/>
  <c r="AC80" i="21"/>
  <c r="X80" i="21"/>
  <c r="Y80" i="21" s="1"/>
  <c r="T80" i="21"/>
  <c r="S80" i="21"/>
  <c r="R80" i="21"/>
  <c r="AI79" i="21"/>
  <c r="AD79" i="21"/>
  <c r="AC79" i="21"/>
  <c r="X79" i="21"/>
  <c r="Y79" i="21" s="1"/>
  <c r="T79" i="21"/>
  <c r="S79" i="21"/>
  <c r="R79" i="21"/>
  <c r="AI78" i="21"/>
  <c r="AJ78" i="21" s="1"/>
  <c r="AD78" i="21"/>
  <c r="AC78" i="21"/>
  <c r="X78" i="21"/>
  <c r="T78" i="21"/>
  <c r="S78" i="21"/>
  <c r="R78" i="21"/>
  <c r="AI77" i="21"/>
  <c r="AD77" i="21"/>
  <c r="AC77" i="21"/>
  <c r="X77" i="21"/>
  <c r="Y77" i="21" s="1"/>
  <c r="T77" i="21"/>
  <c r="S77" i="21"/>
  <c r="R77" i="21"/>
  <c r="AI76" i="21"/>
  <c r="AJ76" i="21" s="1"/>
  <c r="AD76" i="21"/>
  <c r="AC76" i="21"/>
  <c r="X76" i="21"/>
  <c r="T76" i="21"/>
  <c r="S76" i="21"/>
  <c r="R76" i="21"/>
  <c r="AI75" i="21"/>
  <c r="AD75" i="21"/>
  <c r="AC75" i="21"/>
  <c r="X75" i="21"/>
  <c r="Y75" i="21" s="1"/>
  <c r="T75" i="21"/>
  <c r="S75" i="21"/>
  <c r="R75" i="21"/>
  <c r="AI74" i="21"/>
  <c r="AJ74" i="21" s="1"/>
  <c r="AD74" i="21"/>
  <c r="AC74" i="21"/>
  <c r="X74" i="21"/>
  <c r="T74" i="21"/>
  <c r="S74" i="21"/>
  <c r="R74" i="21"/>
  <c r="AI73" i="21"/>
  <c r="AJ73" i="21" s="1"/>
  <c r="AD73" i="21"/>
  <c r="AC73" i="21"/>
  <c r="X73" i="21"/>
  <c r="Y73" i="21" s="1"/>
  <c r="T73" i="21"/>
  <c r="S73" i="21"/>
  <c r="R73" i="21"/>
  <c r="AI72" i="21"/>
  <c r="AJ72" i="21" s="1"/>
  <c r="AD72" i="21"/>
  <c r="AC72" i="21"/>
  <c r="X72" i="21"/>
  <c r="Y72" i="21" s="1"/>
  <c r="T72" i="21"/>
  <c r="S72" i="21"/>
  <c r="R72" i="21"/>
  <c r="AI71" i="21"/>
  <c r="AD71" i="21"/>
  <c r="AC71" i="21"/>
  <c r="X71" i="21"/>
  <c r="Y71" i="21" s="1"/>
  <c r="T71" i="21"/>
  <c r="S71" i="21"/>
  <c r="R71" i="21"/>
  <c r="AI70" i="21"/>
  <c r="AJ70" i="21" s="1"/>
  <c r="AD70" i="21"/>
  <c r="AC70" i="21"/>
  <c r="X70" i="21"/>
  <c r="T70" i="21"/>
  <c r="S70" i="21"/>
  <c r="R70" i="21"/>
  <c r="AI69" i="21"/>
  <c r="AJ69" i="21" s="1"/>
  <c r="AD69" i="21"/>
  <c r="AC69" i="21"/>
  <c r="X69" i="21"/>
  <c r="T69" i="21"/>
  <c r="S69" i="21"/>
  <c r="R69" i="21"/>
  <c r="AI68" i="21"/>
  <c r="AJ68" i="21" s="1"/>
  <c r="AD68" i="21"/>
  <c r="AC68" i="21"/>
  <c r="X68" i="21"/>
  <c r="Y68" i="21" s="1"/>
  <c r="T68" i="21"/>
  <c r="S68" i="21"/>
  <c r="R68" i="21"/>
  <c r="AI67" i="21"/>
  <c r="AD67" i="21"/>
  <c r="AC67" i="21"/>
  <c r="X67" i="21"/>
  <c r="Y67" i="21" s="1"/>
  <c r="T67" i="21"/>
  <c r="S67" i="21"/>
  <c r="R67" i="21"/>
  <c r="AI66" i="21"/>
  <c r="AJ66" i="21" s="1"/>
  <c r="AD66" i="21"/>
  <c r="AC66" i="21"/>
  <c r="X66" i="21"/>
  <c r="T66" i="21"/>
  <c r="S66" i="21"/>
  <c r="R66" i="21"/>
  <c r="AI65" i="21"/>
  <c r="AJ65" i="21" s="1"/>
  <c r="AD65" i="21"/>
  <c r="AC65" i="21"/>
  <c r="X65" i="21"/>
  <c r="Y65" i="21" s="1"/>
  <c r="T65" i="21"/>
  <c r="S65" i="21"/>
  <c r="R65" i="21"/>
  <c r="AI64" i="21"/>
  <c r="AD64" i="21"/>
  <c r="AC64" i="21"/>
  <c r="X64" i="21"/>
  <c r="Y64" i="21" s="1"/>
  <c r="T64" i="21"/>
  <c r="S64" i="21"/>
  <c r="R64" i="21"/>
  <c r="AI63" i="21"/>
  <c r="AD63" i="21"/>
  <c r="AC63" i="21"/>
  <c r="X63" i="21"/>
  <c r="Y63" i="21" s="1"/>
  <c r="T63" i="21"/>
  <c r="S63" i="21"/>
  <c r="R63" i="21"/>
  <c r="AI62" i="21"/>
  <c r="AJ62" i="21" s="1"/>
  <c r="AD62" i="21"/>
  <c r="AC62" i="21"/>
  <c r="X62" i="21"/>
  <c r="T62" i="21"/>
  <c r="S62" i="21"/>
  <c r="R62" i="21"/>
  <c r="AI61" i="21"/>
  <c r="AJ61" i="21" s="1"/>
  <c r="AD61" i="21"/>
  <c r="AC61" i="21"/>
  <c r="X61" i="21"/>
  <c r="Y61" i="21" s="1"/>
  <c r="T61" i="21"/>
  <c r="S61" i="21"/>
  <c r="R61" i="21"/>
  <c r="AI60" i="21"/>
  <c r="AD60" i="21"/>
  <c r="AC60" i="21"/>
  <c r="X60" i="21"/>
  <c r="Y60" i="21" s="1"/>
  <c r="T60" i="21"/>
  <c r="S60" i="21"/>
  <c r="R60" i="21"/>
  <c r="AI59" i="21"/>
  <c r="AJ59" i="21" s="1"/>
  <c r="AD59" i="21"/>
  <c r="AC59" i="21"/>
  <c r="X59" i="21"/>
  <c r="Y59" i="21" s="1"/>
  <c r="T59" i="21"/>
  <c r="S59" i="21"/>
  <c r="R59" i="21"/>
  <c r="AI58" i="21"/>
  <c r="AJ58" i="21" s="1"/>
  <c r="AD58" i="21"/>
  <c r="AC58" i="21"/>
  <c r="X58" i="21"/>
  <c r="T58" i="21"/>
  <c r="S58" i="21"/>
  <c r="R58" i="21"/>
  <c r="AI57" i="21"/>
  <c r="AJ57" i="21" s="1"/>
  <c r="AD57" i="21"/>
  <c r="AC57" i="21"/>
  <c r="X57" i="21"/>
  <c r="Y57" i="21" s="1"/>
  <c r="T57" i="21"/>
  <c r="S57" i="21"/>
  <c r="R57" i="21"/>
  <c r="AI56" i="21"/>
  <c r="AJ56" i="21" s="1"/>
  <c r="AD56" i="21"/>
  <c r="AC56" i="21"/>
  <c r="X56" i="21"/>
  <c r="T56" i="21"/>
  <c r="S56" i="21"/>
  <c r="R56" i="21"/>
  <c r="AI55" i="21"/>
  <c r="AD55" i="21"/>
  <c r="AC55" i="21"/>
  <c r="X55" i="21"/>
  <c r="Y55" i="21" s="1"/>
  <c r="T55" i="21"/>
  <c r="S55" i="21"/>
  <c r="R55" i="21"/>
  <c r="AI54" i="21"/>
  <c r="AJ54" i="21" s="1"/>
  <c r="AD54" i="21"/>
  <c r="AC54" i="21"/>
  <c r="X54" i="21"/>
  <c r="T54" i="21"/>
  <c r="S54" i="21"/>
  <c r="R54" i="21"/>
  <c r="AI53" i="21"/>
  <c r="AJ53" i="21" s="1"/>
  <c r="AD53" i="21"/>
  <c r="AC53" i="21"/>
  <c r="X53" i="21"/>
  <c r="Y53" i="21" s="1"/>
  <c r="T53" i="21"/>
  <c r="S53" i="21"/>
  <c r="R53" i="21"/>
  <c r="AI52" i="21"/>
  <c r="AD52" i="21"/>
  <c r="AC52" i="21"/>
  <c r="X52" i="21"/>
  <c r="Y52" i="21" s="1"/>
  <c r="T52" i="21"/>
  <c r="S52" i="21"/>
  <c r="R52" i="21"/>
  <c r="AI51" i="21"/>
  <c r="AD51" i="21"/>
  <c r="AC51" i="21"/>
  <c r="X51" i="21"/>
  <c r="Y51" i="21" s="1"/>
  <c r="T51" i="21"/>
  <c r="S51" i="21"/>
  <c r="R51" i="21"/>
  <c r="AI50" i="21"/>
  <c r="AJ50" i="21" s="1"/>
  <c r="AD50" i="21"/>
  <c r="AC50" i="21"/>
  <c r="X50" i="21"/>
  <c r="T50" i="21"/>
  <c r="S50" i="21"/>
  <c r="R50" i="21"/>
  <c r="AI49" i="21"/>
  <c r="AJ49" i="21" s="1"/>
  <c r="AD49" i="21"/>
  <c r="AC49" i="21"/>
  <c r="X49" i="21"/>
  <c r="T49" i="21"/>
  <c r="S49" i="21"/>
  <c r="R49" i="21"/>
  <c r="AI48" i="21"/>
  <c r="AJ48" i="21" s="1"/>
  <c r="AD48" i="21"/>
  <c r="AC48" i="21"/>
  <c r="X48" i="21"/>
  <c r="T48" i="21"/>
  <c r="S48" i="21"/>
  <c r="R48" i="21"/>
  <c r="AI47" i="21"/>
  <c r="AD47" i="21"/>
  <c r="AC47" i="21"/>
  <c r="X47" i="21"/>
  <c r="Y47" i="21" s="1"/>
  <c r="T47" i="21"/>
  <c r="S47" i="21"/>
  <c r="R47" i="21"/>
  <c r="AI46" i="21"/>
  <c r="AJ46" i="21" s="1"/>
  <c r="AD46" i="21"/>
  <c r="AC46" i="21"/>
  <c r="X46" i="21"/>
  <c r="T46" i="21"/>
  <c r="S46" i="21"/>
  <c r="R46" i="21"/>
  <c r="AI45" i="21"/>
  <c r="AJ45" i="21" s="1"/>
  <c r="AD45" i="21"/>
  <c r="AC45" i="21"/>
  <c r="X45" i="21"/>
  <c r="T45" i="21"/>
  <c r="S45" i="21"/>
  <c r="R45" i="21"/>
  <c r="AI44" i="21"/>
  <c r="AJ44" i="21" s="1"/>
  <c r="AD44" i="21"/>
  <c r="AC44" i="21"/>
  <c r="X44" i="21"/>
  <c r="T44" i="21"/>
  <c r="S44" i="21"/>
  <c r="R44" i="21"/>
  <c r="AI43" i="21"/>
  <c r="AJ43" i="21" s="1"/>
  <c r="AD43" i="21"/>
  <c r="AC43" i="21"/>
  <c r="X43" i="21"/>
  <c r="Y43" i="21" s="1"/>
  <c r="T43" i="21"/>
  <c r="S43" i="21"/>
  <c r="R43" i="21"/>
  <c r="AI42" i="21"/>
  <c r="AJ42" i="21" s="1"/>
  <c r="AD42" i="21"/>
  <c r="AC42" i="21"/>
  <c r="X42" i="21"/>
  <c r="T42" i="21"/>
  <c r="S42" i="21"/>
  <c r="R42" i="21"/>
  <c r="AI41" i="21"/>
  <c r="AD41" i="21"/>
  <c r="AC41" i="21"/>
  <c r="X41" i="21"/>
  <c r="Y41" i="21" s="1"/>
  <c r="T41" i="21"/>
  <c r="S41" i="21"/>
  <c r="R41" i="21"/>
  <c r="AI40" i="21"/>
  <c r="AJ40" i="21" s="1"/>
  <c r="AD40" i="21"/>
  <c r="AC40" i="21"/>
  <c r="X40" i="21"/>
  <c r="Y40" i="21" s="1"/>
  <c r="T40" i="21"/>
  <c r="S40" i="21"/>
  <c r="R40" i="21"/>
  <c r="AI39" i="21"/>
  <c r="AD39" i="21"/>
  <c r="AC39" i="21"/>
  <c r="X39" i="21"/>
  <c r="Y39" i="21" s="1"/>
  <c r="T39" i="21"/>
  <c r="S39" i="21"/>
  <c r="R39" i="21"/>
  <c r="AI38" i="21"/>
  <c r="AJ38" i="21" s="1"/>
  <c r="AD38" i="21"/>
  <c r="AC38" i="21"/>
  <c r="X38" i="21"/>
  <c r="T38" i="21"/>
  <c r="S38" i="21"/>
  <c r="R38" i="21"/>
  <c r="AI37" i="21"/>
  <c r="AD37" i="21"/>
  <c r="AC37" i="21"/>
  <c r="X37" i="21"/>
  <c r="Y37" i="21" s="1"/>
  <c r="T37" i="21"/>
  <c r="S37" i="21"/>
  <c r="R37" i="21"/>
  <c r="AI36" i="21"/>
  <c r="AJ36" i="21" s="1"/>
  <c r="AD36" i="21"/>
  <c r="AC36" i="21"/>
  <c r="X36" i="21"/>
  <c r="Y36" i="21" s="1"/>
  <c r="T36" i="21"/>
  <c r="S36" i="21"/>
  <c r="R36" i="21"/>
  <c r="AI35" i="21"/>
  <c r="AJ35" i="21" s="1"/>
  <c r="AD35" i="21"/>
  <c r="AC35" i="21"/>
  <c r="X35" i="21"/>
  <c r="Y35" i="21" s="1"/>
  <c r="T35" i="21"/>
  <c r="S35" i="21"/>
  <c r="R35" i="21"/>
  <c r="AI34" i="21"/>
  <c r="AJ34" i="21" s="1"/>
  <c r="AD34" i="21"/>
  <c r="AC34" i="21"/>
  <c r="X34" i="21"/>
  <c r="Y34" i="21" s="1"/>
  <c r="T34" i="21"/>
  <c r="S34" i="21"/>
  <c r="R34" i="21"/>
  <c r="AI33" i="21"/>
  <c r="AJ33" i="21" s="1"/>
  <c r="AD33" i="21"/>
  <c r="AC33" i="21"/>
  <c r="X33" i="21"/>
  <c r="Y33" i="21" s="1"/>
  <c r="T33" i="21"/>
  <c r="S33" i="21"/>
  <c r="R33" i="21"/>
  <c r="AI32" i="21"/>
  <c r="AD32" i="21"/>
  <c r="AC32" i="21"/>
  <c r="X32" i="21"/>
  <c r="Y32" i="21" s="1"/>
  <c r="T32" i="21"/>
  <c r="S32" i="21"/>
  <c r="R32" i="21"/>
  <c r="AI31" i="21"/>
  <c r="AJ31" i="21" s="1"/>
  <c r="AD31" i="21"/>
  <c r="AC31" i="21"/>
  <c r="X31" i="21"/>
  <c r="Y31" i="21" s="1"/>
  <c r="T31" i="21"/>
  <c r="S31" i="21"/>
  <c r="R31" i="21"/>
  <c r="AI30" i="21"/>
  <c r="AJ30" i="21" s="1"/>
  <c r="AD30" i="21"/>
  <c r="AC30" i="21"/>
  <c r="X30" i="21"/>
  <c r="T30" i="21"/>
  <c r="S30" i="21"/>
  <c r="R30" i="21"/>
  <c r="AI29" i="21"/>
  <c r="AJ29" i="21" s="1"/>
  <c r="AD29" i="21"/>
  <c r="AC29" i="21"/>
  <c r="X29" i="21"/>
  <c r="T29" i="21"/>
  <c r="S29" i="21"/>
  <c r="R29" i="21"/>
  <c r="AI28" i="21"/>
  <c r="AJ28" i="21" s="1"/>
  <c r="AD28" i="21"/>
  <c r="AC28" i="21"/>
  <c r="X28" i="21"/>
  <c r="T28" i="21"/>
  <c r="S28" i="21"/>
  <c r="R28" i="21"/>
  <c r="AI27" i="21"/>
  <c r="AD27" i="21"/>
  <c r="AC27" i="21"/>
  <c r="X27" i="21"/>
  <c r="Y27" i="21" s="1"/>
  <c r="T27" i="21"/>
  <c r="S27" i="21"/>
  <c r="R27" i="21"/>
  <c r="AI26" i="21"/>
  <c r="AJ26" i="21" s="1"/>
  <c r="AD26" i="21"/>
  <c r="AC26" i="21"/>
  <c r="X26" i="21"/>
  <c r="T26" i="21"/>
  <c r="S26" i="21"/>
  <c r="R26" i="21"/>
  <c r="AI25" i="21"/>
  <c r="AD25" i="21"/>
  <c r="AC25" i="21"/>
  <c r="X25" i="21"/>
  <c r="Y25" i="21" s="1"/>
  <c r="T25" i="21"/>
  <c r="S25" i="21"/>
  <c r="R25" i="21"/>
  <c r="AI24" i="21"/>
  <c r="AD24" i="21"/>
  <c r="AC24" i="21"/>
  <c r="X24" i="21"/>
  <c r="Y24" i="21" s="1"/>
  <c r="T24" i="21"/>
  <c r="S24" i="21"/>
  <c r="R24" i="21"/>
  <c r="AI23" i="21"/>
  <c r="AD23" i="21"/>
  <c r="AC23" i="21"/>
  <c r="X23" i="21"/>
  <c r="Y23" i="21" s="1"/>
  <c r="T23" i="21"/>
  <c r="S23" i="21"/>
  <c r="R23" i="21"/>
  <c r="AI22" i="21"/>
  <c r="AJ22" i="21" s="1"/>
  <c r="AD22" i="21"/>
  <c r="AC22" i="21"/>
  <c r="X22" i="21"/>
  <c r="Y22" i="21" s="1"/>
  <c r="T22" i="21"/>
  <c r="S22" i="21"/>
  <c r="R22" i="21"/>
  <c r="AI21" i="21"/>
  <c r="AD21" i="21"/>
  <c r="AC21" i="21"/>
  <c r="X21" i="21"/>
  <c r="Y21" i="21" s="1"/>
  <c r="T21" i="21"/>
  <c r="S21" i="21"/>
  <c r="R21" i="21"/>
  <c r="AI20" i="21"/>
  <c r="AD20" i="21"/>
  <c r="AC20" i="21"/>
  <c r="X20" i="21"/>
  <c r="Y20" i="21" s="1"/>
  <c r="T20" i="21"/>
  <c r="S20" i="21"/>
  <c r="R20" i="21"/>
  <c r="AI19" i="21"/>
  <c r="AD19" i="21"/>
  <c r="AC19" i="21"/>
  <c r="X19" i="21"/>
  <c r="Y19" i="21" s="1"/>
  <c r="T19" i="21"/>
  <c r="S19" i="21"/>
  <c r="R19" i="21"/>
  <c r="AI18" i="21"/>
  <c r="AD18" i="21"/>
  <c r="AC18" i="21"/>
  <c r="X18" i="21"/>
  <c r="Y18" i="21" s="1"/>
  <c r="T18" i="21"/>
  <c r="S18" i="21"/>
  <c r="R18" i="21"/>
  <c r="AI17" i="21"/>
  <c r="AD17" i="21"/>
  <c r="AC17" i="21"/>
  <c r="X17" i="21"/>
  <c r="Y17" i="21" s="1"/>
  <c r="T17" i="21"/>
  <c r="S17" i="21"/>
  <c r="R17" i="21"/>
  <c r="AI16" i="21"/>
  <c r="AD16" i="21"/>
  <c r="AC16" i="21"/>
  <c r="X16" i="21"/>
  <c r="Y16" i="21" s="1"/>
  <c r="T16" i="21"/>
  <c r="S16" i="21"/>
  <c r="R16" i="21"/>
  <c r="AI15" i="21"/>
  <c r="AD15" i="21"/>
  <c r="AC15" i="21"/>
  <c r="X15" i="21"/>
  <c r="Y15" i="21" s="1"/>
  <c r="T15" i="21"/>
  <c r="S15" i="21"/>
  <c r="R15" i="21"/>
  <c r="AI14" i="21"/>
  <c r="AJ14" i="21" s="1"/>
  <c r="AD14" i="21"/>
  <c r="AC14" i="21"/>
  <c r="X14" i="21"/>
  <c r="T14" i="21"/>
  <c r="S14" i="21"/>
  <c r="R14" i="21"/>
  <c r="AI13" i="21"/>
  <c r="AD13" i="21"/>
  <c r="AC13" i="21"/>
  <c r="X13" i="21"/>
  <c r="Y13" i="21" s="1"/>
  <c r="T13" i="21"/>
  <c r="S13" i="21"/>
  <c r="R13" i="21"/>
  <c r="AI12" i="21"/>
  <c r="AJ12" i="21" s="1"/>
  <c r="AD12" i="21"/>
  <c r="AC12" i="21"/>
  <c r="X12" i="21"/>
  <c r="T12" i="21"/>
  <c r="S12" i="21"/>
  <c r="R12" i="21"/>
  <c r="AI11" i="21"/>
  <c r="AD11" i="21"/>
  <c r="AC11" i="21"/>
  <c r="X11" i="21"/>
  <c r="Y11" i="21" s="1"/>
  <c r="T11" i="21"/>
  <c r="S11" i="21"/>
  <c r="R11" i="21"/>
  <c r="AI10" i="21"/>
  <c r="AD10" i="21"/>
  <c r="AC10" i="21"/>
  <c r="X10" i="21"/>
  <c r="Y10" i="21" s="1"/>
  <c r="T10" i="21"/>
  <c r="S10" i="21"/>
  <c r="R10" i="21"/>
  <c r="AI9" i="21"/>
  <c r="AD9" i="21"/>
  <c r="AC9" i="21"/>
  <c r="X9" i="21"/>
  <c r="Y9" i="21" s="1"/>
  <c r="T9" i="21"/>
  <c r="S9" i="21"/>
  <c r="R9" i="21"/>
  <c r="AI8" i="21"/>
  <c r="AJ8" i="21" s="1"/>
  <c r="AD8" i="21"/>
  <c r="AC8" i="21"/>
  <c r="X8" i="21"/>
  <c r="Y8" i="21" s="1"/>
  <c r="T8" i="21"/>
  <c r="S8" i="21"/>
  <c r="R8" i="21"/>
  <c r="AI7" i="21"/>
  <c r="AD7" i="21"/>
  <c r="AC7" i="21"/>
  <c r="X7" i="21"/>
  <c r="Y7" i="21" s="1"/>
  <c r="T7" i="21"/>
  <c r="S7" i="21"/>
  <c r="R7" i="21"/>
  <c r="AI6" i="21"/>
  <c r="AJ6" i="21" s="1"/>
  <c r="AD6" i="21"/>
  <c r="AC6" i="21"/>
  <c r="X6" i="21"/>
  <c r="T6" i="21"/>
  <c r="S6" i="21"/>
  <c r="R6" i="21"/>
  <c r="AZ5" i="21"/>
  <c r="AY5" i="21"/>
  <c r="AX5" i="21"/>
  <c r="AW5" i="21"/>
  <c r="AV5" i="21"/>
  <c r="AU5" i="21"/>
  <c r="G5" i="21"/>
  <c r="F5" i="21"/>
  <c r="E5" i="21"/>
  <c r="D5" i="21"/>
  <c r="C5" i="21"/>
  <c r="B2" i="21"/>
  <c r="AX88" i="20"/>
  <c r="J14" i="9" s="1"/>
  <c r="AU88" i="20"/>
  <c r="I14" i="9" s="1"/>
  <c r="F14" i="9"/>
  <c r="C88" i="20"/>
  <c r="E14" i="9" s="1"/>
  <c r="AI86" i="20"/>
  <c r="AD86" i="20"/>
  <c r="AC86" i="20"/>
  <c r="X86" i="20"/>
  <c r="Y86" i="20" s="1"/>
  <c r="T86" i="20"/>
  <c r="S86" i="20"/>
  <c r="R86" i="20"/>
  <c r="AI85" i="20"/>
  <c r="AJ85" i="20" s="1"/>
  <c r="AD85" i="20"/>
  <c r="AC85" i="20"/>
  <c r="X85" i="20"/>
  <c r="Y85" i="20" s="1"/>
  <c r="T85" i="20"/>
  <c r="S85" i="20"/>
  <c r="R85" i="20"/>
  <c r="AI84" i="20"/>
  <c r="AJ84" i="20" s="1"/>
  <c r="AD84" i="20"/>
  <c r="AC84" i="20"/>
  <c r="X84" i="20"/>
  <c r="Y84" i="20" s="1"/>
  <c r="T84" i="20"/>
  <c r="S84" i="20"/>
  <c r="R84" i="20"/>
  <c r="AI83" i="20"/>
  <c r="AJ83" i="20" s="1"/>
  <c r="AD83" i="20"/>
  <c r="AC83" i="20"/>
  <c r="X83" i="20"/>
  <c r="Y83" i="20" s="1"/>
  <c r="T83" i="20"/>
  <c r="S83" i="20"/>
  <c r="R83" i="20"/>
  <c r="AI82" i="20"/>
  <c r="AJ82" i="20" s="1"/>
  <c r="AD82" i="20"/>
  <c r="AC82" i="20"/>
  <c r="X82" i="20"/>
  <c r="Y82" i="20" s="1"/>
  <c r="T82" i="20"/>
  <c r="S82" i="20"/>
  <c r="R82" i="20"/>
  <c r="AI81" i="20"/>
  <c r="AD81" i="20"/>
  <c r="AC81" i="20"/>
  <c r="X81" i="20"/>
  <c r="Y81" i="20" s="1"/>
  <c r="T81" i="20"/>
  <c r="S81" i="20"/>
  <c r="R81" i="20"/>
  <c r="AI80" i="20"/>
  <c r="AJ80" i="20" s="1"/>
  <c r="AD80" i="20"/>
  <c r="AC80" i="20"/>
  <c r="X80" i="20"/>
  <c r="T80" i="20"/>
  <c r="S80" i="20"/>
  <c r="R80" i="20"/>
  <c r="AI79" i="20"/>
  <c r="AD79" i="20"/>
  <c r="AC79" i="20"/>
  <c r="X79" i="20"/>
  <c r="Y79" i="20" s="1"/>
  <c r="T79" i="20"/>
  <c r="S79" i="20"/>
  <c r="R79" i="20"/>
  <c r="AI78" i="20"/>
  <c r="AJ78" i="20" s="1"/>
  <c r="AD78" i="20"/>
  <c r="AC78" i="20"/>
  <c r="X78" i="20"/>
  <c r="T78" i="20"/>
  <c r="S78" i="20"/>
  <c r="R78" i="20"/>
  <c r="AI77" i="20"/>
  <c r="AJ77" i="20" s="1"/>
  <c r="AD77" i="20"/>
  <c r="AC77" i="20"/>
  <c r="X77" i="20"/>
  <c r="T77" i="20"/>
  <c r="S77" i="20"/>
  <c r="R77" i="20"/>
  <c r="AI76" i="20"/>
  <c r="AD76" i="20"/>
  <c r="AC76" i="20"/>
  <c r="X76" i="20"/>
  <c r="Y76" i="20" s="1"/>
  <c r="T76" i="20"/>
  <c r="S76" i="20"/>
  <c r="R76" i="20"/>
  <c r="AI75" i="20"/>
  <c r="AD75" i="20"/>
  <c r="AC75" i="20"/>
  <c r="X75" i="20"/>
  <c r="Y75" i="20" s="1"/>
  <c r="T75" i="20"/>
  <c r="S75" i="20"/>
  <c r="R75" i="20"/>
  <c r="AI74" i="20"/>
  <c r="AD74" i="20"/>
  <c r="AC74" i="20"/>
  <c r="X74" i="20"/>
  <c r="Y74" i="20" s="1"/>
  <c r="T74" i="20"/>
  <c r="S74" i="20"/>
  <c r="R74" i="20"/>
  <c r="AI73" i="20"/>
  <c r="AJ73" i="20" s="1"/>
  <c r="AD73" i="20"/>
  <c r="AC73" i="20"/>
  <c r="X73" i="20"/>
  <c r="Y73" i="20" s="1"/>
  <c r="T73" i="20"/>
  <c r="S73" i="20"/>
  <c r="R73" i="20"/>
  <c r="AI72" i="20"/>
  <c r="AD72" i="20"/>
  <c r="AC72" i="20"/>
  <c r="X72" i="20"/>
  <c r="Y72" i="20" s="1"/>
  <c r="T72" i="20"/>
  <c r="S72" i="20"/>
  <c r="R72" i="20"/>
  <c r="AI71" i="20"/>
  <c r="AJ71" i="20" s="1"/>
  <c r="AD71" i="20"/>
  <c r="AC71" i="20"/>
  <c r="X71" i="20"/>
  <c r="Y71" i="20" s="1"/>
  <c r="T71" i="20"/>
  <c r="S71" i="20"/>
  <c r="R71" i="20"/>
  <c r="AI70" i="20"/>
  <c r="AD70" i="20"/>
  <c r="AC70" i="20"/>
  <c r="X70" i="20"/>
  <c r="Y70" i="20" s="1"/>
  <c r="T70" i="20"/>
  <c r="S70" i="20"/>
  <c r="R70" i="20"/>
  <c r="AI69" i="20"/>
  <c r="AD69" i="20"/>
  <c r="AC69" i="20"/>
  <c r="X69" i="20"/>
  <c r="Y69" i="20" s="1"/>
  <c r="T69" i="20"/>
  <c r="S69" i="20"/>
  <c r="R69" i="20"/>
  <c r="AI68" i="20"/>
  <c r="AJ68" i="20" s="1"/>
  <c r="AD68" i="20"/>
  <c r="AC68" i="20"/>
  <c r="X68" i="20"/>
  <c r="T68" i="20"/>
  <c r="S68" i="20"/>
  <c r="R68" i="20"/>
  <c r="AI67" i="20"/>
  <c r="AJ67" i="20" s="1"/>
  <c r="AD67" i="20"/>
  <c r="AC67" i="20"/>
  <c r="X67" i="20"/>
  <c r="Y67" i="20" s="1"/>
  <c r="T67" i="20"/>
  <c r="S67" i="20"/>
  <c r="R67" i="20"/>
  <c r="AI66" i="20"/>
  <c r="AJ66" i="20" s="1"/>
  <c r="AD66" i="20"/>
  <c r="AC66" i="20"/>
  <c r="X66" i="20"/>
  <c r="T66" i="20"/>
  <c r="S66" i="20"/>
  <c r="R66" i="20"/>
  <c r="AI65" i="20"/>
  <c r="AD65" i="20"/>
  <c r="AC65" i="20"/>
  <c r="X65" i="20"/>
  <c r="Y65" i="20" s="1"/>
  <c r="T65" i="20"/>
  <c r="S65" i="20"/>
  <c r="R65" i="20"/>
  <c r="AI64" i="20"/>
  <c r="AJ64" i="20" s="1"/>
  <c r="AD64" i="20"/>
  <c r="AC64" i="20"/>
  <c r="X64" i="20"/>
  <c r="Y64" i="20" s="1"/>
  <c r="T64" i="20"/>
  <c r="S64" i="20"/>
  <c r="R64" i="20"/>
  <c r="AI63" i="20"/>
  <c r="AJ63" i="20" s="1"/>
  <c r="AD63" i="20"/>
  <c r="AC63" i="20"/>
  <c r="X63" i="20"/>
  <c r="T63" i="20"/>
  <c r="S63" i="20"/>
  <c r="R63" i="20"/>
  <c r="AI62" i="20"/>
  <c r="AJ62" i="20" s="1"/>
  <c r="AD62" i="20"/>
  <c r="AC62" i="20"/>
  <c r="X62" i="20"/>
  <c r="Y62" i="20" s="1"/>
  <c r="T62" i="20"/>
  <c r="S62" i="20"/>
  <c r="R62" i="20"/>
  <c r="AI61" i="20"/>
  <c r="AJ61" i="20" s="1"/>
  <c r="AD61" i="20"/>
  <c r="AC61" i="20"/>
  <c r="X61" i="20"/>
  <c r="T61" i="20"/>
  <c r="S61" i="20"/>
  <c r="R61" i="20"/>
  <c r="AI60" i="20"/>
  <c r="AD60" i="20"/>
  <c r="AC60" i="20"/>
  <c r="X60" i="20"/>
  <c r="Y60" i="20" s="1"/>
  <c r="T60" i="20"/>
  <c r="S60" i="20"/>
  <c r="R60" i="20"/>
  <c r="AI59" i="20"/>
  <c r="AJ59" i="20" s="1"/>
  <c r="AD59" i="20"/>
  <c r="AC59" i="20"/>
  <c r="X59" i="20"/>
  <c r="Y59" i="20" s="1"/>
  <c r="T59" i="20"/>
  <c r="S59" i="20"/>
  <c r="R59" i="20"/>
  <c r="AI58" i="20"/>
  <c r="AD58" i="20"/>
  <c r="AC58" i="20"/>
  <c r="X58" i="20"/>
  <c r="Y58" i="20" s="1"/>
  <c r="T58" i="20"/>
  <c r="S58" i="20"/>
  <c r="R58" i="20"/>
  <c r="AI57" i="20"/>
  <c r="AJ57" i="20" s="1"/>
  <c r="AD57" i="20"/>
  <c r="AC57" i="20"/>
  <c r="X57" i="20"/>
  <c r="Y57" i="20" s="1"/>
  <c r="T57" i="20"/>
  <c r="S57" i="20"/>
  <c r="R57" i="20"/>
  <c r="AI56" i="20"/>
  <c r="AD56" i="20"/>
  <c r="AC56" i="20"/>
  <c r="X56" i="20"/>
  <c r="Y56" i="20" s="1"/>
  <c r="T56" i="20"/>
  <c r="S56" i="20"/>
  <c r="R56" i="20"/>
  <c r="AI55" i="20"/>
  <c r="AJ55" i="20" s="1"/>
  <c r="AD55" i="20"/>
  <c r="AC55" i="20"/>
  <c r="X55" i="20"/>
  <c r="Y55" i="20" s="1"/>
  <c r="T55" i="20"/>
  <c r="S55" i="20"/>
  <c r="R55" i="20"/>
  <c r="AI54" i="20"/>
  <c r="AJ54" i="20" s="1"/>
  <c r="AD54" i="20"/>
  <c r="AC54" i="20"/>
  <c r="X54" i="20"/>
  <c r="Y54" i="20" s="1"/>
  <c r="T54" i="20"/>
  <c r="S54" i="20"/>
  <c r="R54" i="20"/>
  <c r="AI53" i="20"/>
  <c r="AD53" i="20"/>
  <c r="AC53" i="20"/>
  <c r="X53" i="20"/>
  <c r="Y53" i="20" s="1"/>
  <c r="T53" i="20"/>
  <c r="S53" i="20"/>
  <c r="R53" i="20"/>
  <c r="AI52" i="20"/>
  <c r="AD52" i="20"/>
  <c r="AC52" i="20"/>
  <c r="X52" i="20"/>
  <c r="Y52" i="20" s="1"/>
  <c r="T52" i="20"/>
  <c r="S52" i="20"/>
  <c r="R52" i="20"/>
  <c r="AI51" i="20"/>
  <c r="AJ51" i="20" s="1"/>
  <c r="AD51" i="20"/>
  <c r="AC51" i="20"/>
  <c r="X51" i="20"/>
  <c r="T51" i="20"/>
  <c r="S51" i="20"/>
  <c r="R51" i="20"/>
  <c r="AI50" i="20"/>
  <c r="AD50" i="20"/>
  <c r="AC50" i="20"/>
  <c r="X50" i="20"/>
  <c r="Y50" i="20" s="1"/>
  <c r="T50" i="20"/>
  <c r="S50" i="20"/>
  <c r="R50" i="20"/>
  <c r="AI49" i="20"/>
  <c r="AJ49" i="20" s="1"/>
  <c r="AD49" i="20"/>
  <c r="AC49" i="20"/>
  <c r="X49" i="20"/>
  <c r="Y49" i="20" s="1"/>
  <c r="T49" i="20"/>
  <c r="S49" i="20"/>
  <c r="R49" i="20"/>
  <c r="AI48" i="20"/>
  <c r="AD48" i="20"/>
  <c r="AC48" i="20"/>
  <c r="X48" i="20"/>
  <c r="Y48" i="20" s="1"/>
  <c r="T48" i="20"/>
  <c r="S48" i="20"/>
  <c r="R48" i="20"/>
  <c r="AI47" i="20"/>
  <c r="AJ47" i="20" s="1"/>
  <c r="AD47" i="20"/>
  <c r="AC47" i="20"/>
  <c r="X47" i="20"/>
  <c r="Y47" i="20" s="1"/>
  <c r="T47" i="20"/>
  <c r="S47" i="20"/>
  <c r="R47" i="20"/>
  <c r="AI46" i="20"/>
  <c r="AJ46" i="20" s="1"/>
  <c r="AD46" i="20"/>
  <c r="AC46" i="20"/>
  <c r="X46" i="20"/>
  <c r="T46" i="20"/>
  <c r="S46" i="20"/>
  <c r="R46" i="20"/>
  <c r="AI45" i="20"/>
  <c r="AJ45" i="20" s="1"/>
  <c r="AD45" i="20"/>
  <c r="AC45" i="20"/>
  <c r="X45" i="20"/>
  <c r="Y45" i="20" s="1"/>
  <c r="T45" i="20"/>
  <c r="S45" i="20"/>
  <c r="R45" i="20"/>
  <c r="AI44" i="20"/>
  <c r="AD44" i="20"/>
  <c r="AC44" i="20"/>
  <c r="X44" i="20"/>
  <c r="Y44" i="20" s="1"/>
  <c r="T44" i="20"/>
  <c r="S44" i="20"/>
  <c r="R44" i="20"/>
  <c r="AI43" i="20"/>
  <c r="AJ43" i="20" s="1"/>
  <c r="AD43" i="20"/>
  <c r="AC43" i="20"/>
  <c r="X43" i="20"/>
  <c r="T43" i="20"/>
  <c r="S43" i="20"/>
  <c r="R43" i="20"/>
  <c r="AI42" i="20"/>
  <c r="AJ42" i="20" s="1"/>
  <c r="AD42" i="20"/>
  <c r="AC42" i="20"/>
  <c r="X42" i="20"/>
  <c r="Y42" i="20" s="1"/>
  <c r="T42" i="20"/>
  <c r="S42" i="20"/>
  <c r="R42" i="20"/>
  <c r="AI41" i="20"/>
  <c r="AD41" i="20"/>
  <c r="AC41" i="20"/>
  <c r="X41" i="20"/>
  <c r="Y41" i="20" s="1"/>
  <c r="T41" i="20"/>
  <c r="S41" i="20"/>
  <c r="R41" i="20"/>
  <c r="AI40" i="20"/>
  <c r="AD40" i="20"/>
  <c r="AC40" i="20"/>
  <c r="X40" i="20"/>
  <c r="Y40" i="20" s="1"/>
  <c r="T40" i="20"/>
  <c r="S40" i="20"/>
  <c r="R40" i="20"/>
  <c r="AI39" i="20"/>
  <c r="AJ39" i="20" s="1"/>
  <c r="AD39" i="20"/>
  <c r="AC39" i="20"/>
  <c r="X39" i="20"/>
  <c r="T39" i="20"/>
  <c r="S39" i="20"/>
  <c r="R39" i="20"/>
  <c r="AI38" i="20"/>
  <c r="AD38" i="20"/>
  <c r="AC38" i="20"/>
  <c r="X38" i="20"/>
  <c r="Y38" i="20" s="1"/>
  <c r="T38" i="20"/>
  <c r="S38" i="20"/>
  <c r="R38" i="20"/>
  <c r="AI37" i="20"/>
  <c r="AJ37" i="20" s="1"/>
  <c r="AD37" i="20"/>
  <c r="AC37" i="20"/>
  <c r="X37" i="20"/>
  <c r="T37" i="20"/>
  <c r="S37" i="20"/>
  <c r="R37" i="20"/>
  <c r="AI36" i="20"/>
  <c r="AD36" i="20"/>
  <c r="AC36" i="20"/>
  <c r="X36" i="20"/>
  <c r="Y36" i="20" s="1"/>
  <c r="T36" i="20"/>
  <c r="S36" i="20"/>
  <c r="R36" i="20"/>
  <c r="AI35" i="20"/>
  <c r="AJ35" i="20" s="1"/>
  <c r="AD35" i="20"/>
  <c r="AC35" i="20"/>
  <c r="X35" i="20"/>
  <c r="Y35" i="20" s="1"/>
  <c r="T35" i="20"/>
  <c r="S35" i="20"/>
  <c r="R35" i="20"/>
  <c r="AI34" i="20"/>
  <c r="AJ34" i="20" s="1"/>
  <c r="AD34" i="20"/>
  <c r="AC34" i="20"/>
  <c r="X34" i="20"/>
  <c r="T34" i="20"/>
  <c r="S34" i="20"/>
  <c r="R34" i="20"/>
  <c r="AI33" i="20"/>
  <c r="AD33" i="20"/>
  <c r="AC33" i="20"/>
  <c r="X33" i="20"/>
  <c r="Y33" i="20" s="1"/>
  <c r="T33" i="20"/>
  <c r="S33" i="20"/>
  <c r="R33" i="20"/>
  <c r="AI32" i="20"/>
  <c r="AD32" i="20"/>
  <c r="AC32" i="20"/>
  <c r="X32" i="20"/>
  <c r="Y32" i="20" s="1"/>
  <c r="T32" i="20"/>
  <c r="S32" i="20"/>
  <c r="R32" i="20"/>
  <c r="AI31" i="20"/>
  <c r="AJ31" i="20" s="1"/>
  <c r="AD31" i="20"/>
  <c r="AC31" i="20"/>
  <c r="X31" i="20"/>
  <c r="Y31" i="20" s="1"/>
  <c r="T31" i="20"/>
  <c r="S31" i="20"/>
  <c r="R31" i="20"/>
  <c r="AI30" i="20"/>
  <c r="AD30" i="20"/>
  <c r="AC30" i="20"/>
  <c r="X30" i="20"/>
  <c r="Y30" i="20" s="1"/>
  <c r="T30" i="20"/>
  <c r="S30" i="20"/>
  <c r="R30" i="20"/>
  <c r="AI29" i="20"/>
  <c r="AJ29" i="20" s="1"/>
  <c r="AD29" i="20"/>
  <c r="AC29" i="20"/>
  <c r="X29" i="20"/>
  <c r="T29" i="20"/>
  <c r="S29" i="20"/>
  <c r="R29" i="20"/>
  <c r="AI28" i="20"/>
  <c r="AD28" i="20"/>
  <c r="AC28" i="20"/>
  <c r="X28" i="20"/>
  <c r="Y28" i="20" s="1"/>
  <c r="T28" i="20"/>
  <c r="S28" i="20"/>
  <c r="R28" i="20"/>
  <c r="AI27" i="20"/>
  <c r="AJ27" i="20" s="1"/>
  <c r="AD27" i="20"/>
  <c r="AC27" i="20"/>
  <c r="X27" i="20"/>
  <c r="Y27" i="20" s="1"/>
  <c r="T27" i="20"/>
  <c r="S27" i="20"/>
  <c r="R27" i="20"/>
  <c r="AI26" i="20"/>
  <c r="AD26" i="20"/>
  <c r="AC26" i="20"/>
  <c r="X26" i="20"/>
  <c r="Y26" i="20" s="1"/>
  <c r="T26" i="20"/>
  <c r="S26" i="20"/>
  <c r="R26" i="20"/>
  <c r="AI25" i="20"/>
  <c r="AD25" i="20"/>
  <c r="AC25" i="20"/>
  <c r="X25" i="20"/>
  <c r="Y25" i="20" s="1"/>
  <c r="T25" i="20"/>
  <c r="S25" i="20"/>
  <c r="R25" i="20"/>
  <c r="AI24" i="20"/>
  <c r="AJ24" i="20" s="1"/>
  <c r="AD24" i="20"/>
  <c r="AC24" i="20"/>
  <c r="X24" i="20"/>
  <c r="T24" i="20"/>
  <c r="S24" i="20"/>
  <c r="R24" i="20"/>
  <c r="AI23" i="20"/>
  <c r="AJ23" i="20" s="1"/>
  <c r="AD23" i="20"/>
  <c r="AC23" i="20"/>
  <c r="X23" i="20"/>
  <c r="Y23" i="20" s="1"/>
  <c r="T23" i="20"/>
  <c r="S23" i="20"/>
  <c r="R23" i="20"/>
  <c r="AI22" i="20"/>
  <c r="AJ22" i="20" s="1"/>
  <c r="AD22" i="20"/>
  <c r="AC22" i="20"/>
  <c r="X22" i="20"/>
  <c r="Y22" i="20" s="1"/>
  <c r="T22" i="20"/>
  <c r="S22" i="20"/>
  <c r="R22" i="20"/>
  <c r="AI21" i="20"/>
  <c r="AD21" i="20"/>
  <c r="AC21" i="20"/>
  <c r="X21" i="20"/>
  <c r="Y21" i="20" s="1"/>
  <c r="T21" i="20"/>
  <c r="S21" i="20"/>
  <c r="R21" i="20"/>
  <c r="AI20" i="20"/>
  <c r="AJ20" i="20" s="1"/>
  <c r="AD20" i="20"/>
  <c r="AC20" i="20"/>
  <c r="X20" i="20"/>
  <c r="Y20" i="20" s="1"/>
  <c r="T20" i="20"/>
  <c r="S20" i="20"/>
  <c r="R20" i="20"/>
  <c r="AI19" i="20"/>
  <c r="AD19" i="20"/>
  <c r="AC19" i="20"/>
  <c r="X19" i="20"/>
  <c r="Y19" i="20" s="1"/>
  <c r="T19" i="20"/>
  <c r="S19" i="20"/>
  <c r="R19" i="20"/>
  <c r="AI18" i="20"/>
  <c r="AJ18" i="20" s="1"/>
  <c r="AD18" i="20"/>
  <c r="AC18" i="20"/>
  <c r="X18" i="20"/>
  <c r="T18" i="20"/>
  <c r="S18" i="20"/>
  <c r="R18" i="20"/>
  <c r="AI17" i="20"/>
  <c r="AJ17" i="20" s="1"/>
  <c r="AD17" i="20"/>
  <c r="AC17" i="20"/>
  <c r="X17" i="20"/>
  <c r="Y17" i="20" s="1"/>
  <c r="T17" i="20"/>
  <c r="S17" i="20"/>
  <c r="R17" i="20"/>
  <c r="AI16" i="20"/>
  <c r="AJ16" i="20" s="1"/>
  <c r="AD16" i="20"/>
  <c r="AC16" i="20"/>
  <c r="X16" i="20"/>
  <c r="Y16" i="20" s="1"/>
  <c r="T16" i="20"/>
  <c r="S16" i="20"/>
  <c r="R16" i="20"/>
  <c r="AI15" i="20"/>
  <c r="AJ15" i="20" s="1"/>
  <c r="AD15" i="20"/>
  <c r="AC15" i="20"/>
  <c r="X15" i="20"/>
  <c r="Y15" i="20" s="1"/>
  <c r="T15" i="20"/>
  <c r="S15" i="20"/>
  <c r="R15" i="20"/>
  <c r="AI14" i="20"/>
  <c r="AD14" i="20"/>
  <c r="AC14" i="20"/>
  <c r="X14" i="20"/>
  <c r="Y14" i="20" s="1"/>
  <c r="T14" i="20"/>
  <c r="S14" i="20"/>
  <c r="R14" i="20"/>
  <c r="AI13" i="20"/>
  <c r="AJ13" i="20" s="1"/>
  <c r="AD13" i="20"/>
  <c r="AC13" i="20"/>
  <c r="X13" i="20"/>
  <c r="Y13" i="20" s="1"/>
  <c r="T13" i="20"/>
  <c r="S13" i="20"/>
  <c r="R13" i="20"/>
  <c r="AI12" i="20"/>
  <c r="AJ12" i="20" s="1"/>
  <c r="AD12" i="20"/>
  <c r="AC12" i="20"/>
  <c r="X12" i="20"/>
  <c r="Y12" i="20" s="1"/>
  <c r="T12" i="20"/>
  <c r="S12" i="20"/>
  <c r="R12" i="20"/>
  <c r="AI11" i="20"/>
  <c r="AJ11" i="20" s="1"/>
  <c r="AD11" i="20"/>
  <c r="AC11" i="20"/>
  <c r="X11" i="20"/>
  <c r="T11" i="20"/>
  <c r="S11" i="20"/>
  <c r="R11" i="20"/>
  <c r="AI10" i="20"/>
  <c r="AJ10" i="20" s="1"/>
  <c r="AD10" i="20"/>
  <c r="AC10" i="20"/>
  <c r="X10" i="20"/>
  <c r="Y10" i="20" s="1"/>
  <c r="T10" i="20"/>
  <c r="S10" i="20"/>
  <c r="R10" i="20"/>
  <c r="AI9" i="20"/>
  <c r="AD9" i="20"/>
  <c r="AC9" i="20"/>
  <c r="X9" i="20"/>
  <c r="Y9" i="20" s="1"/>
  <c r="T9" i="20"/>
  <c r="S9" i="20"/>
  <c r="R9" i="20"/>
  <c r="AI8" i="20"/>
  <c r="AJ8" i="20" s="1"/>
  <c r="AD8" i="20"/>
  <c r="AC8" i="20"/>
  <c r="X8" i="20"/>
  <c r="Y8" i="20" s="1"/>
  <c r="T8" i="20"/>
  <c r="S8" i="20"/>
  <c r="R8" i="20"/>
  <c r="AI7" i="20"/>
  <c r="AJ7" i="20" s="1"/>
  <c r="AD7" i="20"/>
  <c r="AC7" i="20"/>
  <c r="X7" i="20"/>
  <c r="Y7" i="20" s="1"/>
  <c r="T7" i="20"/>
  <c r="S7" i="20"/>
  <c r="R7" i="20"/>
  <c r="AI6" i="20"/>
  <c r="AJ6" i="20" s="1"/>
  <c r="AD6" i="20"/>
  <c r="AC6" i="20"/>
  <c r="X6" i="20"/>
  <c r="T6" i="20"/>
  <c r="S6" i="20"/>
  <c r="R6" i="20"/>
  <c r="AZ5" i="20"/>
  <c r="AY5" i="20"/>
  <c r="AX5" i="20"/>
  <c r="AW5" i="20"/>
  <c r="AV5" i="20"/>
  <c r="AU5" i="20"/>
  <c r="G5" i="20"/>
  <c r="F5" i="20"/>
  <c r="E5" i="20"/>
  <c r="D5" i="20"/>
  <c r="C5" i="20"/>
  <c r="B2" i="20"/>
  <c r="AX88" i="3"/>
  <c r="J13" i="9" s="1"/>
  <c r="AU88" i="3"/>
  <c r="I13" i="9" s="1"/>
  <c r="F13" i="9"/>
  <c r="C88" i="3"/>
  <c r="E13" i="9" s="1"/>
  <c r="AI86" i="3"/>
  <c r="AJ86" i="3" s="1"/>
  <c r="AD86" i="3"/>
  <c r="AC86" i="3"/>
  <c r="X86" i="3"/>
  <c r="Y86" i="3" s="1"/>
  <c r="T86" i="3"/>
  <c r="S86" i="3"/>
  <c r="R86" i="3"/>
  <c r="AI85" i="3"/>
  <c r="AD85" i="3"/>
  <c r="AC85" i="3"/>
  <c r="X85" i="3"/>
  <c r="Y85" i="3" s="1"/>
  <c r="T85" i="3"/>
  <c r="S85" i="3"/>
  <c r="R85" i="3"/>
  <c r="AI84" i="3"/>
  <c r="AJ84" i="3" s="1"/>
  <c r="AD84" i="3"/>
  <c r="AC84" i="3"/>
  <c r="X84" i="3"/>
  <c r="T84" i="3"/>
  <c r="S84" i="3"/>
  <c r="R84" i="3"/>
  <c r="AI83" i="3"/>
  <c r="AJ83" i="3" s="1"/>
  <c r="AD83" i="3"/>
  <c r="AC83" i="3"/>
  <c r="X83" i="3"/>
  <c r="Y83" i="3" s="1"/>
  <c r="T83" i="3"/>
  <c r="S83" i="3"/>
  <c r="R83" i="3"/>
  <c r="AI82" i="3"/>
  <c r="AJ82" i="3" s="1"/>
  <c r="AD82" i="3"/>
  <c r="AC82" i="3"/>
  <c r="X82" i="3"/>
  <c r="T82" i="3"/>
  <c r="S82" i="3"/>
  <c r="R82" i="3"/>
  <c r="AI81" i="3"/>
  <c r="AD81" i="3"/>
  <c r="AC81" i="3"/>
  <c r="X81" i="3"/>
  <c r="Y81" i="3" s="1"/>
  <c r="T81" i="3"/>
  <c r="S81" i="3"/>
  <c r="R81" i="3"/>
  <c r="AI80" i="3"/>
  <c r="AJ80" i="3" s="1"/>
  <c r="AD80" i="3"/>
  <c r="AC80" i="3"/>
  <c r="X80" i="3"/>
  <c r="Y80" i="3" s="1"/>
  <c r="T80" i="3"/>
  <c r="S80" i="3"/>
  <c r="R80" i="3"/>
  <c r="AI79" i="3"/>
  <c r="AJ79" i="3" s="1"/>
  <c r="AD79" i="3"/>
  <c r="AC79" i="3"/>
  <c r="X79" i="3"/>
  <c r="Y79" i="3" s="1"/>
  <c r="T79" i="3"/>
  <c r="S79" i="3"/>
  <c r="R79" i="3"/>
  <c r="AI78" i="3"/>
  <c r="AJ78" i="3" s="1"/>
  <c r="AD78" i="3"/>
  <c r="AC78" i="3"/>
  <c r="X78" i="3"/>
  <c r="T78" i="3"/>
  <c r="S78" i="3"/>
  <c r="R78" i="3"/>
  <c r="AI77" i="3"/>
  <c r="AD77" i="3"/>
  <c r="AC77" i="3"/>
  <c r="X77" i="3"/>
  <c r="Y77" i="3" s="1"/>
  <c r="T77" i="3"/>
  <c r="S77" i="3"/>
  <c r="R77" i="3"/>
  <c r="AI76" i="3"/>
  <c r="AJ76" i="3" s="1"/>
  <c r="AD76" i="3"/>
  <c r="AC76" i="3"/>
  <c r="X76" i="3"/>
  <c r="T76" i="3"/>
  <c r="S76" i="3"/>
  <c r="R76" i="3"/>
  <c r="AI75" i="3"/>
  <c r="AJ75" i="3" s="1"/>
  <c r="AD75" i="3"/>
  <c r="AC75" i="3"/>
  <c r="X75" i="3"/>
  <c r="T75" i="3"/>
  <c r="S75" i="3"/>
  <c r="R75" i="3"/>
  <c r="AI74" i="3"/>
  <c r="AD74" i="3"/>
  <c r="AC74" i="3"/>
  <c r="X74" i="3"/>
  <c r="Y74" i="3" s="1"/>
  <c r="T74" i="3"/>
  <c r="S74" i="3"/>
  <c r="R74" i="3"/>
  <c r="AI73" i="3"/>
  <c r="AD73" i="3"/>
  <c r="AC73" i="3"/>
  <c r="X73" i="3"/>
  <c r="Y73" i="3" s="1"/>
  <c r="T73" i="3"/>
  <c r="S73" i="3"/>
  <c r="R73" i="3"/>
  <c r="AI72" i="3"/>
  <c r="AJ72" i="3" s="1"/>
  <c r="AD72" i="3"/>
  <c r="AC72" i="3"/>
  <c r="X72" i="3"/>
  <c r="Y72" i="3" s="1"/>
  <c r="T72" i="3"/>
  <c r="S72" i="3"/>
  <c r="R72" i="3"/>
  <c r="AI71" i="3"/>
  <c r="AJ71" i="3" s="1"/>
  <c r="AD71" i="3"/>
  <c r="AC71" i="3"/>
  <c r="X71" i="3"/>
  <c r="T71" i="3"/>
  <c r="S71" i="3"/>
  <c r="R71" i="3"/>
  <c r="AI70" i="3"/>
  <c r="AD70" i="3"/>
  <c r="AC70" i="3"/>
  <c r="X70" i="3"/>
  <c r="Y70" i="3" s="1"/>
  <c r="T70" i="3"/>
  <c r="S70" i="3"/>
  <c r="R70" i="3"/>
  <c r="AI69" i="3"/>
  <c r="AJ69" i="3" s="1"/>
  <c r="AD69" i="3"/>
  <c r="AC69" i="3"/>
  <c r="X69" i="3"/>
  <c r="Y69" i="3" s="1"/>
  <c r="T69" i="3"/>
  <c r="S69" i="3"/>
  <c r="R69" i="3"/>
  <c r="AI68" i="3"/>
  <c r="AJ68" i="3" s="1"/>
  <c r="AD68" i="3"/>
  <c r="AC68" i="3"/>
  <c r="X68" i="3"/>
  <c r="Y68" i="3" s="1"/>
  <c r="T68" i="3"/>
  <c r="S68" i="3"/>
  <c r="R68" i="3"/>
  <c r="AI67" i="3"/>
  <c r="AJ67" i="3" s="1"/>
  <c r="AD67" i="3"/>
  <c r="AC67" i="3"/>
  <c r="X67" i="3"/>
  <c r="T67" i="3"/>
  <c r="S67" i="3"/>
  <c r="R67" i="3"/>
  <c r="AI66" i="3"/>
  <c r="AD66" i="3"/>
  <c r="AC66" i="3"/>
  <c r="X66" i="3"/>
  <c r="Y66" i="3" s="1"/>
  <c r="T66" i="3"/>
  <c r="S66" i="3"/>
  <c r="R66" i="3"/>
  <c r="AI65" i="3"/>
  <c r="AD65" i="3"/>
  <c r="AC65" i="3"/>
  <c r="X65" i="3"/>
  <c r="Y65" i="3" s="1"/>
  <c r="T65" i="3"/>
  <c r="S65" i="3"/>
  <c r="R65" i="3"/>
  <c r="AI64" i="3"/>
  <c r="AJ64" i="3" s="1"/>
  <c r="AD64" i="3"/>
  <c r="AC64" i="3"/>
  <c r="X64" i="3"/>
  <c r="T64" i="3"/>
  <c r="S64" i="3"/>
  <c r="R64" i="3"/>
  <c r="AI63" i="3"/>
  <c r="AD63" i="3"/>
  <c r="AC63" i="3"/>
  <c r="X63" i="3"/>
  <c r="Y63" i="3" s="1"/>
  <c r="T63" i="3"/>
  <c r="S63" i="3"/>
  <c r="R63" i="3"/>
  <c r="AI62" i="3"/>
  <c r="AD62" i="3"/>
  <c r="AC62" i="3"/>
  <c r="X62" i="3"/>
  <c r="Y62" i="3" s="1"/>
  <c r="T62" i="3"/>
  <c r="S62" i="3"/>
  <c r="R62" i="3"/>
  <c r="AI61" i="3"/>
  <c r="AJ61" i="3" s="1"/>
  <c r="AD61" i="3"/>
  <c r="AC61" i="3"/>
  <c r="X61" i="3"/>
  <c r="Y61" i="3" s="1"/>
  <c r="T61" i="3"/>
  <c r="S61" i="3"/>
  <c r="R61" i="3"/>
  <c r="AI60" i="3"/>
  <c r="AJ60" i="3" s="1"/>
  <c r="AD60" i="3"/>
  <c r="AC60" i="3"/>
  <c r="X60" i="3"/>
  <c r="Y60" i="3" s="1"/>
  <c r="T60" i="3"/>
  <c r="S60" i="3"/>
  <c r="R60" i="3"/>
  <c r="AI59" i="3"/>
  <c r="AD59" i="3"/>
  <c r="AC59" i="3"/>
  <c r="X59" i="3"/>
  <c r="Y59" i="3" s="1"/>
  <c r="T59" i="3"/>
  <c r="S59" i="3"/>
  <c r="R59" i="3"/>
  <c r="AI58" i="3"/>
  <c r="AJ58" i="3" s="1"/>
  <c r="AD58" i="3"/>
  <c r="AC58" i="3"/>
  <c r="X58" i="3"/>
  <c r="T58" i="3"/>
  <c r="S58" i="3"/>
  <c r="R58" i="3"/>
  <c r="AI57" i="3"/>
  <c r="AD57" i="3"/>
  <c r="AC57" i="3"/>
  <c r="X57" i="3"/>
  <c r="Y57" i="3" s="1"/>
  <c r="T57" i="3"/>
  <c r="S57" i="3"/>
  <c r="R57" i="3"/>
  <c r="AI56" i="3"/>
  <c r="AJ56" i="3" s="1"/>
  <c r="AD56" i="3"/>
  <c r="AC56" i="3"/>
  <c r="X56" i="3"/>
  <c r="Y56" i="3" s="1"/>
  <c r="T56" i="3"/>
  <c r="S56" i="3"/>
  <c r="R56" i="3"/>
  <c r="AI55" i="3"/>
  <c r="AD55" i="3"/>
  <c r="AC55" i="3"/>
  <c r="X55" i="3"/>
  <c r="Y55" i="3" s="1"/>
  <c r="T55" i="3"/>
  <c r="S55" i="3"/>
  <c r="R55" i="3"/>
  <c r="AI54" i="3"/>
  <c r="AJ54" i="3" s="1"/>
  <c r="AD54" i="3"/>
  <c r="AC54" i="3"/>
  <c r="X54" i="3"/>
  <c r="T54" i="3"/>
  <c r="S54" i="3"/>
  <c r="R54" i="3"/>
  <c r="AI53" i="3"/>
  <c r="AD53" i="3"/>
  <c r="AC53" i="3"/>
  <c r="X53" i="3"/>
  <c r="Y53" i="3" s="1"/>
  <c r="T53" i="3"/>
  <c r="S53" i="3"/>
  <c r="R53" i="3"/>
  <c r="AI52" i="3"/>
  <c r="AJ52" i="3" s="1"/>
  <c r="AD52" i="3"/>
  <c r="AC52" i="3"/>
  <c r="X52" i="3"/>
  <c r="T52" i="3"/>
  <c r="S52" i="3"/>
  <c r="R52" i="3"/>
  <c r="AI51" i="3"/>
  <c r="AJ51" i="3" s="1"/>
  <c r="AD51" i="3"/>
  <c r="AC51" i="3"/>
  <c r="X51" i="3"/>
  <c r="T51" i="3"/>
  <c r="S51" i="3"/>
  <c r="R51" i="3"/>
  <c r="AI50" i="3"/>
  <c r="AJ50" i="3" s="1"/>
  <c r="AD50" i="3"/>
  <c r="AC50" i="3"/>
  <c r="X50" i="3"/>
  <c r="T50" i="3"/>
  <c r="S50" i="3"/>
  <c r="R50" i="3"/>
  <c r="AI49" i="3"/>
  <c r="AJ49" i="3" s="1"/>
  <c r="AD49" i="3"/>
  <c r="AC49" i="3"/>
  <c r="X49" i="3"/>
  <c r="Y49" i="3" s="1"/>
  <c r="T49" i="3"/>
  <c r="S49" i="3"/>
  <c r="R49" i="3"/>
  <c r="AI48" i="3"/>
  <c r="AJ48" i="3" s="1"/>
  <c r="AD48" i="3"/>
  <c r="AC48" i="3"/>
  <c r="X48" i="3"/>
  <c r="Y48" i="3" s="1"/>
  <c r="T48" i="3"/>
  <c r="S48" i="3"/>
  <c r="R48" i="3"/>
  <c r="AI47" i="3"/>
  <c r="AJ47" i="3" s="1"/>
  <c r="AD47" i="3"/>
  <c r="AC47" i="3"/>
  <c r="X47" i="3"/>
  <c r="Y47" i="3" s="1"/>
  <c r="T47" i="3"/>
  <c r="S47" i="3"/>
  <c r="R47" i="3"/>
  <c r="AI46" i="3"/>
  <c r="AD46" i="3"/>
  <c r="AC46" i="3"/>
  <c r="X46" i="3"/>
  <c r="Y46" i="3" s="1"/>
  <c r="T46" i="3"/>
  <c r="S46" i="3"/>
  <c r="R46" i="3"/>
  <c r="AI45" i="3"/>
  <c r="AD45" i="3"/>
  <c r="AC45" i="3"/>
  <c r="X45" i="3"/>
  <c r="Y45" i="3" s="1"/>
  <c r="T45" i="3"/>
  <c r="S45" i="3"/>
  <c r="R45" i="3"/>
  <c r="AI44" i="3"/>
  <c r="AJ44" i="3" s="1"/>
  <c r="AD44" i="3"/>
  <c r="AC44" i="3"/>
  <c r="X44" i="3"/>
  <c r="Y44" i="3" s="1"/>
  <c r="T44" i="3"/>
  <c r="S44" i="3"/>
  <c r="R44" i="3"/>
  <c r="AI43" i="3"/>
  <c r="AJ43" i="3" s="1"/>
  <c r="AD43" i="3"/>
  <c r="AC43" i="3"/>
  <c r="X43" i="3"/>
  <c r="T43" i="3"/>
  <c r="S43" i="3"/>
  <c r="R43" i="3"/>
  <c r="AI42" i="3"/>
  <c r="AJ42" i="3" s="1"/>
  <c r="AD42" i="3"/>
  <c r="AC42" i="3"/>
  <c r="X42" i="3"/>
  <c r="T42" i="3"/>
  <c r="S42" i="3"/>
  <c r="R42" i="3"/>
  <c r="AI41" i="3"/>
  <c r="AD41" i="3"/>
  <c r="AC41" i="3"/>
  <c r="X41" i="3"/>
  <c r="Y41" i="3" s="1"/>
  <c r="T41" i="3"/>
  <c r="S41" i="3"/>
  <c r="R41" i="3"/>
  <c r="AI40" i="3"/>
  <c r="AJ40" i="3" s="1"/>
  <c r="AD40" i="3"/>
  <c r="AC40" i="3"/>
  <c r="X40" i="3"/>
  <c r="T40" i="3"/>
  <c r="S40" i="3"/>
  <c r="R40" i="3"/>
  <c r="AI39" i="3"/>
  <c r="AJ39" i="3" s="1"/>
  <c r="AD39" i="3"/>
  <c r="AC39" i="3"/>
  <c r="X39" i="3"/>
  <c r="Y39" i="3" s="1"/>
  <c r="T39" i="3"/>
  <c r="S39" i="3"/>
  <c r="R39" i="3"/>
  <c r="AI38" i="3"/>
  <c r="AD38" i="3"/>
  <c r="AC38" i="3"/>
  <c r="X38" i="3"/>
  <c r="Y38" i="3" s="1"/>
  <c r="T38" i="3"/>
  <c r="S38" i="3"/>
  <c r="R38" i="3"/>
  <c r="AI37" i="3"/>
  <c r="AD37" i="3"/>
  <c r="AC37" i="3"/>
  <c r="X37" i="3"/>
  <c r="Y37" i="3" s="1"/>
  <c r="T37" i="3"/>
  <c r="S37" i="3"/>
  <c r="R37" i="3"/>
  <c r="AI36" i="3"/>
  <c r="AJ36" i="3" s="1"/>
  <c r="AD36" i="3"/>
  <c r="AC36" i="3"/>
  <c r="X36" i="3"/>
  <c r="T36" i="3"/>
  <c r="S36" i="3"/>
  <c r="R36" i="3"/>
  <c r="AI35" i="3"/>
  <c r="AD35" i="3"/>
  <c r="AC35" i="3"/>
  <c r="X35" i="3"/>
  <c r="Y35" i="3" s="1"/>
  <c r="T35" i="3"/>
  <c r="S35" i="3"/>
  <c r="R35" i="3"/>
  <c r="AI34" i="3"/>
  <c r="AD34" i="3"/>
  <c r="AC34" i="3"/>
  <c r="X34" i="3"/>
  <c r="Y34" i="3" s="1"/>
  <c r="T34" i="3"/>
  <c r="S34" i="3"/>
  <c r="R34" i="3"/>
  <c r="AI33" i="3"/>
  <c r="AD33" i="3"/>
  <c r="AC33" i="3"/>
  <c r="X33" i="3"/>
  <c r="Y33" i="3" s="1"/>
  <c r="T33" i="3"/>
  <c r="S33" i="3"/>
  <c r="R33" i="3"/>
  <c r="AI32" i="3"/>
  <c r="AJ32" i="3" s="1"/>
  <c r="AD32" i="3"/>
  <c r="AC32" i="3"/>
  <c r="X32" i="3"/>
  <c r="Y32" i="3" s="1"/>
  <c r="T32" i="3"/>
  <c r="S32" i="3"/>
  <c r="R32" i="3"/>
  <c r="AI31" i="3"/>
  <c r="AD31" i="3"/>
  <c r="AC31" i="3"/>
  <c r="X31" i="3"/>
  <c r="Y31" i="3" s="1"/>
  <c r="T31" i="3"/>
  <c r="S31" i="3"/>
  <c r="R31" i="3"/>
  <c r="AI30" i="3"/>
  <c r="AD30" i="3"/>
  <c r="AC30" i="3"/>
  <c r="X30" i="3"/>
  <c r="Y30" i="3" s="1"/>
  <c r="T30" i="3"/>
  <c r="S30" i="3"/>
  <c r="R30" i="3"/>
  <c r="AI29" i="3"/>
  <c r="AJ29" i="3" s="1"/>
  <c r="AD29" i="3"/>
  <c r="AC29" i="3"/>
  <c r="X29" i="3"/>
  <c r="Y29" i="3" s="1"/>
  <c r="T29" i="3"/>
  <c r="S29" i="3"/>
  <c r="R29" i="3"/>
  <c r="AI28" i="3"/>
  <c r="AJ28" i="3" s="1"/>
  <c r="AD28" i="3"/>
  <c r="AC28" i="3"/>
  <c r="X28" i="3"/>
  <c r="Y28" i="3" s="1"/>
  <c r="T28" i="3"/>
  <c r="S28" i="3"/>
  <c r="R28" i="3"/>
  <c r="AI27" i="3"/>
  <c r="AD27" i="3"/>
  <c r="AC27" i="3"/>
  <c r="X27" i="3"/>
  <c r="Y27" i="3" s="1"/>
  <c r="T27" i="3"/>
  <c r="S27" i="3"/>
  <c r="R27" i="3"/>
  <c r="AI26" i="3"/>
  <c r="AJ26" i="3" s="1"/>
  <c r="AD26" i="3"/>
  <c r="AC26" i="3"/>
  <c r="X26" i="3"/>
  <c r="T26" i="3"/>
  <c r="S26" i="3"/>
  <c r="R26" i="3"/>
  <c r="AI25" i="3"/>
  <c r="AD25" i="3"/>
  <c r="AC25" i="3"/>
  <c r="X25" i="3"/>
  <c r="Y25" i="3" s="1"/>
  <c r="T25" i="3"/>
  <c r="S25" i="3"/>
  <c r="R25" i="3"/>
  <c r="AI24" i="3"/>
  <c r="AJ24" i="3" s="1"/>
  <c r="AD24" i="3"/>
  <c r="AC24" i="3"/>
  <c r="X24" i="3"/>
  <c r="Y24" i="3" s="1"/>
  <c r="T24" i="3"/>
  <c r="S24" i="3"/>
  <c r="R24" i="3"/>
  <c r="AI23" i="3"/>
  <c r="AD23" i="3"/>
  <c r="AC23" i="3"/>
  <c r="X23" i="3"/>
  <c r="Y23" i="3" s="1"/>
  <c r="T23" i="3"/>
  <c r="S23" i="3"/>
  <c r="R23" i="3"/>
  <c r="AI22" i="3"/>
  <c r="AJ22" i="3" s="1"/>
  <c r="AD22" i="3"/>
  <c r="AC22" i="3"/>
  <c r="X22" i="3"/>
  <c r="T22" i="3"/>
  <c r="S22" i="3"/>
  <c r="R22" i="3"/>
  <c r="AI21" i="3"/>
  <c r="AJ21" i="3" s="1"/>
  <c r="AD21" i="3"/>
  <c r="AC21" i="3"/>
  <c r="X21" i="3"/>
  <c r="Y21" i="3" s="1"/>
  <c r="T21" i="3"/>
  <c r="S21" i="3"/>
  <c r="R21" i="3"/>
  <c r="AI20" i="3"/>
  <c r="AJ20" i="3" s="1"/>
  <c r="AD20" i="3"/>
  <c r="AC20" i="3"/>
  <c r="X20" i="3"/>
  <c r="T20" i="3"/>
  <c r="S20" i="3"/>
  <c r="R20" i="3"/>
  <c r="AI19" i="3"/>
  <c r="AJ19" i="3" s="1"/>
  <c r="AD19" i="3"/>
  <c r="AC19" i="3"/>
  <c r="X19" i="3"/>
  <c r="T19" i="3"/>
  <c r="S19" i="3"/>
  <c r="R19" i="3"/>
  <c r="AI18" i="3"/>
  <c r="AJ18" i="3" s="1"/>
  <c r="AD18" i="3"/>
  <c r="AC18" i="3"/>
  <c r="X18" i="3"/>
  <c r="T18" i="3"/>
  <c r="S18" i="3"/>
  <c r="R18" i="3"/>
  <c r="AI17" i="3"/>
  <c r="AD17" i="3"/>
  <c r="AC17" i="3"/>
  <c r="X17" i="3"/>
  <c r="Y17" i="3" s="1"/>
  <c r="T17" i="3"/>
  <c r="S17" i="3"/>
  <c r="R17" i="3"/>
  <c r="AI16" i="3"/>
  <c r="AD16" i="3"/>
  <c r="AC16" i="3"/>
  <c r="X16" i="3"/>
  <c r="Y16" i="3" s="1"/>
  <c r="T16" i="3"/>
  <c r="S16" i="3"/>
  <c r="R16" i="3"/>
  <c r="AI15" i="3"/>
  <c r="AJ15" i="3" s="1"/>
  <c r="AD15" i="3"/>
  <c r="AC15" i="3"/>
  <c r="X15" i="3"/>
  <c r="T15" i="3"/>
  <c r="S15" i="3"/>
  <c r="R15" i="3"/>
  <c r="AI14" i="3"/>
  <c r="AJ14" i="3" s="1"/>
  <c r="AD14" i="3"/>
  <c r="AC14" i="3"/>
  <c r="X14" i="3"/>
  <c r="T14" i="3"/>
  <c r="S14" i="3"/>
  <c r="R14" i="3"/>
  <c r="AI13" i="3"/>
  <c r="AD13" i="3"/>
  <c r="AC13" i="3"/>
  <c r="X13" i="3"/>
  <c r="Y13" i="3" s="1"/>
  <c r="T13" i="3"/>
  <c r="S13" i="3"/>
  <c r="R13" i="3"/>
  <c r="AI12" i="3"/>
  <c r="AD12" i="3"/>
  <c r="AC12" i="3"/>
  <c r="X12" i="3"/>
  <c r="Y12" i="3" s="1"/>
  <c r="T12" i="3"/>
  <c r="S12" i="3"/>
  <c r="R12" i="3"/>
  <c r="AI11" i="3"/>
  <c r="AJ11" i="3" s="1"/>
  <c r="AD11" i="3"/>
  <c r="AC11" i="3"/>
  <c r="X11" i="3"/>
  <c r="T11" i="3"/>
  <c r="S11" i="3"/>
  <c r="R11" i="3"/>
  <c r="AI10" i="3"/>
  <c r="AJ10" i="3" s="1"/>
  <c r="AD10" i="3"/>
  <c r="AC10" i="3"/>
  <c r="X10" i="3"/>
  <c r="Y10" i="3" s="1"/>
  <c r="T10" i="3"/>
  <c r="S10" i="3"/>
  <c r="R10" i="3"/>
  <c r="AI9" i="3"/>
  <c r="AJ9" i="3" s="1"/>
  <c r="AD9" i="3"/>
  <c r="AC9" i="3"/>
  <c r="X9" i="3"/>
  <c r="Y9" i="3" s="1"/>
  <c r="T9" i="3"/>
  <c r="S9" i="3"/>
  <c r="R9" i="3"/>
  <c r="AI8" i="3"/>
  <c r="AD8" i="3"/>
  <c r="AC8" i="3"/>
  <c r="X8" i="3"/>
  <c r="Y8" i="3" s="1"/>
  <c r="T8" i="3"/>
  <c r="S8" i="3"/>
  <c r="R8" i="3"/>
  <c r="AI7" i="3"/>
  <c r="AJ7" i="3" s="1"/>
  <c r="AD7" i="3"/>
  <c r="AC7" i="3"/>
  <c r="X7" i="3"/>
  <c r="T7" i="3"/>
  <c r="S7" i="3"/>
  <c r="R7" i="3"/>
  <c r="AI6" i="3"/>
  <c r="AJ6" i="3" s="1"/>
  <c r="AD6" i="3"/>
  <c r="AC6" i="3"/>
  <c r="X6" i="3"/>
  <c r="T6" i="3"/>
  <c r="S6" i="3"/>
  <c r="R6" i="3"/>
  <c r="AZ5" i="3"/>
  <c r="AY5" i="3"/>
  <c r="AX5" i="3"/>
  <c r="AW5" i="3"/>
  <c r="AV5" i="3"/>
  <c r="AU5" i="3"/>
  <c r="G5" i="3"/>
  <c r="F5" i="3"/>
  <c r="E5" i="3"/>
  <c r="D5" i="3"/>
  <c r="C5" i="3"/>
  <c r="B2" i="3"/>
  <c r="AX88" i="2"/>
  <c r="J12" i="9" s="1"/>
  <c r="AU88" i="2"/>
  <c r="I12" i="9" s="1"/>
  <c r="F12" i="9"/>
  <c r="C88" i="2"/>
  <c r="E12" i="9" s="1"/>
  <c r="AI86" i="2"/>
  <c r="AJ86" i="2" s="1"/>
  <c r="AD86" i="2"/>
  <c r="AC86" i="2"/>
  <c r="X86" i="2"/>
  <c r="Y86" i="2" s="1"/>
  <c r="T86" i="2"/>
  <c r="S86" i="2"/>
  <c r="R86" i="2"/>
  <c r="AI85" i="2"/>
  <c r="AD85" i="2"/>
  <c r="AC85" i="2"/>
  <c r="X85" i="2"/>
  <c r="Y85" i="2" s="1"/>
  <c r="T85" i="2"/>
  <c r="S85" i="2"/>
  <c r="R85" i="2"/>
  <c r="AI84" i="2"/>
  <c r="AD84" i="2"/>
  <c r="AC84" i="2"/>
  <c r="X84" i="2"/>
  <c r="Y84" i="2" s="1"/>
  <c r="T84" i="2"/>
  <c r="S84" i="2"/>
  <c r="R84" i="2"/>
  <c r="AI83" i="2"/>
  <c r="AJ83" i="2" s="1"/>
  <c r="AD83" i="2"/>
  <c r="AC83" i="2"/>
  <c r="X83" i="2"/>
  <c r="T83" i="2"/>
  <c r="S83" i="2"/>
  <c r="R83" i="2"/>
  <c r="AI82" i="2"/>
  <c r="AJ82" i="2" s="1"/>
  <c r="AD82" i="2"/>
  <c r="AC82" i="2"/>
  <c r="X82" i="2"/>
  <c r="Y82" i="2" s="1"/>
  <c r="T82" i="2"/>
  <c r="S82" i="2"/>
  <c r="R82" i="2"/>
  <c r="AI81" i="2"/>
  <c r="AJ81" i="2" s="1"/>
  <c r="AD81" i="2"/>
  <c r="AC81" i="2"/>
  <c r="X81" i="2"/>
  <c r="Y81" i="2" s="1"/>
  <c r="T81" i="2"/>
  <c r="S81" i="2"/>
  <c r="R81" i="2"/>
  <c r="AI80" i="2"/>
  <c r="AD80" i="2"/>
  <c r="AC80" i="2"/>
  <c r="X80" i="2"/>
  <c r="Y80" i="2" s="1"/>
  <c r="T80" i="2"/>
  <c r="S80" i="2"/>
  <c r="R80" i="2"/>
  <c r="AI79" i="2"/>
  <c r="AJ79" i="2" s="1"/>
  <c r="AD79" i="2"/>
  <c r="AC79" i="2"/>
  <c r="X79" i="2"/>
  <c r="Y79" i="2" s="1"/>
  <c r="T79" i="2"/>
  <c r="S79" i="2"/>
  <c r="R79" i="2"/>
  <c r="AI78" i="2"/>
  <c r="AJ78" i="2" s="1"/>
  <c r="AD78" i="2"/>
  <c r="AC78" i="2"/>
  <c r="X78" i="2"/>
  <c r="T78" i="2"/>
  <c r="S78" i="2"/>
  <c r="R78" i="2"/>
  <c r="AI77" i="2"/>
  <c r="AD77" i="2"/>
  <c r="AC77" i="2"/>
  <c r="X77" i="2"/>
  <c r="Y77" i="2" s="1"/>
  <c r="T77" i="2"/>
  <c r="S77" i="2"/>
  <c r="R77" i="2"/>
  <c r="AI76" i="2"/>
  <c r="AD76" i="2"/>
  <c r="AC76" i="2"/>
  <c r="X76" i="2"/>
  <c r="Y76" i="2" s="1"/>
  <c r="T76" i="2"/>
  <c r="S76" i="2"/>
  <c r="R76" i="2"/>
  <c r="AI75" i="2"/>
  <c r="AJ75" i="2" s="1"/>
  <c r="AD75" i="2"/>
  <c r="AC75" i="2"/>
  <c r="X75" i="2"/>
  <c r="T75" i="2"/>
  <c r="S75" i="2"/>
  <c r="R75" i="2"/>
  <c r="AI74" i="2"/>
  <c r="AJ74" i="2" s="1"/>
  <c r="AD74" i="2"/>
  <c r="AC74" i="2"/>
  <c r="X74" i="2"/>
  <c r="Y74" i="2" s="1"/>
  <c r="T74" i="2"/>
  <c r="S74" i="2"/>
  <c r="R74" i="2"/>
  <c r="AI73" i="2"/>
  <c r="AJ73" i="2" s="1"/>
  <c r="AD73" i="2"/>
  <c r="AC73" i="2"/>
  <c r="X73" i="2"/>
  <c r="Y73" i="2" s="1"/>
  <c r="T73" i="2"/>
  <c r="S73" i="2"/>
  <c r="R73" i="2"/>
  <c r="AI72" i="2"/>
  <c r="AD72" i="2"/>
  <c r="AC72" i="2"/>
  <c r="X72" i="2"/>
  <c r="Y72" i="2" s="1"/>
  <c r="T72" i="2"/>
  <c r="S72" i="2"/>
  <c r="R72" i="2"/>
  <c r="AI71" i="2"/>
  <c r="AJ71" i="2" s="1"/>
  <c r="AD71" i="2"/>
  <c r="AC71" i="2"/>
  <c r="X71" i="2"/>
  <c r="Y71" i="2" s="1"/>
  <c r="T71" i="2"/>
  <c r="S71" i="2"/>
  <c r="R71" i="2"/>
  <c r="AI70" i="2"/>
  <c r="AJ70" i="2" s="1"/>
  <c r="AD70" i="2"/>
  <c r="AC70" i="2"/>
  <c r="X70" i="2"/>
  <c r="Y70" i="2" s="1"/>
  <c r="T70" i="2"/>
  <c r="S70" i="2"/>
  <c r="R70" i="2"/>
  <c r="AI69" i="2"/>
  <c r="AJ69" i="2" s="1"/>
  <c r="AD69" i="2"/>
  <c r="AC69" i="2"/>
  <c r="X69" i="2"/>
  <c r="Y69" i="2" s="1"/>
  <c r="T69" i="2"/>
  <c r="S69" i="2"/>
  <c r="R69" i="2"/>
  <c r="AI68" i="2"/>
  <c r="AD68" i="2"/>
  <c r="AC68" i="2"/>
  <c r="X68" i="2"/>
  <c r="Y68" i="2" s="1"/>
  <c r="T68" i="2"/>
  <c r="S68" i="2"/>
  <c r="R68" i="2"/>
  <c r="AI67" i="2"/>
  <c r="AJ67" i="2" s="1"/>
  <c r="AD67" i="2"/>
  <c r="AC67" i="2"/>
  <c r="X67" i="2"/>
  <c r="T67" i="2"/>
  <c r="S67" i="2"/>
  <c r="R67" i="2"/>
  <c r="AI66" i="2"/>
  <c r="AJ66" i="2" s="1"/>
  <c r="AD66" i="2"/>
  <c r="AC66" i="2"/>
  <c r="X66" i="2"/>
  <c r="Y66" i="2" s="1"/>
  <c r="T66" i="2"/>
  <c r="S66" i="2"/>
  <c r="R66" i="2"/>
  <c r="AI65" i="2"/>
  <c r="AJ65" i="2" s="1"/>
  <c r="AD65" i="2"/>
  <c r="AC65" i="2"/>
  <c r="X65" i="2"/>
  <c r="Y65" i="2" s="1"/>
  <c r="T65" i="2"/>
  <c r="S65" i="2"/>
  <c r="R65" i="2"/>
  <c r="AI64" i="2"/>
  <c r="AD64" i="2"/>
  <c r="AC64" i="2"/>
  <c r="X64" i="2"/>
  <c r="Y64" i="2" s="1"/>
  <c r="T64" i="2"/>
  <c r="S64" i="2"/>
  <c r="R64" i="2"/>
  <c r="AI63" i="2"/>
  <c r="AJ63" i="2" s="1"/>
  <c r="AD63" i="2"/>
  <c r="AC63" i="2"/>
  <c r="X63" i="2"/>
  <c r="Y63" i="2" s="1"/>
  <c r="T63" i="2"/>
  <c r="S63" i="2"/>
  <c r="R63" i="2"/>
  <c r="AI62" i="2"/>
  <c r="AJ62" i="2" s="1"/>
  <c r="AD62" i="2"/>
  <c r="AC62" i="2"/>
  <c r="X62" i="2"/>
  <c r="Y62" i="2" s="1"/>
  <c r="T62" i="2"/>
  <c r="S62" i="2"/>
  <c r="R62" i="2"/>
  <c r="AI61" i="2"/>
  <c r="AJ61" i="2" s="1"/>
  <c r="AD61" i="2"/>
  <c r="AC61" i="2"/>
  <c r="X61" i="2"/>
  <c r="Y61" i="2" s="1"/>
  <c r="T61" i="2"/>
  <c r="S61" i="2"/>
  <c r="R61" i="2"/>
  <c r="AI60" i="2"/>
  <c r="AD60" i="2"/>
  <c r="AC60" i="2"/>
  <c r="X60" i="2"/>
  <c r="Y60" i="2" s="1"/>
  <c r="T60" i="2"/>
  <c r="S60" i="2"/>
  <c r="R60" i="2"/>
  <c r="AI59" i="2"/>
  <c r="AJ59" i="2" s="1"/>
  <c r="AD59" i="2"/>
  <c r="AC59" i="2"/>
  <c r="X59" i="2"/>
  <c r="T59" i="2"/>
  <c r="S59" i="2"/>
  <c r="R59" i="2"/>
  <c r="AI58" i="2"/>
  <c r="AD58" i="2"/>
  <c r="AC58" i="2"/>
  <c r="X58" i="2"/>
  <c r="Y58" i="2" s="1"/>
  <c r="T58" i="2"/>
  <c r="S58" i="2"/>
  <c r="R58" i="2"/>
  <c r="AI57" i="2"/>
  <c r="AJ57" i="2" s="1"/>
  <c r="AD57" i="2"/>
  <c r="AC57" i="2"/>
  <c r="X57" i="2"/>
  <c r="Y57" i="2" s="1"/>
  <c r="T57" i="2"/>
  <c r="S57" i="2"/>
  <c r="R57" i="2"/>
  <c r="AI56" i="2"/>
  <c r="AD56" i="2"/>
  <c r="AC56" i="2"/>
  <c r="X56" i="2"/>
  <c r="Y56" i="2" s="1"/>
  <c r="T56" i="2"/>
  <c r="S56" i="2"/>
  <c r="R56" i="2"/>
  <c r="AI55" i="2"/>
  <c r="AJ55" i="2" s="1"/>
  <c r="AD55" i="2"/>
  <c r="AC55" i="2"/>
  <c r="X55" i="2"/>
  <c r="Y55" i="2" s="1"/>
  <c r="T55" i="2"/>
  <c r="S55" i="2"/>
  <c r="R55" i="2"/>
  <c r="AI54" i="2"/>
  <c r="AJ54" i="2" s="1"/>
  <c r="AD54" i="2"/>
  <c r="AC54" i="2"/>
  <c r="X54" i="2"/>
  <c r="Y54" i="2" s="1"/>
  <c r="T54" i="2"/>
  <c r="S54" i="2"/>
  <c r="R54" i="2"/>
  <c r="AI53" i="2"/>
  <c r="AD53" i="2"/>
  <c r="AC53" i="2"/>
  <c r="X53" i="2"/>
  <c r="Y53" i="2" s="1"/>
  <c r="T53" i="2"/>
  <c r="S53" i="2"/>
  <c r="R53" i="2"/>
  <c r="AI52" i="2"/>
  <c r="AD52" i="2"/>
  <c r="AC52" i="2"/>
  <c r="X52" i="2"/>
  <c r="Y52" i="2" s="1"/>
  <c r="T52" i="2"/>
  <c r="S52" i="2"/>
  <c r="R52" i="2"/>
  <c r="AI51" i="2"/>
  <c r="AJ51" i="2" s="1"/>
  <c r="AD51" i="2"/>
  <c r="AC51" i="2"/>
  <c r="X51" i="2"/>
  <c r="T51" i="2"/>
  <c r="S51" i="2"/>
  <c r="R51" i="2"/>
  <c r="AI50" i="2"/>
  <c r="AJ50" i="2" s="1"/>
  <c r="AD50" i="2"/>
  <c r="AC50" i="2"/>
  <c r="X50" i="2"/>
  <c r="Y50" i="2" s="1"/>
  <c r="T50" i="2"/>
  <c r="S50" i="2"/>
  <c r="R50" i="2"/>
  <c r="AI49" i="2"/>
  <c r="AD49" i="2"/>
  <c r="AC49" i="2"/>
  <c r="X49" i="2"/>
  <c r="Y49" i="2" s="1"/>
  <c r="T49" i="2"/>
  <c r="S49" i="2"/>
  <c r="R49" i="2"/>
  <c r="AI48" i="2"/>
  <c r="AD48" i="2"/>
  <c r="AC48" i="2"/>
  <c r="X48" i="2"/>
  <c r="Y48" i="2" s="1"/>
  <c r="T48" i="2"/>
  <c r="S48" i="2"/>
  <c r="R48" i="2"/>
  <c r="AI47" i="2"/>
  <c r="AJ47" i="2" s="1"/>
  <c r="AD47" i="2"/>
  <c r="AC47" i="2"/>
  <c r="X47" i="2"/>
  <c r="Y47" i="2" s="1"/>
  <c r="T47" i="2"/>
  <c r="S47" i="2"/>
  <c r="R47" i="2"/>
  <c r="AI46" i="2"/>
  <c r="AJ46" i="2" s="1"/>
  <c r="AD46" i="2"/>
  <c r="AC46" i="2"/>
  <c r="X46" i="2"/>
  <c r="T46" i="2"/>
  <c r="S46" i="2"/>
  <c r="R46" i="2"/>
  <c r="AI45" i="2"/>
  <c r="AJ45" i="2" s="1"/>
  <c r="AD45" i="2"/>
  <c r="AC45" i="2"/>
  <c r="X45" i="2"/>
  <c r="Y45" i="2" s="1"/>
  <c r="T45" i="2"/>
  <c r="S45" i="2"/>
  <c r="R45" i="2"/>
  <c r="AI44" i="2"/>
  <c r="AD44" i="2"/>
  <c r="AC44" i="2"/>
  <c r="X44" i="2"/>
  <c r="Y44" i="2" s="1"/>
  <c r="T44" i="2"/>
  <c r="S44" i="2"/>
  <c r="R44" i="2"/>
  <c r="AI43" i="2"/>
  <c r="AJ43" i="2" s="1"/>
  <c r="AD43" i="2"/>
  <c r="AC43" i="2"/>
  <c r="X43" i="2"/>
  <c r="Y43" i="2" s="1"/>
  <c r="T43" i="2"/>
  <c r="S43" i="2"/>
  <c r="R43" i="2"/>
  <c r="AI42" i="2"/>
  <c r="AJ42" i="2" s="1"/>
  <c r="AD42" i="2"/>
  <c r="AC42" i="2"/>
  <c r="X42" i="2"/>
  <c r="Y42" i="2" s="1"/>
  <c r="T42" i="2"/>
  <c r="S42" i="2"/>
  <c r="R42" i="2"/>
  <c r="AI41" i="2"/>
  <c r="AD41" i="2"/>
  <c r="AC41" i="2"/>
  <c r="X41" i="2"/>
  <c r="Y41" i="2" s="1"/>
  <c r="T41" i="2"/>
  <c r="S41" i="2"/>
  <c r="R41" i="2"/>
  <c r="AI40" i="2"/>
  <c r="AD40" i="2"/>
  <c r="AC40" i="2"/>
  <c r="X40" i="2"/>
  <c r="Y40" i="2" s="1"/>
  <c r="T40" i="2"/>
  <c r="S40" i="2"/>
  <c r="R40" i="2"/>
  <c r="AI39" i="2"/>
  <c r="AJ39" i="2" s="1"/>
  <c r="AD39" i="2"/>
  <c r="AC39" i="2"/>
  <c r="X39" i="2"/>
  <c r="Y39" i="2" s="1"/>
  <c r="T39" i="2"/>
  <c r="S39" i="2"/>
  <c r="R39" i="2"/>
  <c r="AI38" i="2"/>
  <c r="AJ38" i="2" s="1"/>
  <c r="AD38" i="2"/>
  <c r="AC38" i="2"/>
  <c r="X38" i="2"/>
  <c r="T38" i="2"/>
  <c r="S38" i="2"/>
  <c r="R38" i="2"/>
  <c r="AI37" i="2"/>
  <c r="AJ37" i="2" s="1"/>
  <c r="AD37" i="2"/>
  <c r="AC37" i="2"/>
  <c r="X37" i="2"/>
  <c r="Y37" i="2" s="1"/>
  <c r="T37" i="2"/>
  <c r="S37" i="2"/>
  <c r="R37" i="2"/>
  <c r="AI36" i="2"/>
  <c r="AD36" i="2"/>
  <c r="AC36" i="2"/>
  <c r="X36" i="2"/>
  <c r="Y36" i="2" s="1"/>
  <c r="T36" i="2"/>
  <c r="S36" i="2"/>
  <c r="R36" i="2"/>
  <c r="AI35" i="2"/>
  <c r="AJ35" i="2" s="1"/>
  <c r="AD35" i="2"/>
  <c r="AC35" i="2"/>
  <c r="X35" i="2"/>
  <c r="Y35" i="2" s="1"/>
  <c r="T35" i="2"/>
  <c r="S35" i="2"/>
  <c r="R35" i="2"/>
  <c r="AI34" i="2"/>
  <c r="AD34" i="2"/>
  <c r="AC34" i="2"/>
  <c r="X34" i="2"/>
  <c r="Y34" i="2" s="1"/>
  <c r="T34" i="2"/>
  <c r="S34" i="2"/>
  <c r="R34" i="2"/>
  <c r="AI33" i="2"/>
  <c r="AD33" i="2"/>
  <c r="AC33" i="2"/>
  <c r="X33" i="2"/>
  <c r="Y33" i="2" s="1"/>
  <c r="T33" i="2"/>
  <c r="S33" i="2"/>
  <c r="R33" i="2"/>
  <c r="AI32" i="2"/>
  <c r="AD32" i="2"/>
  <c r="AC32" i="2"/>
  <c r="X32" i="2"/>
  <c r="Y32" i="2" s="1"/>
  <c r="T32" i="2"/>
  <c r="S32" i="2"/>
  <c r="R32" i="2"/>
  <c r="AI31" i="2"/>
  <c r="AJ31" i="2" s="1"/>
  <c r="AD31" i="2"/>
  <c r="AC31" i="2"/>
  <c r="X31" i="2"/>
  <c r="Y31" i="2" s="1"/>
  <c r="T31" i="2"/>
  <c r="S31" i="2"/>
  <c r="R31" i="2"/>
  <c r="AI30" i="2"/>
  <c r="AJ30" i="2" s="1"/>
  <c r="AD30" i="2"/>
  <c r="AC30" i="2"/>
  <c r="X30" i="2"/>
  <c r="T30" i="2"/>
  <c r="S30" i="2"/>
  <c r="R30" i="2"/>
  <c r="AI29" i="2"/>
  <c r="AJ29" i="2" s="1"/>
  <c r="AD29" i="2"/>
  <c r="AC29" i="2"/>
  <c r="X29" i="2"/>
  <c r="Y29" i="2" s="1"/>
  <c r="T29" i="2"/>
  <c r="S29" i="2"/>
  <c r="R29" i="2"/>
  <c r="AI28" i="2"/>
  <c r="AD28" i="2"/>
  <c r="AC28" i="2"/>
  <c r="X28" i="2"/>
  <c r="Y28" i="2" s="1"/>
  <c r="T28" i="2"/>
  <c r="S28" i="2"/>
  <c r="R28" i="2"/>
  <c r="AI27" i="2"/>
  <c r="AJ27" i="2" s="1"/>
  <c r="AD27" i="2"/>
  <c r="AC27" i="2"/>
  <c r="X27" i="2"/>
  <c r="T27" i="2"/>
  <c r="S27" i="2"/>
  <c r="R27" i="2"/>
  <c r="AI26" i="2"/>
  <c r="AJ26" i="2" s="1"/>
  <c r="AD26" i="2"/>
  <c r="AC26" i="2"/>
  <c r="X26" i="2"/>
  <c r="Y26" i="2" s="1"/>
  <c r="T26" i="2"/>
  <c r="S26" i="2"/>
  <c r="R26" i="2"/>
  <c r="AI25" i="2"/>
  <c r="AJ25" i="2" s="1"/>
  <c r="AD25" i="2"/>
  <c r="AC25" i="2"/>
  <c r="X25" i="2"/>
  <c r="Y25" i="2" s="1"/>
  <c r="T25" i="2"/>
  <c r="S25" i="2"/>
  <c r="R25" i="2"/>
  <c r="AI24" i="2"/>
  <c r="AD24" i="2"/>
  <c r="AC24" i="2"/>
  <c r="X24" i="2"/>
  <c r="Y24" i="2" s="1"/>
  <c r="T24" i="2"/>
  <c r="S24" i="2"/>
  <c r="R24" i="2"/>
  <c r="AI23" i="2"/>
  <c r="AJ23" i="2" s="1"/>
  <c r="AD23" i="2"/>
  <c r="AC23" i="2"/>
  <c r="X23" i="2"/>
  <c r="T23" i="2"/>
  <c r="S23" i="2"/>
  <c r="R23" i="2"/>
  <c r="AI22" i="2"/>
  <c r="AD22" i="2"/>
  <c r="AC22" i="2"/>
  <c r="X22" i="2"/>
  <c r="Y22" i="2" s="1"/>
  <c r="T22" i="2"/>
  <c r="S22" i="2"/>
  <c r="R22" i="2"/>
  <c r="AI21" i="2"/>
  <c r="AD21" i="2"/>
  <c r="AC21" i="2"/>
  <c r="X21" i="2"/>
  <c r="Y21" i="2" s="1"/>
  <c r="T21" i="2"/>
  <c r="S21" i="2"/>
  <c r="R21" i="2"/>
  <c r="AI20" i="2"/>
  <c r="AD20" i="2"/>
  <c r="AC20" i="2"/>
  <c r="X20" i="2"/>
  <c r="Y20" i="2" s="1"/>
  <c r="T20" i="2"/>
  <c r="S20" i="2"/>
  <c r="R20" i="2"/>
  <c r="AI19" i="2"/>
  <c r="AJ19" i="2" s="1"/>
  <c r="AD19" i="2"/>
  <c r="AC19" i="2"/>
  <c r="X19" i="2"/>
  <c r="Y19" i="2" s="1"/>
  <c r="T19" i="2"/>
  <c r="S19" i="2"/>
  <c r="R19" i="2"/>
  <c r="AI18" i="2"/>
  <c r="AD18" i="2"/>
  <c r="AC18" i="2"/>
  <c r="X18" i="2"/>
  <c r="Y18" i="2" s="1"/>
  <c r="T18" i="2"/>
  <c r="S18" i="2"/>
  <c r="R18" i="2"/>
  <c r="AI17" i="2"/>
  <c r="AD17" i="2"/>
  <c r="AC17" i="2"/>
  <c r="X17" i="2"/>
  <c r="Y17" i="2" s="1"/>
  <c r="T17" i="2"/>
  <c r="S17" i="2"/>
  <c r="R17" i="2"/>
  <c r="AI16" i="2"/>
  <c r="AD16" i="2"/>
  <c r="AC16" i="2"/>
  <c r="X16" i="2"/>
  <c r="Y16" i="2" s="1"/>
  <c r="T16" i="2"/>
  <c r="S16" i="2"/>
  <c r="R16" i="2"/>
  <c r="AI15" i="2"/>
  <c r="AJ15" i="2" s="1"/>
  <c r="AD15" i="2"/>
  <c r="AC15" i="2"/>
  <c r="X15" i="2"/>
  <c r="Y15" i="2" s="1"/>
  <c r="T15" i="2"/>
  <c r="S15" i="2"/>
  <c r="R15" i="2"/>
  <c r="AI14" i="2"/>
  <c r="AJ14" i="2" s="1"/>
  <c r="AD14" i="2"/>
  <c r="AC14" i="2"/>
  <c r="X14" i="2"/>
  <c r="T14" i="2"/>
  <c r="S14" i="2"/>
  <c r="R14" i="2"/>
  <c r="AI13" i="2"/>
  <c r="AJ13" i="2" s="1"/>
  <c r="AD13" i="2"/>
  <c r="AC13" i="2"/>
  <c r="X13" i="2"/>
  <c r="T13" i="2"/>
  <c r="S13" i="2"/>
  <c r="R13" i="2"/>
  <c r="AI12" i="2"/>
  <c r="AD12" i="2"/>
  <c r="AC12" i="2"/>
  <c r="X12" i="2"/>
  <c r="Y12" i="2" s="1"/>
  <c r="T12" i="2"/>
  <c r="S12" i="2"/>
  <c r="R12" i="2"/>
  <c r="AI11" i="2"/>
  <c r="AJ11" i="2" s="1"/>
  <c r="AD11" i="2"/>
  <c r="AC11" i="2"/>
  <c r="X11" i="2"/>
  <c r="T11" i="2"/>
  <c r="S11" i="2"/>
  <c r="R11" i="2"/>
  <c r="AI10" i="2"/>
  <c r="AJ10" i="2" s="1"/>
  <c r="AD10" i="2"/>
  <c r="AC10" i="2"/>
  <c r="X10" i="2"/>
  <c r="T10" i="2"/>
  <c r="S10" i="2"/>
  <c r="R10" i="2"/>
  <c r="AI9" i="2"/>
  <c r="AJ9" i="2" s="1"/>
  <c r="AD9" i="2"/>
  <c r="AC9" i="2"/>
  <c r="X9" i="2"/>
  <c r="Y9" i="2" s="1"/>
  <c r="T9" i="2"/>
  <c r="S9" i="2"/>
  <c r="R9" i="2"/>
  <c r="AI8" i="2"/>
  <c r="AJ8" i="2" s="1"/>
  <c r="AD8" i="2"/>
  <c r="AC8" i="2"/>
  <c r="X8" i="2"/>
  <c r="Y8" i="2" s="1"/>
  <c r="T8" i="2"/>
  <c r="S8" i="2"/>
  <c r="R8" i="2"/>
  <c r="AI7" i="2"/>
  <c r="AD7" i="2"/>
  <c r="AC7" i="2"/>
  <c r="X7" i="2"/>
  <c r="Y7" i="2" s="1"/>
  <c r="T7" i="2"/>
  <c r="S7" i="2"/>
  <c r="R7" i="2"/>
  <c r="AI6" i="2"/>
  <c r="AJ6" i="2" s="1"/>
  <c r="AD6" i="2"/>
  <c r="AC6" i="2"/>
  <c r="X6" i="2"/>
  <c r="Y6" i="2" s="1"/>
  <c r="T6" i="2"/>
  <c r="S6" i="2"/>
  <c r="R6" i="2"/>
  <c r="AZ5" i="2"/>
  <c r="AY5" i="2"/>
  <c r="AX5" i="2"/>
  <c r="AW5" i="2"/>
  <c r="AV5" i="2"/>
  <c r="AU5" i="2"/>
  <c r="G5" i="2"/>
  <c r="F5" i="2"/>
  <c r="E5" i="2"/>
  <c r="D5" i="2"/>
  <c r="C5" i="2"/>
  <c r="B2" i="2"/>
  <c r="AX88" i="1"/>
  <c r="J11" i="9" s="1"/>
  <c r="AU88" i="1"/>
  <c r="I11" i="9" s="1"/>
  <c r="F11" i="9"/>
  <c r="C88" i="1"/>
  <c r="E11" i="9" s="1"/>
  <c r="AI86" i="1"/>
  <c r="AD86" i="1"/>
  <c r="AC86" i="1"/>
  <c r="X86" i="1"/>
  <c r="T86" i="1"/>
  <c r="S86" i="1"/>
  <c r="R86" i="1"/>
  <c r="AI85" i="1"/>
  <c r="AD85" i="1"/>
  <c r="AC85" i="1"/>
  <c r="X85" i="1"/>
  <c r="Y85" i="1" s="1"/>
  <c r="T85" i="1"/>
  <c r="S85" i="1"/>
  <c r="R85" i="1"/>
  <c r="AI84" i="1"/>
  <c r="AJ84" i="1" s="1"/>
  <c r="AD84" i="1"/>
  <c r="AC84" i="1"/>
  <c r="X84" i="1"/>
  <c r="T84" i="1"/>
  <c r="S84" i="1"/>
  <c r="R84" i="1"/>
  <c r="AI83" i="1"/>
  <c r="AJ83" i="1" s="1"/>
  <c r="AD83" i="1"/>
  <c r="AC83" i="1"/>
  <c r="X83" i="1"/>
  <c r="T83" i="1"/>
  <c r="S83" i="1"/>
  <c r="R83" i="1"/>
  <c r="AI82" i="1"/>
  <c r="AJ82" i="1" s="1"/>
  <c r="AD82" i="1"/>
  <c r="AC82" i="1"/>
  <c r="X82" i="1"/>
  <c r="T82" i="1"/>
  <c r="S82" i="1"/>
  <c r="R82" i="1"/>
  <c r="AI81" i="1"/>
  <c r="AD81" i="1"/>
  <c r="AC81" i="1"/>
  <c r="X81" i="1"/>
  <c r="Y81" i="1" s="1"/>
  <c r="T81" i="1"/>
  <c r="S81" i="1"/>
  <c r="R81" i="1"/>
  <c r="AI80" i="1"/>
  <c r="AJ80" i="1" s="1"/>
  <c r="AD80" i="1"/>
  <c r="AC80" i="1"/>
  <c r="X80" i="1"/>
  <c r="Y80" i="1" s="1"/>
  <c r="T80" i="1"/>
  <c r="S80" i="1"/>
  <c r="R80" i="1"/>
  <c r="AI79" i="1"/>
  <c r="AD79" i="1"/>
  <c r="AC79" i="1"/>
  <c r="X79" i="1"/>
  <c r="Y79" i="1" s="1"/>
  <c r="T79" i="1"/>
  <c r="S79" i="1"/>
  <c r="R79" i="1"/>
  <c r="AI78" i="1"/>
  <c r="AD78" i="1"/>
  <c r="AC78" i="1"/>
  <c r="X78" i="1"/>
  <c r="Y78" i="1" s="1"/>
  <c r="T78" i="1"/>
  <c r="S78" i="1"/>
  <c r="R78" i="1"/>
  <c r="AI77" i="1"/>
  <c r="AD77" i="1"/>
  <c r="AC77" i="1"/>
  <c r="X77" i="1"/>
  <c r="Y77" i="1" s="1"/>
  <c r="T77" i="1"/>
  <c r="S77" i="1"/>
  <c r="R77" i="1"/>
  <c r="AI76" i="1"/>
  <c r="AJ76" i="1" s="1"/>
  <c r="AD76" i="1"/>
  <c r="AC76" i="1"/>
  <c r="X76" i="1"/>
  <c r="T76" i="1"/>
  <c r="S76" i="1"/>
  <c r="R76" i="1"/>
  <c r="AI75" i="1"/>
  <c r="AD75" i="1"/>
  <c r="AC75" i="1"/>
  <c r="X75" i="1"/>
  <c r="Y75" i="1" s="1"/>
  <c r="T75" i="1"/>
  <c r="S75" i="1"/>
  <c r="R75" i="1"/>
  <c r="AI74" i="1"/>
  <c r="AJ74" i="1" s="1"/>
  <c r="AD74" i="1"/>
  <c r="AC74" i="1"/>
  <c r="X74" i="1"/>
  <c r="T74" i="1"/>
  <c r="S74" i="1"/>
  <c r="R74" i="1"/>
  <c r="AI73" i="1"/>
  <c r="AD73" i="1"/>
  <c r="AC73" i="1"/>
  <c r="X73" i="1"/>
  <c r="Y73" i="1" s="1"/>
  <c r="T73" i="1"/>
  <c r="S73" i="1"/>
  <c r="R73" i="1"/>
  <c r="AI72" i="1"/>
  <c r="AJ72" i="1" s="1"/>
  <c r="AD72" i="1"/>
  <c r="AC72" i="1"/>
  <c r="X72" i="1"/>
  <c r="T72" i="1"/>
  <c r="S72" i="1"/>
  <c r="R72" i="1"/>
  <c r="AI71" i="1"/>
  <c r="AJ71" i="1" s="1"/>
  <c r="AD71" i="1"/>
  <c r="AC71" i="1"/>
  <c r="X71" i="1"/>
  <c r="Y71" i="1" s="1"/>
  <c r="T71" i="1"/>
  <c r="S71" i="1"/>
  <c r="R71" i="1"/>
  <c r="AI70" i="1"/>
  <c r="AD70" i="1"/>
  <c r="AC70" i="1"/>
  <c r="X70" i="1"/>
  <c r="T70" i="1"/>
  <c r="S70" i="1"/>
  <c r="R70" i="1"/>
  <c r="AI69" i="1"/>
  <c r="AJ69" i="1" s="1"/>
  <c r="AD69" i="1"/>
  <c r="AC69" i="1"/>
  <c r="X69" i="1"/>
  <c r="T69" i="1"/>
  <c r="S69" i="1"/>
  <c r="R69" i="1"/>
  <c r="AI68" i="1"/>
  <c r="AD68" i="1"/>
  <c r="AC68" i="1"/>
  <c r="X68" i="1"/>
  <c r="T68" i="1"/>
  <c r="S68" i="1"/>
  <c r="R68" i="1"/>
  <c r="AI67" i="1"/>
  <c r="AD67" i="1"/>
  <c r="AC67" i="1"/>
  <c r="X67" i="1"/>
  <c r="T67" i="1"/>
  <c r="S67" i="1"/>
  <c r="R67" i="1"/>
  <c r="AI66" i="1"/>
  <c r="AJ66" i="1" s="1"/>
  <c r="AD66" i="1"/>
  <c r="AC66" i="1"/>
  <c r="X66" i="1"/>
  <c r="Y66" i="1" s="1"/>
  <c r="T66" i="1"/>
  <c r="S66" i="1"/>
  <c r="R66" i="1"/>
  <c r="AI65" i="1"/>
  <c r="AJ65" i="1" s="1"/>
  <c r="AD65" i="1"/>
  <c r="AC65" i="1"/>
  <c r="X65" i="1"/>
  <c r="Y65" i="1" s="1"/>
  <c r="T65" i="1"/>
  <c r="S65" i="1"/>
  <c r="R65" i="1"/>
  <c r="AI64" i="1"/>
  <c r="AJ64" i="1" s="1"/>
  <c r="AD64" i="1"/>
  <c r="AC64" i="1"/>
  <c r="X64" i="1"/>
  <c r="Y64" i="1" s="1"/>
  <c r="T64" i="1"/>
  <c r="S64" i="1"/>
  <c r="R64" i="1"/>
  <c r="AI63" i="1"/>
  <c r="AJ63" i="1" s="1"/>
  <c r="AD63" i="1"/>
  <c r="AC63" i="1"/>
  <c r="X63" i="1"/>
  <c r="T63" i="1"/>
  <c r="S63" i="1"/>
  <c r="R63" i="1"/>
  <c r="AI62" i="1"/>
  <c r="AD62" i="1"/>
  <c r="AC62" i="1"/>
  <c r="X62" i="1"/>
  <c r="T62" i="1"/>
  <c r="S62" i="1"/>
  <c r="R62" i="1"/>
  <c r="AI61" i="1"/>
  <c r="AD61" i="1"/>
  <c r="AC61" i="1"/>
  <c r="X61" i="1"/>
  <c r="Y61" i="1" s="1"/>
  <c r="T61" i="1"/>
  <c r="S61" i="1"/>
  <c r="R61" i="1"/>
  <c r="AI60" i="1"/>
  <c r="AJ60" i="1" s="1"/>
  <c r="AD60" i="1"/>
  <c r="AC60" i="1"/>
  <c r="X60" i="1"/>
  <c r="T60" i="1"/>
  <c r="S60" i="1"/>
  <c r="R60" i="1"/>
  <c r="AI59" i="1"/>
  <c r="AJ59" i="1" s="1"/>
  <c r="AD59" i="1"/>
  <c r="AC59" i="1"/>
  <c r="X59" i="1"/>
  <c r="Y59" i="1" s="1"/>
  <c r="T59" i="1"/>
  <c r="S59" i="1"/>
  <c r="R59" i="1"/>
  <c r="AI58" i="1"/>
  <c r="AD58" i="1"/>
  <c r="AC58" i="1"/>
  <c r="X58" i="1"/>
  <c r="T58" i="1"/>
  <c r="S58" i="1"/>
  <c r="R58" i="1"/>
  <c r="AI57" i="1"/>
  <c r="AJ57" i="1" s="1"/>
  <c r="AD57" i="1"/>
  <c r="AC57" i="1"/>
  <c r="X57" i="1"/>
  <c r="Y57" i="1" s="1"/>
  <c r="T57" i="1"/>
  <c r="S57" i="1"/>
  <c r="R57" i="1"/>
  <c r="AI56" i="1"/>
  <c r="AD56" i="1"/>
  <c r="AC56" i="1"/>
  <c r="X56" i="1"/>
  <c r="T56" i="1"/>
  <c r="S56" i="1"/>
  <c r="R56" i="1"/>
  <c r="AI55" i="1"/>
  <c r="AD55" i="1"/>
  <c r="AC55" i="1"/>
  <c r="X55" i="1"/>
  <c r="T55" i="1"/>
  <c r="S55" i="1"/>
  <c r="R55" i="1"/>
  <c r="AI54" i="1"/>
  <c r="AD54" i="1"/>
  <c r="AC54" i="1"/>
  <c r="X54" i="1"/>
  <c r="Y54" i="1" s="1"/>
  <c r="T54" i="1"/>
  <c r="S54" i="1"/>
  <c r="R54" i="1"/>
  <c r="AI53" i="1"/>
  <c r="AJ53" i="1" s="1"/>
  <c r="AD53" i="1"/>
  <c r="AC53" i="1"/>
  <c r="X53" i="1"/>
  <c r="T53" i="1"/>
  <c r="S53" i="1"/>
  <c r="R53" i="1"/>
  <c r="AI52" i="1"/>
  <c r="AJ52" i="1" s="1"/>
  <c r="AD52" i="1"/>
  <c r="AC52" i="1"/>
  <c r="X52" i="1"/>
  <c r="T52" i="1"/>
  <c r="S52" i="1"/>
  <c r="R52" i="1"/>
  <c r="AI51" i="1"/>
  <c r="AD51" i="1"/>
  <c r="AC51" i="1"/>
  <c r="X51" i="1"/>
  <c r="Y51" i="1" s="1"/>
  <c r="T51" i="1"/>
  <c r="S51" i="1"/>
  <c r="R51" i="1"/>
  <c r="AI50" i="1"/>
  <c r="AD50" i="1"/>
  <c r="AC50" i="1"/>
  <c r="X50" i="1"/>
  <c r="T50" i="1"/>
  <c r="S50" i="1"/>
  <c r="R50" i="1"/>
  <c r="AI49" i="1"/>
  <c r="AD49" i="1"/>
  <c r="AC49" i="1"/>
  <c r="X49" i="1"/>
  <c r="T49" i="1"/>
  <c r="S49" i="1"/>
  <c r="R49" i="1"/>
  <c r="AI48" i="1"/>
  <c r="AD48" i="1"/>
  <c r="AC48" i="1"/>
  <c r="X48" i="1"/>
  <c r="T48" i="1"/>
  <c r="S48" i="1"/>
  <c r="R48" i="1"/>
  <c r="AI47" i="1"/>
  <c r="AD47" i="1"/>
  <c r="AC47" i="1"/>
  <c r="X47" i="1"/>
  <c r="T47" i="1"/>
  <c r="S47" i="1"/>
  <c r="R47" i="1"/>
  <c r="AI46" i="1"/>
  <c r="AD46" i="1"/>
  <c r="AC46" i="1"/>
  <c r="X46" i="1"/>
  <c r="T46" i="1"/>
  <c r="S46" i="1"/>
  <c r="R46" i="1"/>
  <c r="AI45" i="1"/>
  <c r="AD45" i="1"/>
  <c r="AC45" i="1"/>
  <c r="X45" i="1"/>
  <c r="T45" i="1"/>
  <c r="S45" i="1"/>
  <c r="R45" i="1"/>
  <c r="AI44" i="1"/>
  <c r="AD44" i="1"/>
  <c r="AC44" i="1"/>
  <c r="X44" i="1"/>
  <c r="T44" i="1"/>
  <c r="S44" i="1"/>
  <c r="R44" i="1"/>
  <c r="AI43" i="1"/>
  <c r="AD43" i="1"/>
  <c r="AC43" i="1"/>
  <c r="X43" i="1"/>
  <c r="Y43" i="1" s="1"/>
  <c r="T43" i="1"/>
  <c r="S43" i="1"/>
  <c r="R43" i="1"/>
  <c r="AI42" i="1"/>
  <c r="AD42" i="1"/>
  <c r="AC42" i="1"/>
  <c r="X42" i="1"/>
  <c r="Y42" i="1" s="1"/>
  <c r="T42" i="1"/>
  <c r="S42" i="1"/>
  <c r="R42" i="1"/>
  <c r="AI41" i="1"/>
  <c r="AD41" i="1"/>
  <c r="AC41" i="1"/>
  <c r="X41" i="1"/>
  <c r="T41" i="1"/>
  <c r="S41" i="1"/>
  <c r="R41" i="1"/>
  <c r="AI40" i="1"/>
  <c r="AD40" i="1"/>
  <c r="AC40" i="1"/>
  <c r="X40" i="1"/>
  <c r="T40" i="1"/>
  <c r="S40" i="1"/>
  <c r="R40" i="1"/>
  <c r="AI39" i="1"/>
  <c r="AD39" i="1"/>
  <c r="AC39" i="1"/>
  <c r="X39" i="1"/>
  <c r="T39" i="1"/>
  <c r="S39" i="1"/>
  <c r="R39" i="1"/>
  <c r="AI38" i="1"/>
  <c r="AJ38" i="1" s="1"/>
  <c r="AD38" i="1"/>
  <c r="AC38" i="1"/>
  <c r="X38" i="1"/>
  <c r="T38" i="1"/>
  <c r="S38" i="1"/>
  <c r="R38" i="1"/>
  <c r="AI37" i="1"/>
  <c r="AJ37" i="1" s="1"/>
  <c r="AD37" i="1"/>
  <c r="AC37" i="1"/>
  <c r="X37" i="1"/>
  <c r="Y37" i="1" s="1"/>
  <c r="T37" i="1"/>
  <c r="S37" i="1"/>
  <c r="R37" i="1"/>
  <c r="AI36" i="1"/>
  <c r="AD36" i="1"/>
  <c r="AC36" i="1"/>
  <c r="X36" i="1"/>
  <c r="T36" i="1"/>
  <c r="S36" i="1"/>
  <c r="R36" i="1"/>
  <c r="AI35" i="1"/>
  <c r="AD35" i="1"/>
  <c r="AC35" i="1"/>
  <c r="X35" i="1"/>
  <c r="T35" i="1"/>
  <c r="S35" i="1"/>
  <c r="R35" i="1"/>
  <c r="AI34" i="1"/>
  <c r="AD34" i="1"/>
  <c r="AC34" i="1"/>
  <c r="X34" i="1"/>
  <c r="T34" i="1"/>
  <c r="S34" i="1"/>
  <c r="R34" i="1"/>
  <c r="AI33" i="1"/>
  <c r="AD33" i="1"/>
  <c r="AC33" i="1"/>
  <c r="X33" i="1"/>
  <c r="T33" i="1"/>
  <c r="S33" i="1"/>
  <c r="R33" i="1"/>
  <c r="AI32" i="1"/>
  <c r="AD32" i="1"/>
  <c r="AC32" i="1"/>
  <c r="X32" i="1"/>
  <c r="T32" i="1"/>
  <c r="S32" i="1"/>
  <c r="R32" i="1"/>
  <c r="AI31" i="1"/>
  <c r="AD31" i="1"/>
  <c r="AC31" i="1"/>
  <c r="X31" i="1"/>
  <c r="T31" i="1"/>
  <c r="S31" i="1"/>
  <c r="R31" i="1"/>
  <c r="AI30" i="1"/>
  <c r="AJ30" i="1" s="1"/>
  <c r="AD30" i="1"/>
  <c r="AC30" i="1"/>
  <c r="X30" i="1"/>
  <c r="Y30" i="1" s="1"/>
  <c r="T30" i="1"/>
  <c r="S30" i="1"/>
  <c r="R30" i="1"/>
  <c r="AI29" i="1"/>
  <c r="AD29" i="1"/>
  <c r="AC29" i="1"/>
  <c r="X29" i="1"/>
  <c r="T29" i="1"/>
  <c r="S29" i="1"/>
  <c r="R29" i="1"/>
  <c r="AI28" i="1"/>
  <c r="AJ28" i="1" s="1"/>
  <c r="AD28" i="1"/>
  <c r="AC28" i="1"/>
  <c r="X28" i="1"/>
  <c r="T28" i="1"/>
  <c r="S28" i="1"/>
  <c r="R28" i="1"/>
  <c r="AI27" i="1"/>
  <c r="AD27" i="1"/>
  <c r="AC27" i="1"/>
  <c r="X27" i="1"/>
  <c r="T27" i="1"/>
  <c r="S27" i="1"/>
  <c r="R27" i="1"/>
  <c r="AI26" i="1"/>
  <c r="AD26" i="1"/>
  <c r="AC26" i="1"/>
  <c r="X26" i="1"/>
  <c r="Y26" i="1" s="1"/>
  <c r="T26" i="1"/>
  <c r="S26" i="1"/>
  <c r="R26" i="1"/>
  <c r="AI25" i="1"/>
  <c r="AJ25" i="1" s="1"/>
  <c r="AD25" i="1"/>
  <c r="AC25" i="1"/>
  <c r="X25" i="1"/>
  <c r="T25" i="1"/>
  <c r="S25" i="1"/>
  <c r="R25" i="1"/>
  <c r="AI24" i="1"/>
  <c r="AD24" i="1"/>
  <c r="AC24" i="1"/>
  <c r="X24" i="1"/>
  <c r="T24" i="1"/>
  <c r="S24" i="1"/>
  <c r="R24" i="1"/>
  <c r="AI23" i="1"/>
  <c r="AD23" i="1"/>
  <c r="AC23" i="1"/>
  <c r="X23" i="1"/>
  <c r="Y23" i="1" s="1"/>
  <c r="T23" i="1"/>
  <c r="S23" i="1"/>
  <c r="R23" i="1"/>
  <c r="AI22" i="1"/>
  <c r="AD22" i="1"/>
  <c r="AC22" i="1"/>
  <c r="X22" i="1"/>
  <c r="T22" i="1"/>
  <c r="S22" i="1"/>
  <c r="R22" i="1"/>
  <c r="AI21" i="1"/>
  <c r="AJ21" i="1" s="1"/>
  <c r="AD21" i="1"/>
  <c r="AC21" i="1"/>
  <c r="X21" i="1"/>
  <c r="T21" i="1"/>
  <c r="S21" i="1"/>
  <c r="R21" i="1"/>
  <c r="AI20" i="1"/>
  <c r="AD20" i="1"/>
  <c r="AC20" i="1"/>
  <c r="X20" i="1"/>
  <c r="T20" i="1"/>
  <c r="S20" i="1"/>
  <c r="R20" i="1"/>
  <c r="AI19" i="1"/>
  <c r="AD19" i="1"/>
  <c r="AC19" i="1"/>
  <c r="X19" i="1"/>
  <c r="Y19" i="1" s="1"/>
  <c r="T19" i="1"/>
  <c r="S19" i="1"/>
  <c r="R19" i="1"/>
  <c r="AI18" i="1"/>
  <c r="AD18" i="1"/>
  <c r="AC18" i="1"/>
  <c r="X18" i="1"/>
  <c r="T18" i="1"/>
  <c r="S18" i="1"/>
  <c r="R18" i="1"/>
  <c r="AI17" i="1"/>
  <c r="AD17" i="1"/>
  <c r="AC17" i="1"/>
  <c r="X17" i="1"/>
  <c r="Y17" i="1" s="1"/>
  <c r="T17" i="1"/>
  <c r="S17" i="1"/>
  <c r="R17" i="1"/>
  <c r="AI16" i="1"/>
  <c r="AD16" i="1"/>
  <c r="AC16" i="1"/>
  <c r="X16" i="1"/>
  <c r="T16" i="1"/>
  <c r="S16" i="1"/>
  <c r="R16" i="1"/>
  <c r="AI15" i="1"/>
  <c r="AD15" i="1"/>
  <c r="AC15" i="1"/>
  <c r="X15" i="1"/>
  <c r="T15" i="1"/>
  <c r="S15" i="1"/>
  <c r="R15" i="1"/>
  <c r="AI14" i="1"/>
  <c r="AD14" i="1"/>
  <c r="AC14" i="1"/>
  <c r="X14" i="1"/>
  <c r="Y14" i="1" s="1"/>
  <c r="T14" i="1"/>
  <c r="S14" i="1"/>
  <c r="R14" i="1"/>
  <c r="AI13" i="1"/>
  <c r="AJ13" i="1" s="1"/>
  <c r="AD13" i="1"/>
  <c r="AC13" i="1"/>
  <c r="X13" i="1"/>
  <c r="Y13" i="1" s="1"/>
  <c r="T13" i="1"/>
  <c r="S13" i="1"/>
  <c r="R13" i="1"/>
  <c r="AI12" i="1"/>
  <c r="AJ12" i="1" s="1"/>
  <c r="AD12" i="1"/>
  <c r="AC12" i="1"/>
  <c r="X12" i="1"/>
  <c r="T12" i="1"/>
  <c r="S12" i="1"/>
  <c r="R12" i="1"/>
  <c r="AI11" i="1"/>
  <c r="AD11" i="1"/>
  <c r="AC11" i="1"/>
  <c r="X11" i="1"/>
  <c r="T11" i="1"/>
  <c r="S11" i="1"/>
  <c r="R11" i="1"/>
  <c r="AI10" i="1"/>
  <c r="AD10" i="1"/>
  <c r="AC10" i="1"/>
  <c r="X10" i="1"/>
  <c r="Y10" i="1" s="1"/>
  <c r="T10" i="1"/>
  <c r="S10" i="1"/>
  <c r="R10" i="1"/>
  <c r="AI9" i="1"/>
  <c r="AD9" i="1"/>
  <c r="AC9" i="1"/>
  <c r="X9" i="1"/>
  <c r="Y9" i="1" s="1"/>
  <c r="T9" i="1"/>
  <c r="S9" i="1"/>
  <c r="R9" i="1"/>
  <c r="AI8" i="1"/>
  <c r="AD8" i="1"/>
  <c r="AC8" i="1"/>
  <c r="X8" i="1"/>
  <c r="T8" i="1"/>
  <c r="S8" i="1"/>
  <c r="R8" i="1"/>
  <c r="AI7" i="1"/>
  <c r="AD7" i="1"/>
  <c r="AC7" i="1"/>
  <c r="X7" i="1"/>
  <c r="T7" i="1"/>
  <c r="S7" i="1"/>
  <c r="R7" i="1"/>
  <c r="AI6" i="1"/>
  <c r="AD6" i="1"/>
  <c r="AC6" i="1"/>
  <c r="X6" i="1"/>
  <c r="T6" i="1"/>
  <c r="S6" i="1"/>
  <c r="AZ5" i="1"/>
  <c r="AY5" i="1"/>
  <c r="AX5" i="1"/>
  <c r="AW5" i="1"/>
  <c r="AV5" i="1"/>
  <c r="AU5" i="1"/>
  <c r="G5" i="1"/>
  <c r="F5" i="1"/>
  <c r="E5" i="1"/>
  <c r="D5" i="1"/>
  <c r="C5" i="1"/>
  <c r="B2" i="1"/>
  <c r="T84" i="40"/>
  <c r="S84" i="40"/>
  <c r="R84" i="40"/>
  <c r="Q84" i="40"/>
  <c r="P84" i="40"/>
  <c r="T83" i="40"/>
  <c r="S83" i="40"/>
  <c r="R83" i="40"/>
  <c r="Q83" i="40"/>
  <c r="P83" i="40"/>
  <c r="T82" i="40"/>
  <c r="S82" i="40"/>
  <c r="R82" i="40"/>
  <c r="Q82" i="40"/>
  <c r="P82" i="40"/>
  <c r="T81" i="40"/>
  <c r="S81" i="40"/>
  <c r="R81" i="40"/>
  <c r="Q81" i="40"/>
  <c r="P81" i="40"/>
  <c r="T80" i="40"/>
  <c r="S80" i="40"/>
  <c r="R80" i="40"/>
  <c r="Q80" i="40"/>
  <c r="P80" i="40"/>
  <c r="T79" i="40"/>
  <c r="S79" i="40"/>
  <c r="R79" i="40"/>
  <c r="Q79" i="40"/>
  <c r="P79" i="40"/>
  <c r="T78" i="40"/>
  <c r="S78" i="40"/>
  <c r="R78" i="40"/>
  <c r="Q78" i="40"/>
  <c r="P78" i="40"/>
  <c r="T77" i="40"/>
  <c r="S77" i="40"/>
  <c r="R77" i="40"/>
  <c r="Q77" i="40"/>
  <c r="P77" i="40"/>
  <c r="T76" i="40"/>
  <c r="S76" i="40"/>
  <c r="R76" i="40"/>
  <c r="Q76" i="40"/>
  <c r="P76" i="40"/>
  <c r="T75" i="40"/>
  <c r="S75" i="40"/>
  <c r="R75" i="40"/>
  <c r="Q75" i="40"/>
  <c r="P75" i="40"/>
  <c r="T74" i="40"/>
  <c r="S74" i="40"/>
  <c r="R74" i="40"/>
  <c r="Q74" i="40"/>
  <c r="P74" i="40"/>
  <c r="T73" i="40"/>
  <c r="S73" i="40"/>
  <c r="R73" i="40"/>
  <c r="Q73" i="40"/>
  <c r="P73" i="40"/>
  <c r="T72" i="40"/>
  <c r="S72" i="40"/>
  <c r="R72" i="40"/>
  <c r="Q72" i="40"/>
  <c r="P72" i="40"/>
  <c r="T71" i="40"/>
  <c r="S71" i="40"/>
  <c r="R71" i="40"/>
  <c r="Q71" i="40"/>
  <c r="P71" i="40"/>
  <c r="T70" i="40"/>
  <c r="S70" i="40"/>
  <c r="R70" i="40"/>
  <c r="Q70" i="40"/>
  <c r="P70" i="40"/>
  <c r="T69" i="40"/>
  <c r="S69" i="40"/>
  <c r="R69" i="40"/>
  <c r="Q69" i="40"/>
  <c r="P69" i="40"/>
  <c r="T68" i="40"/>
  <c r="S68" i="40"/>
  <c r="R68" i="40"/>
  <c r="Q68" i="40"/>
  <c r="P68" i="40"/>
  <c r="T67" i="40"/>
  <c r="S67" i="40"/>
  <c r="R67" i="40"/>
  <c r="Q67" i="40"/>
  <c r="P67" i="40"/>
  <c r="T66" i="40"/>
  <c r="S66" i="40"/>
  <c r="R66" i="40"/>
  <c r="Q66" i="40"/>
  <c r="P66" i="40"/>
  <c r="T65" i="40"/>
  <c r="S65" i="40"/>
  <c r="R65" i="40"/>
  <c r="Q65" i="40"/>
  <c r="P65" i="40"/>
  <c r="T64" i="40"/>
  <c r="S64" i="40"/>
  <c r="R64" i="40"/>
  <c r="Q64" i="40"/>
  <c r="P64" i="40"/>
  <c r="T63" i="40"/>
  <c r="S63" i="40"/>
  <c r="R63" i="40"/>
  <c r="Q63" i="40"/>
  <c r="P63" i="40"/>
  <c r="T62" i="40"/>
  <c r="S62" i="40"/>
  <c r="R62" i="40"/>
  <c r="Q62" i="40"/>
  <c r="P62" i="40"/>
  <c r="T61" i="40"/>
  <c r="S61" i="40"/>
  <c r="R61" i="40"/>
  <c r="Q61" i="40"/>
  <c r="P61" i="40"/>
  <c r="T60" i="40"/>
  <c r="S60" i="40"/>
  <c r="R60" i="40"/>
  <c r="Q60" i="40"/>
  <c r="P60" i="40"/>
  <c r="T59" i="40"/>
  <c r="S59" i="40"/>
  <c r="R59" i="40"/>
  <c r="Q59" i="40"/>
  <c r="P59" i="40"/>
  <c r="T58" i="40"/>
  <c r="S58" i="40"/>
  <c r="R58" i="40"/>
  <c r="Q58" i="40"/>
  <c r="P58" i="40"/>
  <c r="T57" i="40"/>
  <c r="S57" i="40"/>
  <c r="R57" i="40"/>
  <c r="Q57" i="40"/>
  <c r="P57" i="40"/>
  <c r="T56" i="40"/>
  <c r="S56" i="40"/>
  <c r="R56" i="40"/>
  <c r="Q56" i="40"/>
  <c r="P56" i="40"/>
  <c r="T55" i="40"/>
  <c r="S55" i="40"/>
  <c r="R55" i="40"/>
  <c r="Q55" i="40"/>
  <c r="P55" i="40"/>
  <c r="T54" i="40"/>
  <c r="S54" i="40"/>
  <c r="R54" i="40"/>
  <c r="Q54" i="40"/>
  <c r="P54" i="40"/>
  <c r="T53" i="40"/>
  <c r="S53" i="40"/>
  <c r="R53" i="40"/>
  <c r="Q53" i="40"/>
  <c r="P53" i="40"/>
  <c r="T52" i="40"/>
  <c r="S52" i="40"/>
  <c r="R52" i="40"/>
  <c r="Q52" i="40"/>
  <c r="P52" i="40"/>
  <c r="T51" i="40"/>
  <c r="S51" i="40"/>
  <c r="R51" i="40"/>
  <c r="Q51" i="40"/>
  <c r="P51" i="40"/>
  <c r="T50" i="40"/>
  <c r="S50" i="40"/>
  <c r="R50" i="40"/>
  <c r="Q50" i="40"/>
  <c r="P50" i="40"/>
  <c r="T49" i="40"/>
  <c r="S49" i="40"/>
  <c r="R49" i="40"/>
  <c r="Q49" i="40"/>
  <c r="P49" i="40"/>
  <c r="T48" i="40"/>
  <c r="S48" i="40"/>
  <c r="R48" i="40"/>
  <c r="Q48" i="40"/>
  <c r="P48" i="40"/>
  <c r="T47" i="40"/>
  <c r="S47" i="40"/>
  <c r="R47" i="40"/>
  <c r="Q47" i="40"/>
  <c r="P47" i="40"/>
  <c r="T46" i="40"/>
  <c r="S46" i="40"/>
  <c r="R46" i="40"/>
  <c r="Q46" i="40"/>
  <c r="P46" i="40"/>
  <c r="T45" i="40"/>
  <c r="S45" i="40"/>
  <c r="R45" i="40"/>
  <c r="Q45" i="40"/>
  <c r="P45" i="40"/>
  <c r="T44" i="40"/>
  <c r="S44" i="40"/>
  <c r="R44" i="40"/>
  <c r="Q44" i="40"/>
  <c r="P44" i="40"/>
  <c r="T43" i="40"/>
  <c r="S43" i="40"/>
  <c r="R43" i="40"/>
  <c r="Q43" i="40"/>
  <c r="P43" i="40"/>
  <c r="T42" i="40"/>
  <c r="S42" i="40"/>
  <c r="R42" i="40"/>
  <c r="Q42" i="40"/>
  <c r="P42" i="40"/>
  <c r="T41" i="40"/>
  <c r="S41" i="40"/>
  <c r="R41" i="40"/>
  <c r="Q41" i="40"/>
  <c r="P41" i="40"/>
  <c r="T40" i="40"/>
  <c r="S40" i="40"/>
  <c r="R40" i="40"/>
  <c r="Q40" i="40"/>
  <c r="P40" i="40"/>
  <c r="T39" i="40"/>
  <c r="S39" i="40"/>
  <c r="R39" i="40"/>
  <c r="Q39" i="40"/>
  <c r="P39" i="40"/>
  <c r="T38" i="40"/>
  <c r="S38" i="40"/>
  <c r="R38" i="40"/>
  <c r="Q38" i="40"/>
  <c r="P38" i="40"/>
  <c r="T37" i="40"/>
  <c r="S37" i="40"/>
  <c r="R37" i="40"/>
  <c r="Q37" i="40"/>
  <c r="P37" i="40"/>
  <c r="T36" i="40"/>
  <c r="S36" i="40"/>
  <c r="R36" i="40"/>
  <c r="Q36" i="40"/>
  <c r="P36" i="40"/>
  <c r="T35" i="40"/>
  <c r="S35" i="40"/>
  <c r="R35" i="40"/>
  <c r="Q35" i="40"/>
  <c r="P35" i="40"/>
  <c r="T34" i="40"/>
  <c r="S34" i="40"/>
  <c r="R34" i="40"/>
  <c r="Q34" i="40"/>
  <c r="P34" i="40"/>
  <c r="T33" i="40"/>
  <c r="S33" i="40"/>
  <c r="R33" i="40"/>
  <c r="Q33" i="40"/>
  <c r="P33" i="40"/>
  <c r="T32" i="40"/>
  <c r="S32" i="40"/>
  <c r="R32" i="40"/>
  <c r="Q32" i="40"/>
  <c r="P32" i="40"/>
  <c r="T31" i="40"/>
  <c r="S31" i="40"/>
  <c r="R31" i="40"/>
  <c r="Q31" i="40"/>
  <c r="P31" i="40"/>
  <c r="T30" i="40"/>
  <c r="S30" i="40"/>
  <c r="R30" i="40"/>
  <c r="Q30" i="40"/>
  <c r="P30" i="40"/>
  <c r="T29" i="40"/>
  <c r="S29" i="40"/>
  <c r="R29" i="40"/>
  <c r="Q29" i="40"/>
  <c r="P29" i="40"/>
  <c r="T28" i="40"/>
  <c r="S28" i="40"/>
  <c r="R28" i="40"/>
  <c r="Q28" i="40"/>
  <c r="P28" i="40"/>
  <c r="T27" i="40"/>
  <c r="S27" i="40"/>
  <c r="R27" i="40"/>
  <c r="Q27" i="40"/>
  <c r="P27" i="40"/>
  <c r="T26" i="40"/>
  <c r="S26" i="40"/>
  <c r="R26" i="40"/>
  <c r="Q26" i="40"/>
  <c r="P26" i="40"/>
  <c r="T25" i="40"/>
  <c r="S25" i="40"/>
  <c r="R25" i="40"/>
  <c r="Q25" i="40"/>
  <c r="P25" i="40"/>
  <c r="T24" i="40"/>
  <c r="S24" i="40"/>
  <c r="R24" i="40"/>
  <c r="Q24" i="40"/>
  <c r="P24" i="40"/>
  <c r="T23" i="40"/>
  <c r="S23" i="40"/>
  <c r="R23" i="40"/>
  <c r="Q23" i="40"/>
  <c r="P23" i="40"/>
  <c r="T22" i="40"/>
  <c r="S22" i="40"/>
  <c r="R22" i="40"/>
  <c r="Q22" i="40"/>
  <c r="P22" i="40"/>
  <c r="T21" i="40"/>
  <c r="S21" i="40"/>
  <c r="R21" i="40"/>
  <c r="Q21" i="40"/>
  <c r="P21" i="40"/>
  <c r="T20" i="40"/>
  <c r="S20" i="40"/>
  <c r="R20" i="40"/>
  <c r="Q20" i="40"/>
  <c r="P20" i="40"/>
  <c r="T19" i="40"/>
  <c r="S19" i="40"/>
  <c r="R19" i="40"/>
  <c r="Q19" i="40"/>
  <c r="P19" i="40"/>
  <c r="T18" i="40"/>
  <c r="S18" i="40"/>
  <c r="R18" i="40"/>
  <c r="Q18" i="40"/>
  <c r="P18" i="40"/>
  <c r="T17" i="40"/>
  <c r="S17" i="40"/>
  <c r="R17" i="40"/>
  <c r="Q17" i="40"/>
  <c r="P17" i="40"/>
  <c r="T16" i="40"/>
  <c r="S16" i="40"/>
  <c r="R16" i="40"/>
  <c r="Q16" i="40"/>
  <c r="P16" i="40"/>
  <c r="T15" i="40"/>
  <c r="S15" i="40"/>
  <c r="R15" i="40"/>
  <c r="Q15" i="40"/>
  <c r="P15" i="40"/>
  <c r="T14" i="40"/>
  <c r="S14" i="40"/>
  <c r="R14" i="40"/>
  <c r="Q14" i="40"/>
  <c r="P14" i="40"/>
  <c r="T13" i="40"/>
  <c r="S13" i="40"/>
  <c r="R13" i="40"/>
  <c r="Q13" i="40"/>
  <c r="P13" i="40"/>
  <c r="T12" i="40"/>
  <c r="S12" i="40"/>
  <c r="R12" i="40"/>
  <c r="Q12" i="40"/>
  <c r="P12" i="40"/>
  <c r="T11" i="40"/>
  <c r="S11" i="40"/>
  <c r="R11" i="40"/>
  <c r="Q11" i="40"/>
  <c r="P11" i="40"/>
  <c r="T10" i="40"/>
  <c r="S10" i="40"/>
  <c r="R10" i="40"/>
  <c r="Q10" i="40"/>
  <c r="P10" i="40"/>
  <c r="T9" i="40"/>
  <c r="S9" i="40"/>
  <c r="R9" i="40"/>
  <c r="Q9" i="40"/>
  <c r="P9" i="40"/>
  <c r="T8" i="40"/>
  <c r="S8" i="40"/>
  <c r="R8" i="40"/>
  <c r="Q8" i="40"/>
  <c r="P8" i="40"/>
  <c r="T7" i="40"/>
  <c r="S7" i="40"/>
  <c r="R7" i="40"/>
  <c r="Q7" i="40"/>
  <c r="P7" i="40"/>
  <c r="T6" i="40"/>
  <c r="S6" i="40"/>
  <c r="R6" i="40"/>
  <c r="Q6" i="40"/>
  <c r="P6" i="40"/>
  <c r="T5" i="40"/>
  <c r="S5" i="40"/>
  <c r="R5" i="40"/>
  <c r="Q5" i="40"/>
  <c r="P5" i="40"/>
  <c r="T4" i="40"/>
  <c r="S4" i="40"/>
  <c r="R4" i="40"/>
  <c r="Q4" i="40"/>
  <c r="P4" i="40"/>
  <c r="AG2" i="40"/>
  <c r="AG3" i="40" s="1"/>
  <c r="AF2" i="40"/>
  <c r="AF3" i="40" s="1"/>
  <c r="AE2" i="40"/>
  <c r="AE3" i="40" s="1"/>
  <c r="AD2" i="40"/>
  <c r="AD3" i="40" s="1"/>
  <c r="AC2" i="40"/>
  <c r="AC3" i="40" s="1"/>
  <c r="T2" i="40"/>
  <c r="T3" i="40" s="1"/>
  <c r="S2" i="40"/>
  <c r="S3" i="40" s="1"/>
  <c r="R2" i="40"/>
  <c r="R3" i="40" s="1"/>
  <c r="Q2" i="40"/>
  <c r="Q3" i="40" s="1"/>
  <c r="P2" i="40"/>
  <c r="P3" i="40" s="1"/>
  <c r="M2" i="40"/>
  <c r="M3" i="40" s="1"/>
  <c r="L2" i="40"/>
  <c r="L3" i="40" s="1"/>
  <c r="K2" i="40"/>
  <c r="K3" i="40" s="1"/>
  <c r="J2" i="40"/>
  <c r="J3" i="40" s="1"/>
  <c r="I2" i="40"/>
  <c r="I3" i="40" s="1"/>
  <c r="F2" i="40"/>
  <c r="F3" i="40" s="1"/>
  <c r="E2" i="40"/>
  <c r="E3" i="40" s="1"/>
  <c r="D2" i="40"/>
  <c r="D3" i="40" s="1"/>
  <c r="C2" i="40"/>
  <c r="C3" i="40" s="1"/>
  <c r="B2" i="40"/>
  <c r="B3" i="40" s="1"/>
  <c r="H9" i="9"/>
  <c r="D9" i="9"/>
  <c r="AT40" i="10" l="1"/>
  <c r="AT44" i="10"/>
  <c r="AT76" i="10"/>
  <c r="AT86" i="10"/>
  <c r="AT35" i="10"/>
  <c r="BF35" i="10" s="1"/>
  <c r="AT60" i="10"/>
  <c r="AT27" i="10"/>
  <c r="AT59" i="10"/>
  <c r="BF59" i="10" s="1"/>
  <c r="AT30" i="10"/>
  <c r="BF30" i="10" s="1"/>
  <c r="AT81" i="10"/>
  <c r="BF81" i="10" s="1"/>
  <c r="AT19" i="10"/>
  <c r="BF19" i="10" s="1"/>
  <c r="AT8" i="10"/>
  <c r="BF8" i="10" s="1"/>
  <c r="AT83" i="10"/>
  <c r="BF83" i="10" s="1"/>
  <c r="AT20" i="10"/>
  <c r="BF20" i="10" s="1"/>
  <c r="AT11" i="10"/>
  <c r="BF11" i="10" s="1"/>
  <c r="AT67" i="10"/>
  <c r="BF67" i="10" s="1"/>
  <c r="AT78" i="10"/>
  <c r="BF78" i="10" s="1"/>
  <c r="AT70" i="10"/>
  <c r="BF70" i="10" s="1"/>
  <c r="AT54" i="10"/>
  <c r="BF54" i="10" s="1"/>
  <c r="AT64" i="10"/>
  <c r="BF64" i="10" s="1"/>
  <c r="AT36" i="10"/>
  <c r="BF36" i="10" s="1"/>
  <c r="AT12" i="10"/>
  <c r="BF12" i="10" s="1"/>
  <c r="AT73" i="10"/>
  <c r="BF73" i="10" s="1"/>
  <c r="AT68" i="10"/>
  <c r="BF68" i="10" s="1"/>
  <c r="AT65" i="10"/>
  <c r="BF65" i="10" s="1"/>
  <c r="AT62" i="10"/>
  <c r="BF62" i="10" s="1"/>
  <c r="AT57" i="10"/>
  <c r="BF57" i="10" s="1"/>
  <c r="AT46" i="10"/>
  <c r="BF46" i="10" s="1"/>
  <c r="AT33" i="10"/>
  <c r="BF33" i="10" s="1"/>
  <c r="AT28" i="10"/>
  <c r="BF28" i="10" s="1"/>
  <c r="AT25" i="10"/>
  <c r="BF25" i="10" s="1"/>
  <c r="AT56" i="10"/>
  <c r="BF56" i="10" s="1"/>
  <c r="AT52" i="10"/>
  <c r="BF52" i="10" s="1"/>
  <c r="AT48" i="10"/>
  <c r="BF48" i="10" s="1"/>
  <c r="AT38" i="10"/>
  <c r="BF38" i="10" s="1"/>
  <c r="AT9" i="10"/>
  <c r="BF9" i="10" s="1"/>
  <c r="AT6" i="10"/>
  <c r="BF6" i="10" s="1"/>
  <c r="AT85" i="10"/>
  <c r="BF85" i="10" s="1"/>
  <c r="AT82" i="10"/>
  <c r="BF82" i="10" s="1"/>
  <c r="AT79" i="10"/>
  <c r="BF79" i="10" s="1"/>
  <c r="AT77" i="10"/>
  <c r="BF77" i="10" s="1"/>
  <c r="AT74" i="10"/>
  <c r="BF74" i="10" s="1"/>
  <c r="AT71" i="10"/>
  <c r="BF71" i="10" s="1"/>
  <c r="AT69" i="10"/>
  <c r="BF69" i="10" s="1"/>
  <c r="AT66" i="10"/>
  <c r="BF66" i="10" s="1"/>
  <c r="AT63" i="10"/>
  <c r="BF63" i="10" s="1"/>
  <c r="AT61" i="10"/>
  <c r="BF61" i="10" s="1"/>
  <c r="AT58" i="10"/>
  <c r="BF58" i="10" s="1"/>
  <c r="AT55" i="10"/>
  <c r="BF55" i="10" s="1"/>
  <c r="AT53" i="10"/>
  <c r="BF53" i="10" s="1"/>
  <c r="AT50" i="10"/>
  <c r="BF50" i="10" s="1"/>
  <c r="AT49" i="10"/>
  <c r="BF49" i="10" s="1"/>
  <c r="AT47" i="10"/>
  <c r="BF47" i="10" s="1"/>
  <c r="AT45" i="10"/>
  <c r="BF45" i="10" s="1"/>
  <c r="AT42" i="10"/>
  <c r="BF42" i="10" s="1"/>
  <c r="AT41" i="10"/>
  <c r="BF41" i="10" s="1"/>
  <c r="AT39" i="10"/>
  <c r="BF39" i="10" s="1"/>
  <c r="AT37" i="10"/>
  <c r="BF37" i="10" s="1"/>
  <c r="AT34" i="10"/>
  <c r="BF34" i="10" s="1"/>
  <c r="AT31" i="10"/>
  <c r="BF31" i="10" s="1"/>
  <c r="AT29" i="10"/>
  <c r="BF29" i="10" s="1"/>
  <c r="AT26" i="10"/>
  <c r="BF26" i="10" s="1"/>
  <c r="AT23" i="10"/>
  <c r="BF23" i="10" s="1"/>
  <c r="AT22" i="10"/>
  <c r="BF22" i="10" s="1"/>
  <c r="AT21" i="10"/>
  <c r="BF21" i="10" s="1"/>
  <c r="AT18" i="10"/>
  <c r="BF18" i="10" s="1"/>
  <c r="AT17" i="10"/>
  <c r="BF17" i="10" s="1"/>
  <c r="AT16" i="10"/>
  <c r="BF16" i="10" s="1"/>
  <c r="AT15" i="10"/>
  <c r="BF15" i="10" s="1"/>
  <c r="AT14" i="10"/>
  <c r="BF14" i="10" s="1"/>
  <c r="AT13" i="10"/>
  <c r="BF13" i="10" s="1"/>
  <c r="AT10" i="10"/>
  <c r="BF10" i="10" s="1"/>
  <c r="AT7" i="10"/>
  <c r="BF7" i="10" s="1"/>
  <c r="C31" i="38"/>
  <c r="C32" i="38"/>
  <c r="C28" i="38"/>
  <c r="C27" i="38"/>
  <c r="C26" i="38"/>
  <c r="C29" i="38"/>
  <c r="C30" i="38"/>
  <c r="E29" i="29"/>
  <c r="C23" i="38"/>
  <c r="C18" i="38"/>
  <c r="C13" i="38"/>
  <c r="E27" i="29"/>
  <c r="C22" i="38"/>
  <c r="C12" i="38"/>
  <c r="C17" i="38"/>
  <c r="E32" i="29"/>
  <c r="C24" i="38"/>
  <c r="C14" i="38"/>
  <c r="C19" i="38"/>
  <c r="E35" i="29"/>
  <c r="C25" i="38"/>
  <c r="C20" i="38"/>
  <c r="C15" i="38"/>
  <c r="E25" i="29"/>
  <c r="C21" i="38"/>
  <c r="C16" i="38"/>
  <c r="C11" i="38"/>
  <c r="AP70" i="2"/>
  <c r="AQ70" i="2" s="1"/>
  <c r="J20" i="9"/>
  <c r="J19" i="9"/>
  <c r="J21" i="9"/>
  <c r="I19" i="9"/>
  <c r="I21" i="9"/>
  <c r="I20" i="9"/>
  <c r="AP23" i="21"/>
  <c r="AQ23" i="21" s="1"/>
  <c r="AP19" i="21"/>
  <c r="AQ19" i="21" s="1"/>
  <c r="AP18" i="21"/>
  <c r="AQ18" i="21" s="1"/>
  <c r="AP64" i="2"/>
  <c r="AQ64" i="2" s="1"/>
  <c r="AP62" i="2"/>
  <c r="AQ62" i="2" s="1"/>
  <c r="AP60" i="2"/>
  <c r="AQ60" i="2" s="1"/>
  <c r="AP58" i="2"/>
  <c r="AQ58" i="2" s="1"/>
  <c r="AP18" i="2"/>
  <c r="AQ18" i="2" s="1"/>
  <c r="AP17" i="2"/>
  <c r="AQ17" i="2" s="1"/>
  <c r="AY76" i="10"/>
  <c r="BK76" i="10" s="1"/>
  <c r="AW85" i="10"/>
  <c r="BI85" i="10" s="1"/>
  <c r="AW79" i="10"/>
  <c r="BI79" i="10" s="1"/>
  <c r="AW63" i="10"/>
  <c r="BI63" i="10" s="1"/>
  <c r="AU37" i="10"/>
  <c r="BG37" i="10" s="1"/>
  <c r="AU21" i="10"/>
  <c r="BG21" i="10" s="1"/>
  <c r="P28" i="29"/>
  <c r="AJ23" i="21"/>
  <c r="AP52" i="21"/>
  <c r="AQ52" i="21" s="1"/>
  <c r="AP51" i="21"/>
  <c r="AQ51" i="21" s="1"/>
  <c r="AP41" i="21"/>
  <c r="AQ41" i="21" s="1"/>
  <c r="AP39" i="21"/>
  <c r="AQ39" i="21" s="1"/>
  <c r="AP37" i="21"/>
  <c r="AQ37" i="21" s="1"/>
  <c r="W28" i="21"/>
  <c r="F26" i="40" s="1"/>
  <c r="W68" i="10"/>
  <c r="X68" i="10" s="1"/>
  <c r="W48" i="10"/>
  <c r="X48" i="10" s="1"/>
  <c r="W36" i="10"/>
  <c r="X36" i="10" s="1"/>
  <c r="AP6" i="20"/>
  <c r="AQ6" i="20" s="1"/>
  <c r="AP29" i="2"/>
  <c r="AQ29" i="2" s="1"/>
  <c r="AP85" i="2"/>
  <c r="AQ85" i="2" s="1"/>
  <c r="AP84" i="2"/>
  <c r="AQ84" i="2" s="1"/>
  <c r="AP82" i="2"/>
  <c r="AQ82" i="2" s="1"/>
  <c r="AP74" i="2"/>
  <c r="AQ74" i="2" s="1"/>
  <c r="W84" i="2"/>
  <c r="C82" i="40" s="1"/>
  <c r="AU72" i="10"/>
  <c r="BG72" i="10" s="1"/>
  <c r="E36" i="29"/>
  <c r="E34" i="29"/>
  <c r="E37" i="29"/>
  <c r="E33" i="29"/>
  <c r="E23" i="29"/>
  <c r="P27" i="29"/>
  <c r="P26" i="29"/>
  <c r="AH60" i="21"/>
  <c r="M58" i="40" s="1"/>
  <c r="W27" i="21"/>
  <c r="F25" i="40" s="1"/>
  <c r="W25" i="21"/>
  <c r="F23" i="40" s="1"/>
  <c r="AP35" i="3"/>
  <c r="AQ35" i="3" s="1"/>
  <c r="AP32" i="3"/>
  <c r="AQ32" i="3" s="1"/>
  <c r="AP17" i="3"/>
  <c r="AQ17" i="3" s="1"/>
  <c r="W12" i="2"/>
  <c r="C10" i="40" s="1"/>
  <c r="W11" i="2"/>
  <c r="C9" i="40" s="1"/>
  <c r="AP31" i="1"/>
  <c r="AQ31" i="1" s="1"/>
  <c r="AP25" i="1"/>
  <c r="AQ25" i="1" s="1"/>
  <c r="AP21" i="1"/>
  <c r="AQ21" i="1" s="1"/>
  <c r="BF44" i="10"/>
  <c r="AP51" i="20"/>
  <c r="AQ51" i="20" s="1"/>
  <c r="AP15" i="20"/>
  <c r="AQ15" i="20" s="1"/>
  <c r="AH81" i="20"/>
  <c r="L79" i="40" s="1"/>
  <c r="AH79" i="20"/>
  <c r="L77" i="40" s="1"/>
  <c r="AP11" i="3"/>
  <c r="AQ11" i="3" s="1"/>
  <c r="AP10" i="3"/>
  <c r="AQ10" i="3" s="1"/>
  <c r="AP7" i="3"/>
  <c r="AQ7" i="3" s="1"/>
  <c r="AP6" i="3"/>
  <c r="AQ6" i="3" s="1"/>
  <c r="W86" i="3"/>
  <c r="D84" i="40" s="1"/>
  <c r="J83" i="10"/>
  <c r="K83" i="10" s="1"/>
  <c r="W64" i="3"/>
  <c r="D62" i="40" s="1"/>
  <c r="AP62" i="3"/>
  <c r="AQ62" i="3" s="1"/>
  <c r="W54" i="3"/>
  <c r="D52" i="40" s="1"/>
  <c r="AW58" i="10"/>
  <c r="BI58" i="10" s="1"/>
  <c r="W36" i="3"/>
  <c r="D34" i="40" s="1"/>
  <c r="AW82" i="10"/>
  <c r="BI82" i="10" s="1"/>
  <c r="W13" i="2"/>
  <c r="C11" i="40" s="1"/>
  <c r="AP79" i="1"/>
  <c r="AQ79" i="1" s="1"/>
  <c r="AP11" i="1"/>
  <c r="AQ11" i="1" s="1"/>
  <c r="AY69" i="10"/>
  <c r="BK69" i="10" s="1"/>
  <c r="BF76" i="10"/>
  <c r="AP70" i="21"/>
  <c r="AQ70" i="21" s="1"/>
  <c r="AP66" i="21"/>
  <c r="AQ66" i="21" s="1"/>
  <c r="AP58" i="21"/>
  <c r="AQ58" i="21" s="1"/>
  <c r="AP38" i="21"/>
  <c r="AQ38" i="21" s="1"/>
  <c r="AP33" i="21"/>
  <c r="AQ33" i="21" s="1"/>
  <c r="AH7" i="21"/>
  <c r="M5" i="40" s="1"/>
  <c r="W86" i="21"/>
  <c r="F84" i="40" s="1"/>
  <c r="AP84" i="21"/>
  <c r="AQ84" i="21" s="1"/>
  <c r="AP83" i="21"/>
  <c r="AQ83" i="21" s="1"/>
  <c r="AP80" i="21"/>
  <c r="AQ80" i="21" s="1"/>
  <c r="AP77" i="21"/>
  <c r="AQ77" i="21" s="1"/>
  <c r="AP15" i="21"/>
  <c r="AQ15" i="21" s="1"/>
  <c r="AH48" i="21"/>
  <c r="M46" i="40" s="1"/>
  <c r="AH43" i="21"/>
  <c r="M41" i="40" s="1"/>
  <c r="AH67" i="21"/>
  <c r="M65" i="40" s="1"/>
  <c r="AH65" i="21"/>
  <c r="M63" i="40" s="1"/>
  <c r="AH64" i="21"/>
  <c r="M62" i="40" s="1"/>
  <c r="W55" i="21"/>
  <c r="F53" i="40" s="1"/>
  <c r="W43" i="21"/>
  <c r="F41" i="40" s="1"/>
  <c r="W74" i="21"/>
  <c r="F72" i="40" s="1"/>
  <c r="W57" i="21"/>
  <c r="F55" i="40" s="1"/>
  <c r="W53" i="21"/>
  <c r="F51" i="40" s="1"/>
  <c r="AH71" i="20"/>
  <c r="L69" i="40" s="1"/>
  <c r="AH69" i="20"/>
  <c r="L67" i="40" s="1"/>
  <c r="AP62" i="20"/>
  <c r="AQ62" i="20" s="1"/>
  <c r="AP50" i="20"/>
  <c r="AQ50" i="20" s="1"/>
  <c r="W45" i="20"/>
  <c r="E43" i="40" s="1"/>
  <c r="AP45" i="20"/>
  <c r="AQ45" i="20" s="1"/>
  <c r="AH76" i="20"/>
  <c r="L74" i="40" s="1"/>
  <c r="AH73" i="20"/>
  <c r="L71" i="40" s="1"/>
  <c r="AH72" i="20"/>
  <c r="L70" i="40" s="1"/>
  <c r="W61" i="20"/>
  <c r="E59" i="40" s="1"/>
  <c r="W58" i="20"/>
  <c r="E56" i="40" s="1"/>
  <c r="AP63" i="3"/>
  <c r="AQ63" i="3" s="1"/>
  <c r="AP60" i="3"/>
  <c r="AQ60" i="3" s="1"/>
  <c r="AP57" i="3"/>
  <c r="AQ57" i="3" s="1"/>
  <c r="AP41" i="3"/>
  <c r="AQ41" i="3" s="1"/>
  <c r="AP38" i="3"/>
  <c r="AQ38" i="3" s="1"/>
  <c r="AP37" i="3"/>
  <c r="AQ37" i="3" s="1"/>
  <c r="AH31" i="3"/>
  <c r="K29" i="40" s="1"/>
  <c r="AH10" i="3"/>
  <c r="K8" i="40" s="1"/>
  <c r="AX47" i="10"/>
  <c r="BJ47" i="10" s="1"/>
  <c r="AH32" i="3"/>
  <c r="K30" i="40" s="1"/>
  <c r="AU75" i="10"/>
  <c r="BG75" i="10" s="1"/>
  <c r="W18" i="3"/>
  <c r="D16" i="40" s="1"/>
  <c r="BF72" i="10"/>
  <c r="AH60" i="2"/>
  <c r="J58" i="40" s="1"/>
  <c r="AH13" i="2"/>
  <c r="J11" i="40" s="1"/>
  <c r="AH75" i="2"/>
  <c r="J73" i="40" s="1"/>
  <c r="AH62" i="2"/>
  <c r="J60" i="40" s="1"/>
  <c r="AH58" i="2"/>
  <c r="J56" i="40" s="1"/>
  <c r="AH52" i="2"/>
  <c r="J50" i="40" s="1"/>
  <c r="AH51" i="2"/>
  <c r="J49" i="40" s="1"/>
  <c r="AH36" i="2"/>
  <c r="J34" i="40" s="1"/>
  <c r="AX34" i="10"/>
  <c r="BJ34" i="10" s="1"/>
  <c r="AH24" i="2"/>
  <c r="J22" i="40" s="1"/>
  <c r="AH22" i="2"/>
  <c r="J20" i="40" s="1"/>
  <c r="AH21" i="2"/>
  <c r="J19" i="40" s="1"/>
  <c r="AH15" i="2"/>
  <c r="J13" i="40" s="1"/>
  <c r="AV83" i="10"/>
  <c r="BH83" i="10" s="1"/>
  <c r="W9" i="2"/>
  <c r="C7" i="40" s="1"/>
  <c r="W66" i="2"/>
  <c r="C64" i="40" s="1"/>
  <c r="W65" i="2"/>
  <c r="C63" i="40" s="1"/>
  <c r="W64" i="2"/>
  <c r="C62" i="40" s="1"/>
  <c r="AP72" i="1"/>
  <c r="AQ72" i="1" s="1"/>
  <c r="Y83" i="1"/>
  <c r="AP58" i="1"/>
  <c r="AQ58" i="1" s="1"/>
  <c r="AP43" i="1"/>
  <c r="AQ43" i="1" s="1"/>
  <c r="AP41" i="1"/>
  <c r="AQ41" i="1" s="1"/>
  <c r="AY14" i="10"/>
  <c r="BK14" i="10" s="1"/>
  <c r="AH9" i="1"/>
  <c r="F21" i="9"/>
  <c r="F19" i="9"/>
  <c r="F20" i="9"/>
  <c r="W60" i="1"/>
  <c r="B58" i="40" s="1"/>
  <c r="W12" i="1"/>
  <c r="B10" i="40" s="1"/>
  <c r="W8" i="1"/>
  <c r="B6" i="40" s="1"/>
  <c r="AU73" i="10"/>
  <c r="BG73" i="10" s="1"/>
  <c r="W61" i="1"/>
  <c r="B59" i="40" s="1"/>
  <c r="W57" i="1"/>
  <c r="B55" i="40" s="1"/>
  <c r="E21" i="9"/>
  <c r="E19" i="9"/>
  <c r="E20" i="9"/>
  <c r="AJ84" i="21"/>
  <c r="AH79" i="21"/>
  <c r="M77" i="40" s="1"/>
  <c r="AP78" i="21"/>
  <c r="AQ78" i="21" s="1"/>
  <c r="AP73" i="21"/>
  <c r="AQ73" i="21" s="1"/>
  <c r="AH68" i="21"/>
  <c r="M66" i="40" s="1"/>
  <c r="AH66" i="21"/>
  <c r="M64" i="40" s="1"/>
  <c r="AH59" i="21"/>
  <c r="M57" i="40" s="1"/>
  <c r="AP46" i="21"/>
  <c r="AQ46" i="21" s="1"/>
  <c r="AP45" i="21"/>
  <c r="AQ45" i="21" s="1"/>
  <c r="AP42" i="21"/>
  <c r="AQ42" i="21" s="1"/>
  <c r="AJ41" i="21"/>
  <c r="AH35" i="21"/>
  <c r="M33" i="40" s="1"/>
  <c r="AH14" i="21"/>
  <c r="M12" i="40" s="1"/>
  <c r="AP12" i="21"/>
  <c r="AQ12" i="21" s="1"/>
  <c r="AH11" i="21"/>
  <c r="M9" i="40" s="1"/>
  <c r="AH10" i="21"/>
  <c r="M8" i="40" s="1"/>
  <c r="AH9" i="21"/>
  <c r="M7" i="40" s="1"/>
  <c r="AP6" i="21"/>
  <c r="AQ6" i="21" s="1"/>
  <c r="AH6" i="21"/>
  <c r="M4" i="40" s="1"/>
  <c r="W77" i="21"/>
  <c r="F75" i="40" s="1"/>
  <c r="AP71" i="21"/>
  <c r="AQ71" i="21" s="1"/>
  <c r="W70" i="21"/>
  <c r="F68" i="40" s="1"/>
  <c r="W69" i="21"/>
  <c r="F67" i="40" s="1"/>
  <c r="W68" i="21"/>
  <c r="F66" i="40" s="1"/>
  <c r="AP67" i="21"/>
  <c r="AQ67" i="21" s="1"/>
  <c r="W65" i="21"/>
  <c r="F63" i="40" s="1"/>
  <c r="AP63" i="21"/>
  <c r="AQ63" i="21" s="1"/>
  <c r="W61" i="21"/>
  <c r="F59" i="40" s="1"/>
  <c r="W50" i="21"/>
  <c r="F48" i="40" s="1"/>
  <c r="Y42" i="21"/>
  <c r="W42" i="21"/>
  <c r="F40" i="40" s="1"/>
  <c r="AP32" i="21"/>
  <c r="AQ32" i="21" s="1"/>
  <c r="W31" i="21"/>
  <c r="F29" i="40" s="1"/>
  <c r="AP25" i="21"/>
  <c r="AQ25" i="21" s="1"/>
  <c r="W12" i="21"/>
  <c r="F10" i="40" s="1"/>
  <c r="AP10" i="21"/>
  <c r="AQ10" i="21" s="1"/>
  <c r="AP7" i="21"/>
  <c r="AQ7" i="21" s="1"/>
  <c r="Y6" i="21"/>
  <c r="AH86" i="21"/>
  <c r="M84" i="40" s="1"/>
  <c r="AH72" i="21"/>
  <c r="M70" i="40" s="1"/>
  <c r="AH70" i="21"/>
  <c r="M68" i="40" s="1"/>
  <c r="AH57" i="21"/>
  <c r="M55" i="40" s="1"/>
  <c r="AH56" i="21"/>
  <c r="M54" i="40" s="1"/>
  <c r="AH55" i="21"/>
  <c r="M53" i="40" s="1"/>
  <c r="AH46" i="21"/>
  <c r="M44" i="40" s="1"/>
  <c r="AH42" i="21"/>
  <c r="M40" i="40" s="1"/>
  <c r="AH40" i="21"/>
  <c r="M38" i="40" s="1"/>
  <c r="AY38" i="10"/>
  <c r="BK38" i="10" s="1"/>
  <c r="AH37" i="21"/>
  <c r="M35" i="40" s="1"/>
  <c r="AH23" i="21"/>
  <c r="M21" i="40" s="1"/>
  <c r="AY17" i="10"/>
  <c r="BK17" i="10" s="1"/>
  <c r="AH84" i="21"/>
  <c r="M82" i="40" s="1"/>
  <c r="AH80" i="21"/>
  <c r="M78" i="40" s="1"/>
  <c r="AH78" i="21"/>
  <c r="M76" i="40" s="1"/>
  <c r="AH74" i="21"/>
  <c r="M72" i="40" s="1"/>
  <c r="AH58" i="21"/>
  <c r="M56" i="40" s="1"/>
  <c r="AH52" i="21"/>
  <c r="M50" i="40" s="1"/>
  <c r="AH38" i="21"/>
  <c r="M36" i="40" s="1"/>
  <c r="AH36" i="21"/>
  <c r="M34" i="40" s="1"/>
  <c r="AH34" i="21"/>
  <c r="M32" i="40" s="1"/>
  <c r="AH33" i="21"/>
  <c r="M31" i="40" s="1"/>
  <c r="AX31" i="10"/>
  <c r="BJ31" i="10" s="1"/>
  <c r="AH30" i="21"/>
  <c r="M28" i="40" s="1"/>
  <c r="AH28" i="21"/>
  <c r="M26" i="40" s="1"/>
  <c r="AH27" i="21"/>
  <c r="M25" i="40" s="1"/>
  <c r="AX27" i="10"/>
  <c r="BJ27" i="10" s="1"/>
  <c r="AH25" i="21"/>
  <c r="M23" i="40" s="1"/>
  <c r="AH21" i="21"/>
  <c r="M19" i="40" s="1"/>
  <c r="AH17" i="21"/>
  <c r="M15" i="40" s="1"/>
  <c r="AX7" i="10"/>
  <c r="BJ7" i="10" s="1"/>
  <c r="AH76" i="21"/>
  <c r="M74" i="40" s="1"/>
  <c r="AH75" i="21"/>
  <c r="M73" i="40" s="1"/>
  <c r="AH50" i="21"/>
  <c r="M48" i="40" s="1"/>
  <c r="AH44" i="21"/>
  <c r="M42" i="40" s="1"/>
  <c r="AH31" i="21"/>
  <c r="M29" i="40" s="1"/>
  <c r="AW28" i="10"/>
  <c r="BI28" i="10" s="1"/>
  <c r="AW15" i="10"/>
  <c r="BI15" i="10" s="1"/>
  <c r="W72" i="21"/>
  <c r="F70" i="40" s="1"/>
  <c r="W71" i="21"/>
  <c r="F69" i="40" s="1"/>
  <c r="W51" i="21"/>
  <c r="F49" i="40" s="1"/>
  <c r="W46" i="21"/>
  <c r="F44" i="40" s="1"/>
  <c r="W45" i="21"/>
  <c r="F43" i="40" s="1"/>
  <c r="AV42" i="10"/>
  <c r="BH42" i="10" s="1"/>
  <c r="W39" i="21"/>
  <c r="F37" i="40" s="1"/>
  <c r="W37" i="21"/>
  <c r="F35" i="40" s="1"/>
  <c r="W36" i="21"/>
  <c r="F34" i="40" s="1"/>
  <c r="AV34" i="10"/>
  <c r="BH34" i="10" s="1"/>
  <c r="W29" i="21"/>
  <c r="F27" i="40" s="1"/>
  <c r="W23" i="21"/>
  <c r="F21" i="40" s="1"/>
  <c r="W22" i="21"/>
  <c r="F20" i="40" s="1"/>
  <c r="W19" i="21"/>
  <c r="F17" i="40" s="1"/>
  <c r="W18" i="21"/>
  <c r="F16" i="40" s="1"/>
  <c r="W15" i="21"/>
  <c r="F13" i="40" s="1"/>
  <c r="AV10" i="10"/>
  <c r="BH10" i="10" s="1"/>
  <c r="W8" i="21"/>
  <c r="F6" i="40" s="1"/>
  <c r="W83" i="21"/>
  <c r="F81" i="40" s="1"/>
  <c r="W81" i="21"/>
  <c r="F79" i="40" s="1"/>
  <c r="W41" i="21"/>
  <c r="F39" i="40" s="1"/>
  <c r="AU40" i="10"/>
  <c r="BG40" i="10" s="1"/>
  <c r="AU36" i="10"/>
  <c r="BG36" i="10" s="1"/>
  <c r="AU16" i="10"/>
  <c r="BG16" i="10" s="1"/>
  <c r="W6" i="21"/>
  <c r="F4" i="40" s="1"/>
  <c r="W85" i="21"/>
  <c r="F83" i="40" s="1"/>
  <c r="W76" i="21"/>
  <c r="F74" i="40" s="1"/>
  <c r="W73" i="21"/>
  <c r="F71" i="40" s="1"/>
  <c r="W52" i="21"/>
  <c r="F50" i="40" s="1"/>
  <c r="W49" i="21"/>
  <c r="F47" i="40" s="1"/>
  <c r="W21" i="21"/>
  <c r="F19" i="40" s="1"/>
  <c r="W14" i="21"/>
  <c r="F12" i="40" s="1"/>
  <c r="W10" i="21"/>
  <c r="F8" i="40" s="1"/>
  <c r="W7" i="21"/>
  <c r="F5" i="40" s="1"/>
  <c r="AH84" i="20"/>
  <c r="L82" i="40" s="1"/>
  <c r="AH83" i="20"/>
  <c r="L81" i="40" s="1"/>
  <c r="AH78" i="20"/>
  <c r="L76" i="40" s="1"/>
  <c r="AH41" i="20"/>
  <c r="L39" i="40" s="1"/>
  <c r="AP39" i="20"/>
  <c r="AQ39" i="20" s="1"/>
  <c r="AH38" i="20"/>
  <c r="L36" i="40" s="1"/>
  <c r="AH37" i="20"/>
  <c r="L35" i="40" s="1"/>
  <c r="AH36" i="20"/>
  <c r="L34" i="40" s="1"/>
  <c r="AH34" i="20"/>
  <c r="L32" i="40" s="1"/>
  <c r="W30" i="10"/>
  <c r="X30" i="10" s="1"/>
  <c r="W29" i="10"/>
  <c r="X29" i="10" s="1"/>
  <c r="W26" i="10"/>
  <c r="X26" i="10" s="1"/>
  <c r="W24" i="10"/>
  <c r="X24" i="10" s="1"/>
  <c r="AH17" i="20"/>
  <c r="L15" i="40" s="1"/>
  <c r="AP82" i="20"/>
  <c r="AQ82" i="20" s="1"/>
  <c r="W82" i="20"/>
  <c r="E80" i="40" s="1"/>
  <c r="W77" i="20"/>
  <c r="E75" i="40" s="1"/>
  <c r="J76" i="10"/>
  <c r="K76" i="10" s="1"/>
  <c r="AP74" i="20"/>
  <c r="AQ74" i="20" s="1"/>
  <c r="W74" i="20"/>
  <c r="E72" i="40" s="1"/>
  <c r="W73" i="20"/>
  <c r="E71" i="40" s="1"/>
  <c r="AP72" i="20"/>
  <c r="AQ72" i="20" s="1"/>
  <c r="W72" i="20"/>
  <c r="E70" i="40" s="1"/>
  <c r="AP71" i="20"/>
  <c r="AQ71" i="20" s="1"/>
  <c r="W70" i="20"/>
  <c r="E68" i="40" s="1"/>
  <c r="W68" i="20"/>
  <c r="E66" i="40" s="1"/>
  <c r="W64" i="20"/>
  <c r="E62" i="40" s="1"/>
  <c r="W60" i="20"/>
  <c r="E58" i="40" s="1"/>
  <c r="W57" i="20"/>
  <c r="E55" i="40" s="1"/>
  <c r="W55" i="20"/>
  <c r="E53" i="40" s="1"/>
  <c r="W42" i="20"/>
  <c r="E40" i="40" s="1"/>
  <c r="Y39" i="20"/>
  <c r="W37" i="20"/>
  <c r="E35" i="40" s="1"/>
  <c r="AP35" i="20"/>
  <c r="AQ35" i="20" s="1"/>
  <c r="W34" i="20"/>
  <c r="E32" i="40" s="1"/>
  <c r="W33" i="20"/>
  <c r="E31" i="40" s="1"/>
  <c r="W32" i="20"/>
  <c r="E30" i="40" s="1"/>
  <c r="AP23" i="20"/>
  <c r="AQ23" i="20" s="1"/>
  <c r="W13" i="20"/>
  <c r="E11" i="40" s="1"/>
  <c r="AY65" i="10"/>
  <c r="BK65" i="10" s="1"/>
  <c r="AY57" i="10"/>
  <c r="BK57" i="10" s="1"/>
  <c r="AH54" i="20"/>
  <c r="L52" i="40" s="1"/>
  <c r="AH52" i="20"/>
  <c r="L50" i="40" s="1"/>
  <c r="AH50" i="20"/>
  <c r="L48" i="40" s="1"/>
  <c r="AY49" i="10"/>
  <c r="BK49" i="10" s="1"/>
  <c r="AH48" i="20"/>
  <c r="L46" i="40" s="1"/>
  <c r="AH46" i="20"/>
  <c r="L44" i="40" s="1"/>
  <c r="AH45" i="20"/>
  <c r="L43" i="40" s="1"/>
  <c r="AH39" i="20"/>
  <c r="L37" i="40" s="1"/>
  <c r="AY25" i="10"/>
  <c r="BK25" i="10" s="1"/>
  <c r="AH22" i="20"/>
  <c r="L20" i="40" s="1"/>
  <c r="AH21" i="20"/>
  <c r="L19" i="40" s="1"/>
  <c r="AY20" i="10"/>
  <c r="BK20" i="10" s="1"/>
  <c r="AH20" i="20"/>
  <c r="L18" i="40" s="1"/>
  <c r="AY18" i="10"/>
  <c r="BK18" i="10" s="1"/>
  <c r="AY12" i="10"/>
  <c r="BK12" i="10" s="1"/>
  <c r="AH64" i="20"/>
  <c r="L62" i="40" s="1"/>
  <c r="AH62" i="20"/>
  <c r="L60" i="40" s="1"/>
  <c r="AH60" i="20"/>
  <c r="L58" i="40" s="1"/>
  <c r="AH58" i="20"/>
  <c r="L56" i="40" s="1"/>
  <c r="AX35" i="10"/>
  <c r="BJ35" i="10" s="1"/>
  <c r="AX30" i="10"/>
  <c r="BJ30" i="10" s="1"/>
  <c r="AH28" i="20"/>
  <c r="L26" i="40" s="1"/>
  <c r="AH26" i="20"/>
  <c r="L24" i="40" s="1"/>
  <c r="AH25" i="20"/>
  <c r="L23" i="40" s="1"/>
  <c r="AH24" i="20"/>
  <c r="L22" i="40" s="1"/>
  <c r="AX22" i="10"/>
  <c r="BJ22" i="10" s="1"/>
  <c r="AH18" i="20"/>
  <c r="L16" i="40" s="1"/>
  <c r="AH77" i="20"/>
  <c r="L75" i="40" s="1"/>
  <c r="AH57" i="20"/>
  <c r="L55" i="40" s="1"/>
  <c r="AW41" i="10"/>
  <c r="BI41" i="10" s="1"/>
  <c r="AH40" i="20"/>
  <c r="L38" i="40" s="1"/>
  <c r="AW36" i="10"/>
  <c r="BI36" i="10" s="1"/>
  <c r="AH33" i="20"/>
  <c r="L31" i="40" s="1"/>
  <c r="AW12" i="10"/>
  <c r="BI12" i="10" s="1"/>
  <c r="AH12" i="20"/>
  <c r="L10" i="40" s="1"/>
  <c r="AH9" i="20"/>
  <c r="L7" i="40" s="1"/>
  <c r="AW6" i="10"/>
  <c r="BI6" i="10" s="1"/>
  <c r="W84" i="20"/>
  <c r="E82" i="40" s="1"/>
  <c r="V75" i="40"/>
  <c r="W76" i="20"/>
  <c r="E74" i="40" s="1"/>
  <c r="AV65" i="10"/>
  <c r="BH65" i="10" s="1"/>
  <c r="W63" i="20"/>
  <c r="E61" i="40" s="1"/>
  <c r="AV33" i="10"/>
  <c r="BH33" i="10" s="1"/>
  <c r="AV31" i="10"/>
  <c r="BH31" i="10" s="1"/>
  <c r="AV30" i="10"/>
  <c r="BH30" i="10" s="1"/>
  <c r="AV29" i="10"/>
  <c r="BH29" i="10" s="1"/>
  <c r="W22" i="20"/>
  <c r="E20" i="40" s="1"/>
  <c r="AV21" i="10"/>
  <c r="BH21" i="10" s="1"/>
  <c r="AV17" i="10"/>
  <c r="BH17" i="10" s="1"/>
  <c r="W6" i="20"/>
  <c r="E4" i="40" s="1"/>
  <c r="AV6" i="10"/>
  <c r="BH6" i="10" s="1"/>
  <c r="W86" i="20"/>
  <c r="E84" i="40" s="1"/>
  <c r="W85" i="20"/>
  <c r="E83" i="40" s="1"/>
  <c r="AU78" i="10"/>
  <c r="BG78" i="10" s="1"/>
  <c r="AU68" i="10"/>
  <c r="BG68" i="10" s="1"/>
  <c r="AU66" i="10"/>
  <c r="BG66" i="10" s="1"/>
  <c r="W65" i="20"/>
  <c r="E63" i="40" s="1"/>
  <c r="AU60" i="10"/>
  <c r="BG60" i="10" s="1"/>
  <c r="W54" i="20"/>
  <c r="E52" i="40" s="1"/>
  <c r="AU49" i="10"/>
  <c r="BG49" i="10" s="1"/>
  <c r="W49" i="20"/>
  <c r="E47" i="40" s="1"/>
  <c r="AU48" i="10"/>
  <c r="BG48" i="10" s="1"/>
  <c r="W48" i="20"/>
  <c r="E46" i="40" s="1"/>
  <c r="AU46" i="10"/>
  <c r="BG46" i="10" s="1"/>
  <c r="W43" i="20"/>
  <c r="E41" i="40" s="1"/>
  <c r="W39" i="20"/>
  <c r="E37" i="40" s="1"/>
  <c r="AU34" i="10"/>
  <c r="BG34" i="10" s="1"/>
  <c r="AU33" i="10"/>
  <c r="BG33" i="10" s="1"/>
  <c r="W31" i="20"/>
  <c r="E29" i="40" s="1"/>
  <c r="W30" i="20"/>
  <c r="E28" i="40" s="1"/>
  <c r="W25" i="20"/>
  <c r="E23" i="40" s="1"/>
  <c r="W17" i="20"/>
  <c r="E15" i="40" s="1"/>
  <c r="W16" i="20"/>
  <c r="E14" i="40" s="1"/>
  <c r="W12" i="20"/>
  <c r="E10" i="40" s="1"/>
  <c r="W10" i="20"/>
  <c r="E8" i="40" s="1"/>
  <c r="W78" i="20"/>
  <c r="E76" i="40" s="1"/>
  <c r="V69" i="40"/>
  <c r="AH85" i="3"/>
  <c r="K83" i="40" s="1"/>
  <c r="AP84" i="3"/>
  <c r="AQ84" i="3" s="1"/>
  <c r="AP76" i="3"/>
  <c r="AQ76" i="3" s="1"/>
  <c r="AP75" i="3"/>
  <c r="AQ75" i="3" s="1"/>
  <c r="AH74" i="3"/>
  <c r="K72" i="40" s="1"/>
  <c r="AH70" i="3"/>
  <c r="K68" i="40" s="1"/>
  <c r="AH63" i="3"/>
  <c r="K61" i="40" s="1"/>
  <c r="AJ57" i="3"/>
  <c r="AP52" i="3"/>
  <c r="AQ52" i="3" s="1"/>
  <c r="AH48" i="3"/>
  <c r="K46" i="40" s="1"/>
  <c r="AH47" i="3"/>
  <c r="K45" i="40" s="1"/>
  <c r="AH45" i="3"/>
  <c r="K43" i="40" s="1"/>
  <c r="AH29" i="3"/>
  <c r="K27" i="40" s="1"/>
  <c r="AH27" i="3"/>
  <c r="K25" i="40" s="1"/>
  <c r="AP26" i="3"/>
  <c r="AQ26" i="3" s="1"/>
  <c r="AP22" i="3"/>
  <c r="AQ22" i="3" s="1"/>
  <c r="AJ17" i="3"/>
  <c r="AH9" i="3"/>
  <c r="K7" i="40" s="1"/>
  <c r="Y84" i="3"/>
  <c r="W83" i="3"/>
  <c r="D81" i="40" s="1"/>
  <c r="Y75" i="3"/>
  <c r="W75" i="3"/>
  <c r="D73" i="40" s="1"/>
  <c r="AP74" i="3"/>
  <c r="AQ74" i="3" s="1"/>
  <c r="AP73" i="3"/>
  <c r="AQ73" i="3" s="1"/>
  <c r="W73" i="3"/>
  <c r="D71" i="40" s="1"/>
  <c r="W71" i="3"/>
  <c r="D69" i="40" s="1"/>
  <c r="AP70" i="3"/>
  <c r="AQ70" i="3" s="1"/>
  <c r="W70" i="3"/>
  <c r="D68" i="40" s="1"/>
  <c r="AP55" i="3"/>
  <c r="AQ55" i="3" s="1"/>
  <c r="AP53" i="3"/>
  <c r="AQ53" i="3" s="1"/>
  <c r="W35" i="3"/>
  <c r="D33" i="40" s="1"/>
  <c r="AP31" i="3"/>
  <c r="AQ31" i="3" s="1"/>
  <c r="J29" i="10"/>
  <c r="K29" i="10" s="1"/>
  <c r="W29" i="3"/>
  <c r="D27" i="40" s="1"/>
  <c r="AP25" i="3"/>
  <c r="AQ25" i="3" s="1"/>
  <c r="W20" i="3"/>
  <c r="D18" i="40" s="1"/>
  <c r="J15" i="10"/>
  <c r="K15" i="10" s="1"/>
  <c r="Y11" i="3"/>
  <c r="W10" i="3"/>
  <c r="D8" i="40" s="1"/>
  <c r="W9" i="3"/>
  <c r="D7" i="40" s="1"/>
  <c r="W8" i="3"/>
  <c r="D6" i="40" s="1"/>
  <c r="W7" i="3"/>
  <c r="D5" i="40" s="1"/>
  <c r="Y6" i="3"/>
  <c r="J6" i="10"/>
  <c r="K6" i="10" s="1"/>
  <c r="AY86" i="10"/>
  <c r="BK86" i="10" s="1"/>
  <c r="AH83" i="3"/>
  <c r="K81" i="40" s="1"/>
  <c r="AY81" i="10"/>
  <c r="BK81" i="10" s="1"/>
  <c r="AY79" i="10"/>
  <c r="BK79" i="10" s="1"/>
  <c r="AY77" i="10"/>
  <c r="BK77" i="10" s="1"/>
  <c r="AH75" i="3"/>
  <c r="K73" i="40" s="1"/>
  <c r="AY73" i="10"/>
  <c r="BK73" i="10" s="1"/>
  <c r="AY71" i="10"/>
  <c r="BK71" i="10" s="1"/>
  <c r="AH65" i="40"/>
  <c r="AH62" i="3"/>
  <c r="K60" i="40" s="1"/>
  <c r="AH61" i="3"/>
  <c r="K59" i="40" s="1"/>
  <c r="AH59" i="3"/>
  <c r="K57" i="40" s="1"/>
  <c r="AY59" i="10"/>
  <c r="BK59" i="10" s="1"/>
  <c r="AH57" i="3"/>
  <c r="K55" i="40" s="1"/>
  <c r="AY54" i="10"/>
  <c r="BK54" i="10" s="1"/>
  <c r="AH53" i="3"/>
  <c r="K51" i="40" s="1"/>
  <c r="AH42" i="3"/>
  <c r="K40" i="40" s="1"/>
  <c r="AI38" i="40"/>
  <c r="AY28" i="10"/>
  <c r="BK28" i="10" s="1"/>
  <c r="AY26" i="10"/>
  <c r="BK26" i="10" s="1"/>
  <c r="AH17" i="3"/>
  <c r="K15" i="40" s="1"/>
  <c r="AH16" i="3"/>
  <c r="K14" i="40" s="1"/>
  <c r="AY15" i="10"/>
  <c r="BK15" i="10" s="1"/>
  <c r="AH13" i="3"/>
  <c r="K11" i="40" s="1"/>
  <c r="AH8" i="3"/>
  <c r="K6" i="40" s="1"/>
  <c r="AY6" i="10"/>
  <c r="BK6" i="10" s="1"/>
  <c r="AX68" i="10"/>
  <c r="BJ68" i="10" s="1"/>
  <c r="AH68" i="3"/>
  <c r="K66" i="40" s="1"/>
  <c r="AH67" i="3"/>
  <c r="K65" i="40" s="1"/>
  <c r="AX64" i="10"/>
  <c r="BJ64" i="10" s="1"/>
  <c r="AX62" i="10"/>
  <c r="BJ62" i="10" s="1"/>
  <c r="AX60" i="10"/>
  <c r="BJ60" i="10" s="1"/>
  <c r="AX57" i="10"/>
  <c r="BJ57" i="10" s="1"/>
  <c r="AX55" i="10"/>
  <c r="BJ55" i="10" s="1"/>
  <c r="AX54" i="10"/>
  <c r="BJ54" i="10" s="1"/>
  <c r="AX52" i="10"/>
  <c r="BJ52" i="10" s="1"/>
  <c r="AH49" i="3"/>
  <c r="K47" i="40" s="1"/>
  <c r="AX48" i="10"/>
  <c r="BJ48" i="10" s="1"/>
  <c r="AX46" i="10"/>
  <c r="BJ46" i="10" s="1"/>
  <c r="AX43" i="10"/>
  <c r="BJ43" i="10" s="1"/>
  <c r="AH39" i="3"/>
  <c r="K37" i="40" s="1"/>
  <c r="AX39" i="10"/>
  <c r="BJ39" i="10" s="1"/>
  <c r="AH37" i="3"/>
  <c r="K35" i="40" s="1"/>
  <c r="AH36" i="3"/>
  <c r="K34" i="40" s="1"/>
  <c r="AH34" i="3"/>
  <c r="K32" i="40" s="1"/>
  <c r="AH25" i="3"/>
  <c r="K23" i="40" s="1"/>
  <c r="AH24" i="3"/>
  <c r="K22" i="40" s="1"/>
  <c r="AH23" i="3"/>
  <c r="K21" i="40" s="1"/>
  <c r="AX21" i="10"/>
  <c r="BJ21" i="10" s="1"/>
  <c r="AH21" i="3"/>
  <c r="K19" i="40" s="1"/>
  <c r="AX19" i="10"/>
  <c r="BJ19" i="10" s="1"/>
  <c r="AH6" i="3"/>
  <c r="K4" i="40" s="1"/>
  <c r="AH84" i="3"/>
  <c r="K82" i="40" s="1"/>
  <c r="AH82" i="3"/>
  <c r="K80" i="40" s="1"/>
  <c r="AH81" i="3"/>
  <c r="K79" i="40" s="1"/>
  <c r="AW74" i="10"/>
  <c r="BI74" i="10" s="1"/>
  <c r="AH72" i="40"/>
  <c r="AW72" i="10"/>
  <c r="BI72" i="10" s="1"/>
  <c r="AW70" i="10"/>
  <c r="BI70" i="10" s="1"/>
  <c r="AW69" i="10"/>
  <c r="BI69" i="10" s="1"/>
  <c r="AW67" i="10"/>
  <c r="BI67" i="10" s="1"/>
  <c r="AI64" i="40"/>
  <c r="AH60" i="3"/>
  <c r="K58" i="40" s="1"/>
  <c r="AH58" i="3"/>
  <c r="K56" i="40" s="1"/>
  <c r="AW57" i="10"/>
  <c r="BI57" i="10" s="1"/>
  <c r="AW54" i="10"/>
  <c r="BI54" i="10" s="1"/>
  <c r="AW53" i="10"/>
  <c r="BI53" i="10" s="1"/>
  <c r="AW52" i="10"/>
  <c r="BI52" i="10" s="1"/>
  <c r="AH52" i="3"/>
  <c r="K50" i="40" s="1"/>
  <c r="AH50" i="3"/>
  <c r="K48" i="40" s="1"/>
  <c r="AW49" i="10"/>
  <c r="BI49" i="10" s="1"/>
  <c r="AW45" i="10"/>
  <c r="BI45" i="10" s="1"/>
  <c r="AW42" i="10"/>
  <c r="BI42" i="10" s="1"/>
  <c r="AW38" i="10"/>
  <c r="BI38" i="10" s="1"/>
  <c r="AI36" i="40"/>
  <c r="AW37" i="10"/>
  <c r="BI37" i="10" s="1"/>
  <c r="AH35" i="3"/>
  <c r="K33" i="40" s="1"/>
  <c r="AW34" i="10"/>
  <c r="BI34" i="10" s="1"/>
  <c r="AW33" i="10"/>
  <c r="BI33" i="10" s="1"/>
  <c r="AW32" i="10"/>
  <c r="BI32" i="10" s="1"/>
  <c r="AW31" i="10"/>
  <c r="BI31" i="10" s="1"/>
  <c r="AH28" i="3"/>
  <c r="K26" i="40" s="1"/>
  <c r="AW21" i="10"/>
  <c r="BI21" i="10" s="1"/>
  <c r="AW18" i="10"/>
  <c r="BI18" i="10" s="1"/>
  <c r="AW16" i="10"/>
  <c r="BI16" i="10" s="1"/>
  <c r="AW14" i="10"/>
  <c r="BI14" i="10" s="1"/>
  <c r="AW10" i="10"/>
  <c r="BI10" i="10" s="1"/>
  <c r="AV86" i="10"/>
  <c r="BH86" i="10" s="1"/>
  <c r="AV82" i="10"/>
  <c r="BH82" i="10" s="1"/>
  <c r="W78" i="3"/>
  <c r="D76" i="40" s="1"/>
  <c r="AV76" i="10"/>
  <c r="BH76" i="10" s="1"/>
  <c r="AV75" i="10"/>
  <c r="BH75" i="10" s="1"/>
  <c r="AV74" i="10"/>
  <c r="BH74" i="10" s="1"/>
  <c r="AV71" i="10"/>
  <c r="BH71" i="10" s="1"/>
  <c r="AV69" i="10"/>
  <c r="BH69" i="10" s="1"/>
  <c r="AV67" i="10"/>
  <c r="BH67" i="10" s="1"/>
  <c r="AV58" i="10"/>
  <c r="BH58" i="10" s="1"/>
  <c r="AV52" i="10"/>
  <c r="BH52" i="10" s="1"/>
  <c r="W50" i="3"/>
  <c r="D48" i="40" s="1"/>
  <c r="AV47" i="10"/>
  <c r="BH47" i="10" s="1"/>
  <c r="W44" i="3"/>
  <c r="D42" i="40" s="1"/>
  <c r="W39" i="3"/>
  <c r="D37" i="40" s="1"/>
  <c r="AV38" i="10"/>
  <c r="BH38" i="10" s="1"/>
  <c r="W37" i="3"/>
  <c r="D35" i="40" s="1"/>
  <c r="W27" i="3"/>
  <c r="D25" i="40" s="1"/>
  <c r="W26" i="3"/>
  <c r="D24" i="40" s="1"/>
  <c r="W25" i="3"/>
  <c r="D23" i="40" s="1"/>
  <c r="W24" i="3"/>
  <c r="D22" i="40" s="1"/>
  <c r="AV23" i="10"/>
  <c r="BH23" i="10" s="1"/>
  <c r="W21" i="3"/>
  <c r="D19" i="40" s="1"/>
  <c r="W19" i="3"/>
  <c r="D17" i="40" s="1"/>
  <c r="AV14" i="10"/>
  <c r="BH14" i="10" s="1"/>
  <c r="AU86" i="10"/>
  <c r="BG86" i="10" s="1"/>
  <c r="W85" i="3"/>
  <c r="D83" i="40" s="1"/>
  <c r="W81" i="3"/>
  <c r="D79" i="40" s="1"/>
  <c r="AU81" i="10"/>
  <c r="BG81" i="10" s="1"/>
  <c r="AU80" i="10"/>
  <c r="BG80" i="10" s="1"/>
  <c r="AU79" i="10"/>
  <c r="BG79" i="10" s="1"/>
  <c r="AU76" i="10"/>
  <c r="BG76" i="10" s="1"/>
  <c r="W68" i="3"/>
  <c r="D66" i="40" s="1"/>
  <c r="AU67" i="10"/>
  <c r="BG67" i="10" s="1"/>
  <c r="W67" i="3"/>
  <c r="D65" i="40" s="1"/>
  <c r="AU65" i="10"/>
  <c r="BG65" i="10" s="1"/>
  <c r="W61" i="3"/>
  <c r="D59" i="40" s="1"/>
  <c r="AU59" i="10"/>
  <c r="BG59" i="10" s="1"/>
  <c r="AU57" i="10"/>
  <c r="BG57" i="10" s="1"/>
  <c r="V51" i="40"/>
  <c r="AU52" i="10"/>
  <c r="BG52" i="10" s="1"/>
  <c r="AU47" i="10"/>
  <c r="BG47" i="10" s="1"/>
  <c r="W47" i="3"/>
  <c r="D45" i="40" s="1"/>
  <c r="W43" i="3"/>
  <c r="D41" i="40" s="1"/>
  <c r="W42" i="3"/>
  <c r="D40" i="40" s="1"/>
  <c r="W34" i="3"/>
  <c r="D32" i="40" s="1"/>
  <c r="W32" i="3"/>
  <c r="D30" i="40" s="1"/>
  <c r="W31" i="3"/>
  <c r="D29" i="40" s="1"/>
  <c r="W30" i="3"/>
  <c r="D28" i="40" s="1"/>
  <c r="W28" i="3"/>
  <c r="D26" i="40" s="1"/>
  <c r="AU19" i="10"/>
  <c r="BG19" i="10" s="1"/>
  <c r="W14" i="3"/>
  <c r="D12" i="40" s="1"/>
  <c r="W11" i="3"/>
  <c r="D9" i="40" s="1"/>
  <c r="AU10" i="10"/>
  <c r="BG10" i="10" s="1"/>
  <c r="BF86" i="10"/>
  <c r="W82" i="3"/>
  <c r="D80" i="40" s="1"/>
  <c r="W60" i="3"/>
  <c r="D58" i="40" s="1"/>
  <c r="V55" i="40"/>
  <c r="W55" i="3"/>
  <c r="D53" i="40" s="1"/>
  <c r="U45" i="40"/>
  <c r="BF27" i="10"/>
  <c r="BF24" i="10"/>
  <c r="W17" i="3"/>
  <c r="D15" i="40" s="1"/>
  <c r="W6" i="3"/>
  <c r="D4" i="40" s="1"/>
  <c r="AH78" i="2"/>
  <c r="J76" i="40" s="1"/>
  <c r="W78" i="10"/>
  <c r="X78" i="10" s="1"/>
  <c r="AH76" i="2"/>
  <c r="J74" i="40" s="1"/>
  <c r="AH54" i="2"/>
  <c r="J52" i="40" s="1"/>
  <c r="AP10" i="2"/>
  <c r="AQ10" i="2" s="1"/>
  <c r="AP6" i="2"/>
  <c r="AQ6" i="2" s="1"/>
  <c r="W81" i="2"/>
  <c r="C79" i="40" s="1"/>
  <c r="W79" i="2"/>
  <c r="C77" i="40" s="1"/>
  <c r="W78" i="2"/>
  <c r="C76" i="40" s="1"/>
  <c r="AP77" i="2"/>
  <c r="AQ77" i="2" s="1"/>
  <c r="AP76" i="2"/>
  <c r="AQ76" i="2" s="1"/>
  <c r="W71" i="2"/>
  <c r="C69" i="40" s="1"/>
  <c r="W62" i="2"/>
  <c r="C60" i="40" s="1"/>
  <c r="W57" i="2"/>
  <c r="C55" i="40" s="1"/>
  <c r="AP57" i="2"/>
  <c r="AQ57" i="2" s="1"/>
  <c r="AP56" i="2"/>
  <c r="AQ56" i="2" s="1"/>
  <c r="W56" i="2"/>
  <c r="C54" i="40" s="1"/>
  <c r="AP52" i="2"/>
  <c r="AQ52" i="2" s="1"/>
  <c r="W46" i="2"/>
  <c r="C44" i="40" s="1"/>
  <c r="W43" i="2"/>
  <c r="C41" i="40" s="1"/>
  <c r="J38" i="10"/>
  <c r="K38" i="10" s="1"/>
  <c r="AP37" i="2"/>
  <c r="AQ37" i="2" s="1"/>
  <c r="AP36" i="2"/>
  <c r="AQ36" i="2" s="1"/>
  <c r="W36" i="2"/>
  <c r="C34" i="40" s="1"/>
  <c r="AP34" i="2"/>
  <c r="AQ34" i="2" s="1"/>
  <c r="W33" i="2"/>
  <c r="C31" i="40" s="1"/>
  <c r="AP26" i="2"/>
  <c r="AQ26" i="2" s="1"/>
  <c r="AH84" i="40"/>
  <c r="AI79" i="40"/>
  <c r="AI76" i="40"/>
  <c r="AY78" i="10"/>
  <c r="BK78" i="10" s="1"/>
  <c r="AH70" i="2"/>
  <c r="J68" i="40" s="1"/>
  <c r="AY64" i="10"/>
  <c r="BK64" i="10" s="1"/>
  <c r="AY58" i="10"/>
  <c r="BK58" i="10" s="1"/>
  <c r="AI54" i="40"/>
  <c r="AY55" i="10"/>
  <c r="BK55" i="10" s="1"/>
  <c r="AY50" i="10"/>
  <c r="BK50" i="10" s="1"/>
  <c r="AY48" i="10"/>
  <c r="BK48" i="10" s="1"/>
  <c r="AY47" i="10"/>
  <c r="BK47" i="10" s="1"/>
  <c r="AH42" i="40"/>
  <c r="AY44" i="10"/>
  <c r="BK44" i="10" s="1"/>
  <c r="AY39" i="10"/>
  <c r="BK39" i="10" s="1"/>
  <c r="AY37" i="10"/>
  <c r="BK37" i="10" s="1"/>
  <c r="AY36" i="10"/>
  <c r="BK36" i="10" s="1"/>
  <c r="AY35" i="10"/>
  <c r="BK35" i="10" s="1"/>
  <c r="AY32" i="10"/>
  <c r="BK32" i="10" s="1"/>
  <c r="AH30" i="2"/>
  <c r="J28" i="40" s="1"/>
  <c r="AH26" i="2"/>
  <c r="J24" i="40" s="1"/>
  <c r="AY23" i="10"/>
  <c r="BK23" i="10" s="1"/>
  <c r="AY11" i="10"/>
  <c r="BK11" i="10" s="1"/>
  <c r="AY10" i="10"/>
  <c r="BK10" i="10" s="1"/>
  <c r="AI6" i="40"/>
  <c r="AY8" i="10"/>
  <c r="BK8" i="10" s="1"/>
  <c r="AH86" i="2"/>
  <c r="J84" i="40" s="1"/>
  <c r="AH84" i="2"/>
  <c r="J82" i="40" s="1"/>
  <c r="AX84" i="10"/>
  <c r="BJ84" i="10" s="1"/>
  <c r="AX83" i="10"/>
  <c r="BJ83" i="10" s="1"/>
  <c r="AX80" i="10"/>
  <c r="BJ80" i="10" s="1"/>
  <c r="AX76" i="10"/>
  <c r="BJ76" i="10" s="1"/>
  <c r="AX75" i="10"/>
  <c r="BJ75" i="10" s="1"/>
  <c r="AX74" i="10"/>
  <c r="BJ74" i="10" s="1"/>
  <c r="AX72" i="10"/>
  <c r="BJ72" i="10" s="1"/>
  <c r="AX71" i="10"/>
  <c r="BJ71" i="10" s="1"/>
  <c r="AX70" i="10"/>
  <c r="BJ70" i="10" s="1"/>
  <c r="AH68" i="2"/>
  <c r="J66" i="40" s="1"/>
  <c r="AH66" i="2"/>
  <c r="J64" i="40" s="1"/>
  <c r="AX59" i="10"/>
  <c r="BJ59" i="10" s="1"/>
  <c r="AX58" i="10"/>
  <c r="BJ58" i="10" s="1"/>
  <c r="AX56" i="10"/>
  <c r="BJ56" i="10" s="1"/>
  <c r="AX53" i="10"/>
  <c r="BJ53" i="10" s="1"/>
  <c r="AI48" i="40"/>
  <c r="AX50" i="10"/>
  <c r="BJ50" i="10" s="1"/>
  <c r="AX49" i="10"/>
  <c r="BJ49" i="10" s="1"/>
  <c r="AH47" i="2"/>
  <c r="J45" i="40" s="1"/>
  <c r="AH46" i="2"/>
  <c r="J44" i="40" s="1"/>
  <c r="AI43" i="40"/>
  <c r="AI41" i="40"/>
  <c r="AH43" i="2"/>
  <c r="J41" i="40" s="1"/>
  <c r="AX42" i="10"/>
  <c r="BJ42" i="10" s="1"/>
  <c r="AX38" i="10"/>
  <c r="BJ38" i="10" s="1"/>
  <c r="AH38" i="2"/>
  <c r="J36" i="40" s="1"/>
  <c r="AX36" i="10"/>
  <c r="BJ36" i="10" s="1"/>
  <c r="AH35" i="2"/>
  <c r="J33" i="40" s="1"/>
  <c r="AH29" i="2"/>
  <c r="J27" i="40" s="1"/>
  <c r="AH28" i="2"/>
  <c r="J26" i="40" s="1"/>
  <c r="AX26" i="10"/>
  <c r="BJ26" i="10" s="1"/>
  <c r="AI21" i="40"/>
  <c r="AX23" i="10"/>
  <c r="BJ23" i="10" s="1"/>
  <c r="AX20" i="10"/>
  <c r="BJ20" i="10" s="1"/>
  <c r="AX18" i="10"/>
  <c r="BJ18" i="10" s="1"/>
  <c r="AI16" i="40"/>
  <c r="AX17" i="10"/>
  <c r="BJ17" i="10" s="1"/>
  <c r="AX14" i="10"/>
  <c r="BJ14" i="10" s="1"/>
  <c r="AX12" i="10"/>
  <c r="BJ12" i="10" s="1"/>
  <c r="AX11" i="10"/>
  <c r="BJ11" i="10" s="1"/>
  <c r="AX10" i="10"/>
  <c r="BJ10" i="10" s="1"/>
  <c r="AH7" i="2"/>
  <c r="J5" i="40" s="1"/>
  <c r="AX6" i="10"/>
  <c r="BJ6" i="10" s="1"/>
  <c r="AW86" i="10"/>
  <c r="BI86" i="10" s="1"/>
  <c r="AW84" i="10"/>
  <c r="BI84" i="10" s="1"/>
  <c r="AW83" i="10"/>
  <c r="BI83" i="10" s="1"/>
  <c r="AW81" i="10"/>
  <c r="BI81" i="10" s="1"/>
  <c r="AW75" i="10"/>
  <c r="BI75" i="10" s="1"/>
  <c r="AH73" i="2"/>
  <c r="J71" i="40" s="1"/>
  <c r="AH70" i="40"/>
  <c r="AW71" i="10"/>
  <c r="BI71" i="10" s="1"/>
  <c r="AW68" i="10"/>
  <c r="BI68" i="10" s="1"/>
  <c r="AW66" i="10"/>
  <c r="BI66" i="10" s="1"/>
  <c r="AW62" i="10"/>
  <c r="BI62" i="10" s="1"/>
  <c r="AW60" i="10"/>
  <c r="BI60" i="10" s="1"/>
  <c r="AW56" i="10"/>
  <c r="BI56" i="10" s="1"/>
  <c r="AH56" i="2"/>
  <c r="J54" i="40" s="1"/>
  <c r="AI46" i="40"/>
  <c r="AI44" i="40"/>
  <c r="AW43" i="10"/>
  <c r="BI43" i="10" s="1"/>
  <c r="AH40" i="2"/>
  <c r="J38" i="40" s="1"/>
  <c r="AW35" i="10"/>
  <c r="BI35" i="10" s="1"/>
  <c r="AH33" i="40"/>
  <c r="AI32" i="40"/>
  <c r="AH32" i="2"/>
  <c r="J30" i="40" s="1"/>
  <c r="AI28" i="40"/>
  <c r="AW29" i="10"/>
  <c r="BI29" i="10" s="1"/>
  <c r="AI25" i="40"/>
  <c r="AW20" i="10"/>
  <c r="BI20" i="10" s="1"/>
  <c r="AW17" i="10"/>
  <c r="BI17" i="10" s="1"/>
  <c r="AV81" i="10"/>
  <c r="BH81" i="10" s="1"/>
  <c r="V78" i="40"/>
  <c r="AV79" i="10"/>
  <c r="BH79" i="10" s="1"/>
  <c r="AV78" i="10"/>
  <c r="BH78" i="10" s="1"/>
  <c r="W70" i="2"/>
  <c r="C68" i="40" s="1"/>
  <c r="V62" i="40"/>
  <c r="AV61" i="10"/>
  <c r="BH61" i="10" s="1"/>
  <c r="W60" i="2"/>
  <c r="C58" i="40" s="1"/>
  <c r="W54" i="2"/>
  <c r="C52" i="40" s="1"/>
  <c r="AV54" i="10"/>
  <c r="BH54" i="10" s="1"/>
  <c r="W52" i="2"/>
  <c r="C50" i="40" s="1"/>
  <c r="AV51" i="10"/>
  <c r="BH51" i="10" s="1"/>
  <c r="W50" i="2"/>
  <c r="C48" i="40" s="1"/>
  <c r="AV48" i="10"/>
  <c r="BH48" i="10" s="1"/>
  <c r="AV46" i="10"/>
  <c r="BH46" i="10" s="1"/>
  <c r="AV45" i="10"/>
  <c r="BH45" i="10" s="1"/>
  <c r="W44" i="2"/>
  <c r="C42" i="40" s="1"/>
  <c r="V41" i="40"/>
  <c r="W42" i="2"/>
  <c r="C40" i="40" s="1"/>
  <c r="AV41" i="10"/>
  <c r="BH41" i="10" s="1"/>
  <c r="W39" i="2"/>
  <c r="C37" i="40" s="1"/>
  <c r="W34" i="2"/>
  <c r="C32" i="40" s="1"/>
  <c r="AV28" i="10"/>
  <c r="BH28" i="10" s="1"/>
  <c r="AV26" i="10"/>
  <c r="BH26" i="10" s="1"/>
  <c r="AV25" i="10"/>
  <c r="BH25" i="10" s="1"/>
  <c r="AV24" i="10"/>
  <c r="BH24" i="10" s="1"/>
  <c r="AV22" i="10"/>
  <c r="BH22" i="10" s="1"/>
  <c r="W21" i="2"/>
  <c r="C19" i="40" s="1"/>
  <c r="AV20" i="10"/>
  <c r="BH20" i="10" s="1"/>
  <c r="AV13" i="10"/>
  <c r="BH13" i="10" s="1"/>
  <c r="AV9" i="10"/>
  <c r="BH9" i="10" s="1"/>
  <c r="W86" i="2"/>
  <c r="C84" i="40" s="1"/>
  <c r="AU85" i="10"/>
  <c r="BG85" i="10" s="1"/>
  <c r="W76" i="2"/>
  <c r="C74" i="40" s="1"/>
  <c r="AU74" i="10"/>
  <c r="BG74" i="10" s="1"/>
  <c r="AU69" i="10"/>
  <c r="BG69" i="10" s="1"/>
  <c r="U65" i="40"/>
  <c r="AU64" i="10"/>
  <c r="BG64" i="10" s="1"/>
  <c r="AU63" i="10"/>
  <c r="BG63" i="10" s="1"/>
  <c r="AU56" i="10"/>
  <c r="BG56" i="10" s="1"/>
  <c r="W51" i="2"/>
  <c r="C49" i="40" s="1"/>
  <c r="AU51" i="10"/>
  <c r="BG51" i="10" s="1"/>
  <c r="V46" i="40"/>
  <c r="W48" i="2"/>
  <c r="C46" i="40" s="1"/>
  <c r="V43" i="40"/>
  <c r="AU42" i="10"/>
  <c r="BG42" i="10" s="1"/>
  <c r="AU41" i="10"/>
  <c r="BG41" i="10" s="1"/>
  <c r="V39" i="40"/>
  <c r="AU32" i="10"/>
  <c r="BG32" i="10" s="1"/>
  <c r="AU30" i="10"/>
  <c r="BG30" i="10" s="1"/>
  <c r="AU29" i="10"/>
  <c r="BG29" i="10" s="1"/>
  <c r="AU28" i="10"/>
  <c r="BG28" i="10" s="1"/>
  <c r="AU24" i="10"/>
  <c r="BG24" i="10" s="1"/>
  <c r="U21" i="40"/>
  <c r="AU22" i="10"/>
  <c r="BG22" i="10" s="1"/>
  <c r="AU20" i="10"/>
  <c r="BG20" i="10" s="1"/>
  <c r="W14" i="2"/>
  <c r="C12" i="40" s="1"/>
  <c r="AU14" i="10"/>
  <c r="BG14" i="10" s="1"/>
  <c r="AU12" i="10"/>
  <c r="BG12" i="10" s="1"/>
  <c r="AU8" i="10"/>
  <c r="BG8" i="10" s="1"/>
  <c r="V6" i="40"/>
  <c r="W6" i="2"/>
  <c r="C4" i="40" s="1"/>
  <c r="AU6" i="10"/>
  <c r="BG6" i="10" s="1"/>
  <c r="BF84" i="10"/>
  <c r="U75" i="40"/>
  <c r="W73" i="2"/>
  <c r="C71" i="40" s="1"/>
  <c r="BF60" i="10"/>
  <c r="U53" i="40"/>
  <c r="BF51" i="10"/>
  <c r="BF43" i="10"/>
  <c r="BF40" i="10"/>
  <c r="U33" i="40"/>
  <c r="U29" i="40"/>
  <c r="W26" i="2"/>
  <c r="C24" i="40" s="1"/>
  <c r="W22" i="2"/>
  <c r="C20" i="40" s="1"/>
  <c r="W18" i="2"/>
  <c r="C16" i="40" s="1"/>
  <c r="V15" i="40"/>
  <c r="V5" i="40"/>
  <c r="V4" i="40"/>
  <c r="AJ79" i="1"/>
  <c r="AH77" i="1"/>
  <c r="AH68" i="1"/>
  <c r="AP52" i="1"/>
  <c r="AQ52" i="1" s="1"/>
  <c r="AP48" i="1"/>
  <c r="AQ48" i="1" s="1"/>
  <c r="AH45" i="1"/>
  <c r="AH40" i="1"/>
  <c r="AP35" i="1"/>
  <c r="AQ35" i="1" s="1"/>
  <c r="AP30" i="1"/>
  <c r="AQ30" i="1" s="1"/>
  <c r="AJ26" i="1"/>
  <c r="AH13" i="1"/>
  <c r="AH11" i="1"/>
  <c r="AP8" i="1"/>
  <c r="AQ8" i="1" s="1"/>
  <c r="W74" i="1"/>
  <c r="B72" i="40" s="1"/>
  <c r="W52" i="1"/>
  <c r="B50" i="40" s="1"/>
  <c r="W49" i="1"/>
  <c r="B47" i="40" s="1"/>
  <c r="AP46" i="1"/>
  <c r="AQ46" i="1" s="1"/>
  <c r="AP45" i="1"/>
  <c r="AQ45" i="1" s="1"/>
  <c r="W36" i="1"/>
  <c r="B34" i="40" s="1"/>
  <c r="W32" i="1"/>
  <c r="B30" i="40" s="1"/>
  <c r="AP14" i="1"/>
  <c r="AQ14" i="1" s="1"/>
  <c r="AY85" i="10"/>
  <c r="BK85" i="10" s="1"/>
  <c r="AY84" i="10"/>
  <c r="BK84" i="10" s="1"/>
  <c r="AY83" i="10"/>
  <c r="BK83" i="10" s="1"/>
  <c r="AH83" i="1"/>
  <c r="AY82" i="10"/>
  <c r="BK82" i="10" s="1"/>
  <c r="AY80" i="10"/>
  <c r="BK80" i="10" s="1"/>
  <c r="AY74" i="10"/>
  <c r="BK74" i="10" s="1"/>
  <c r="AH71" i="1"/>
  <c r="AY70" i="10"/>
  <c r="BK70" i="10" s="1"/>
  <c r="AH70" i="1"/>
  <c r="AY68" i="10"/>
  <c r="BK68" i="10" s="1"/>
  <c r="AY67" i="10"/>
  <c r="BK67" i="10" s="1"/>
  <c r="AH67" i="1"/>
  <c r="AY66" i="10"/>
  <c r="BK66" i="10" s="1"/>
  <c r="AY62" i="10"/>
  <c r="BK62" i="10" s="1"/>
  <c r="AY61" i="10"/>
  <c r="BK61" i="10" s="1"/>
  <c r="AY53" i="10"/>
  <c r="BK53" i="10" s="1"/>
  <c r="AY52" i="10"/>
  <c r="BK52" i="10" s="1"/>
  <c r="AY45" i="10"/>
  <c r="BK45" i="10" s="1"/>
  <c r="AY42" i="10"/>
  <c r="BK42" i="10" s="1"/>
  <c r="AY41" i="10"/>
  <c r="BK41" i="10" s="1"/>
  <c r="AY40" i="10"/>
  <c r="BK40" i="10" s="1"/>
  <c r="AY34" i="10"/>
  <c r="BK34" i="10" s="1"/>
  <c r="AY33" i="10"/>
  <c r="BK33" i="10" s="1"/>
  <c r="AY29" i="10"/>
  <c r="BK29" i="10" s="1"/>
  <c r="AY27" i="10"/>
  <c r="BK27" i="10" s="1"/>
  <c r="AY22" i="10"/>
  <c r="BK22" i="10" s="1"/>
  <c r="AY19" i="10"/>
  <c r="BK19" i="10" s="1"/>
  <c r="AY16" i="10"/>
  <c r="BK16" i="10" s="1"/>
  <c r="AH15" i="1"/>
  <c r="AY7" i="10"/>
  <c r="BK7" i="10" s="1"/>
  <c r="AH7" i="1"/>
  <c r="AX86" i="10"/>
  <c r="BJ86" i="10" s="1"/>
  <c r="AX85" i="10"/>
  <c r="BJ85" i="10" s="1"/>
  <c r="AX82" i="10"/>
  <c r="BJ82" i="10" s="1"/>
  <c r="AH81" i="1"/>
  <c r="AX81" i="10"/>
  <c r="BJ81" i="10" s="1"/>
  <c r="AI78" i="40"/>
  <c r="AH77" i="40"/>
  <c r="AX79" i="10"/>
  <c r="BJ79" i="10" s="1"/>
  <c r="AX78" i="10"/>
  <c r="BJ78" i="10" s="1"/>
  <c r="AI72" i="40"/>
  <c r="AX73" i="10"/>
  <c r="BJ73" i="10" s="1"/>
  <c r="AX69" i="10"/>
  <c r="BJ69" i="10" s="1"/>
  <c r="AX66" i="10"/>
  <c r="BJ66" i="10" s="1"/>
  <c r="AX65" i="10"/>
  <c r="BJ65" i="10" s="1"/>
  <c r="AX63" i="10"/>
  <c r="BJ63" i="10" s="1"/>
  <c r="AH59" i="1"/>
  <c r="AX51" i="10"/>
  <c r="BJ51" i="10" s="1"/>
  <c r="AH48" i="40"/>
  <c r="AH49" i="1"/>
  <c r="AX45" i="10"/>
  <c r="BJ45" i="10" s="1"/>
  <c r="AI42" i="40"/>
  <c r="AX44" i="10"/>
  <c r="BJ44" i="10" s="1"/>
  <c r="AX41" i="10"/>
  <c r="BJ41" i="10" s="1"/>
  <c r="AH39" i="1"/>
  <c r="AX32" i="10"/>
  <c r="BJ32" i="10" s="1"/>
  <c r="AX29" i="10"/>
  <c r="BJ29" i="10" s="1"/>
  <c r="AX24" i="10"/>
  <c r="BJ24" i="10" s="1"/>
  <c r="AH23" i="1"/>
  <c r="AX16" i="10"/>
  <c r="BJ16" i="10" s="1"/>
  <c r="AX15" i="10"/>
  <c r="BJ15" i="10" s="1"/>
  <c r="AX13" i="10"/>
  <c r="BJ13" i="10" s="1"/>
  <c r="AI11" i="40"/>
  <c r="AH9" i="40"/>
  <c r="AX9" i="10"/>
  <c r="BJ9" i="10" s="1"/>
  <c r="AX8" i="10"/>
  <c r="BJ8" i="10" s="1"/>
  <c r="AW78" i="10"/>
  <c r="BI78" i="10" s="1"/>
  <c r="AW73" i="10"/>
  <c r="BI73" i="10" s="1"/>
  <c r="AI70" i="40"/>
  <c r="AH69" i="40"/>
  <c r="AH64" i="40"/>
  <c r="AW65" i="10"/>
  <c r="BI65" i="10" s="1"/>
  <c r="AH64" i="1"/>
  <c r="AW64" i="10"/>
  <c r="BI64" i="10" s="1"/>
  <c r="AW61" i="10"/>
  <c r="BI61" i="10" s="1"/>
  <c r="AW59" i="10"/>
  <c r="BI59" i="10" s="1"/>
  <c r="AH55" i="1"/>
  <c r="AH51" i="40"/>
  <c r="AW51" i="10"/>
  <c r="BI51" i="10" s="1"/>
  <c r="AW48" i="10"/>
  <c r="BI48" i="10" s="1"/>
  <c r="AW47" i="10"/>
  <c r="BI47" i="10" s="1"/>
  <c r="AW46" i="10"/>
  <c r="BI46" i="10" s="1"/>
  <c r="AW44" i="10"/>
  <c r="BI44" i="10" s="1"/>
  <c r="AH39" i="40"/>
  <c r="AH36" i="1"/>
  <c r="AH29" i="1"/>
  <c r="AW26" i="10"/>
  <c r="BI26" i="10" s="1"/>
  <c r="AI22" i="40"/>
  <c r="AH21" i="40"/>
  <c r="AI19" i="40"/>
  <c r="AW19" i="10"/>
  <c r="BI19" i="10" s="1"/>
  <c r="AW13" i="10"/>
  <c r="BI13" i="10" s="1"/>
  <c r="AW9" i="10"/>
  <c r="BI9" i="10" s="1"/>
  <c r="AW7" i="10"/>
  <c r="BI7" i="10" s="1"/>
  <c r="AV85" i="10"/>
  <c r="BH85" i="10" s="1"/>
  <c r="AV80" i="10"/>
  <c r="BH80" i="10" s="1"/>
  <c r="W79" i="1"/>
  <c r="B77" i="40" s="1"/>
  <c r="AV77" i="10"/>
  <c r="BH77" i="10" s="1"/>
  <c r="AV73" i="10"/>
  <c r="BH73" i="10" s="1"/>
  <c r="V67" i="40"/>
  <c r="W66" i="1"/>
  <c r="B64" i="40" s="1"/>
  <c r="V64" i="40"/>
  <c r="AV64" i="10"/>
  <c r="BH64" i="10" s="1"/>
  <c r="AV63" i="10"/>
  <c r="BH63" i="10" s="1"/>
  <c r="AV62" i="10"/>
  <c r="BH62" i="10" s="1"/>
  <c r="AV60" i="10"/>
  <c r="BH60" i="10" s="1"/>
  <c r="AV59" i="10"/>
  <c r="BH59" i="10" s="1"/>
  <c r="W58" i="1"/>
  <c r="B56" i="40" s="1"/>
  <c r="AV57" i="10"/>
  <c r="BH57" i="10" s="1"/>
  <c r="V54" i="40"/>
  <c r="AV53" i="10"/>
  <c r="BH53" i="10" s="1"/>
  <c r="AV50" i="10"/>
  <c r="BH50" i="10" s="1"/>
  <c r="AV49" i="10"/>
  <c r="BH49" i="10" s="1"/>
  <c r="AV44" i="10"/>
  <c r="BH44" i="10" s="1"/>
  <c r="AV43" i="10"/>
  <c r="BH43" i="10" s="1"/>
  <c r="AV40" i="10"/>
  <c r="BH40" i="10" s="1"/>
  <c r="W40" i="1"/>
  <c r="B38" i="40" s="1"/>
  <c r="V37" i="40"/>
  <c r="AV37" i="10"/>
  <c r="BH37" i="10" s="1"/>
  <c r="AV36" i="10"/>
  <c r="BH36" i="10" s="1"/>
  <c r="W30" i="1"/>
  <c r="B28" i="40" s="1"/>
  <c r="AV27" i="10"/>
  <c r="BH27" i="10" s="1"/>
  <c r="AV19" i="10"/>
  <c r="BH19" i="10" s="1"/>
  <c r="W16" i="1"/>
  <c r="B14" i="40" s="1"/>
  <c r="AV16" i="10"/>
  <c r="BH16" i="10" s="1"/>
  <c r="AV12" i="10"/>
  <c r="BH12" i="10" s="1"/>
  <c r="AV8" i="10"/>
  <c r="BH8" i="10" s="1"/>
  <c r="AV7" i="10"/>
  <c r="BH7" i="10" s="1"/>
  <c r="AU84" i="10"/>
  <c r="BG84" i="10" s="1"/>
  <c r="AU82" i="10"/>
  <c r="BG82" i="10" s="1"/>
  <c r="W72" i="1"/>
  <c r="B70" i="40" s="1"/>
  <c r="AU71" i="10"/>
  <c r="BG71" i="10" s="1"/>
  <c r="AU70" i="10"/>
  <c r="BG70" i="10" s="1"/>
  <c r="V65" i="40"/>
  <c r="U62" i="40"/>
  <c r="AU62" i="10"/>
  <c r="BG62" i="10" s="1"/>
  <c r="AU55" i="10"/>
  <c r="BG55" i="10" s="1"/>
  <c r="W53" i="1"/>
  <c r="B51" i="40" s="1"/>
  <c r="AU53" i="10"/>
  <c r="BG53" i="10" s="1"/>
  <c r="AU50" i="10"/>
  <c r="BG50" i="10" s="1"/>
  <c r="W48" i="1"/>
  <c r="B46" i="40" s="1"/>
  <c r="W46" i="1"/>
  <c r="B44" i="40" s="1"/>
  <c r="AU43" i="10"/>
  <c r="BG43" i="10" s="1"/>
  <c r="AU39" i="10"/>
  <c r="BG39" i="10" s="1"/>
  <c r="AU38" i="10"/>
  <c r="BG38" i="10" s="1"/>
  <c r="AU35" i="10"/>
  <c r="BG35" i="10" s="1"/>
  <c r="AU31" i="10"/>
  <c r="BG31" i="10" s="1"/>
  <c r="AU27" i="10"/>
  <c r="BG27" i="10" s="1"/>
  <c r="W26" i="1"/>
  <c r="B24" i="40" s="1"/>
  <c r="AU26" i="10"/>
  <c r="BG26" i="10" s="1"/>
  <c r="AU25" i="10"/>
  <c r="BG25" i="10" s="1"/>
  <c r="AU23" i="10"/>
  <c r="BG23" i="10" s="1"/>
  <c r="W21" i="1"/>
  <c r="AU18" i="10"/>
  <c r="BG18" i="10" s="1"/>
  <c r="W18" i="1"/>
  <c r="B16" i="40" s="1"/>
  <c r="AU17" i="10"/>
  <c r="BG17" i="10" s="1"/>
  <c r="AU13" i="10"/>
  <c r="BG13" i="10" s="1"/>
  <c r="AU11" i="10"/>
  <c r="BG11" i="10" s="1"/>
  <c r="AU9" i="10"/>
  <c r="BG9" i="10" s="1"/>
  <c r="AU7" i="10"/>
  <c r="BG7" i="10" s="1"/>
  <c r="W85" i="1"/>
  <c r="B83" i="40" s="1"/>
  <c r="BF80" i="10"/>
  <c r="U74" i="40"/>
  <c r="BF75" i="10"/>
  <c r="U71" i="40"/>
  <c r="W69" i="1"/>
  <c r="V47" i="40"/>
  <c r="V33" i="40"/>
  <c r="V32" i="40"/>
  <c r="W33" i="1"/>
  <c r="B31" i="40" s="1"/>
  <c r="BF32" i="10"/>
  <c r="V29" i="40"/>
  <c r="V25" i="40"/>
  <c r="U23" i="40"/>
  <c r="V13" i="40"/>
  <c r="U5" i="40"/>
  <c r="AP86" i="21"/>
  <c r="AQ86" i="21" s="1"/>
  <c r="AH83" i="21"/>
  <c r="M81" i="40" s="1"/>
  <c r="AJ83" i="21"/>
  <c r="AH82" i="21"/>
  <c r="M80" i="40" s="1"/>
  <c r="AP82" i="21"/>
  <c r="AQ82" i="21" s="1"/>
  <c r="AP81" i="21"/>
  <c r="AQ81" i="21" s="1"/>
  <c r="AH81" i="21"/>
  <c r="M79" i="40" s="1"/>
  <c r="AJ77" i="21"/>
  <c r="AP76" i="21"/>
  <c r="AQ76" i="21" s="1"/>
  <c r="AP74" i="21"/>
  <c r="AQ74" i="21" s="1"/>
  <c r="AH73" i="21"/>
  <c r="M71" i="40" s="1"/>
  <c r="AH71" i="21"/>
  <c r="M69" i="40" s="1"/>
  <c r="AP69" i="21"/>
  <c r="AQ69" i="21" s="1"/>
  <c r="AH69" i="21"/>
  <c r="M67" i="40" s="1"/>
  <c r="AH63" i="21"/>
  <c r="M61" i="40" s="1"/>
  <c r="AP62" i="21"/>
  <c r="AQ62" i="21" s="1"/>
  <c r="AP54" i="21"/>
  <c r="AQ54" i="21" s="1"/>
  <c r="AH54" i="21"/>
  <c r="M52" i="40" s="1"/>
  <c r="AP53" i="21"/>
  <c r="AQ53" i="21" s="1"/>
  <c r="AJ52" i="21"/>
  <c r="AH51" i="21"/>
  <c r="M49" i="40" s="1"/>
  <c r="AJ51" i="21"/>
  <c r="AP50" i="21"/>
  <c r="AQ50" i="21" s="1"/>
  <c r="AP49" i="21"/>
  <c r="AQ49" i="21" s="1"/>
  <c r="AH49" i="21"/>
  <c r="M47" i="40" s="1"/>
  <c r="AP48" i="21"/>
  <c r="AQ48" i="21" s="1"/>
  <c r="AH47" i="21"/>
  <c r="M45" i="40" s="1"/>
  <c r="AP44" i="21"/>
  <c r="AQ44" i="21" s="1"/>
  <c r="AH41" i="21"/>
  <c r="M39" i="40" s="1"/>
  <c r="AH39" i="21"/>
  <c r="M37" i="40" s="1"/>
  <c r="AJ37" i="21"/>
  <c r="AH32" i="21"/>
  <c r="M30" i="40" s="1"/>
  <c r="AP30" i="21"/>
  <c r="AQ30" i="21" s="1"/>
  <c r="AP29" i="21"/>
  <c r="AQ29" i="21" s="1"/>
  <c r="AH29" i="21"/>
  <c r="M27" i="40" s="1"/>
  <c r="AH24" i="21"/>
  <c r="M22" i="40" s="1"/>
  <c r="AP22" i="21"/>
  <c r="AQ22" i="21" s="1"/>
  <c r="AH22" i="21"/>
  <c r="M20" i="40" s="1"/>
  <c r="AH20" i="21"/>
  <c r="M18" i="40" s="1"/>
  <c r="AH18" i="21"/>
  <c r="M16" i="40" s="1"/>
  <c r="AJ18" i="21"/>
  <c r="AH16" i="21"/>
  <c r="M14" i="40" s="1"/>
  <c r="AJ15" i="21"/>
  <c r="AP14" i="21"/>
  <c r="AQ14" i="21" s="1"/>
  <c r="AH13" i="21"/>
  <c r="M11" i="40" s="1"/>
  <c r="AH12" i="21"/>
  <c r="M10" i="40" s="1"/>
  <c r="AJ10" i="21"/>
  <c r="AH8" i="21"/>
  <c r="M6" i="40" s="1"/>
  <c r="AP8" i="21"/>
  <c r="AQ8" i="21" s="1"/>
  <c r="AJ7" i="21"/>
  <c r="Y86" i="21"/>
  <c r="W84" i="21"/>
  <c r="F82" i="40" s="1"/>
  <c r="Y82" i="21"/>
  <c r="J82" i="10"/>
  <c r="K82" i="10" s="1"/>
  <c r="W82" i="21"/>
  <c r="F80" i="40" s="1"/>
  <c r="W80" i="21"/>
  <c r="F78" i="40" s="1"/>
  <c r="Y78" i="21"/>
  <c r="W78" i="21"/>
  <c r="F76" i="40" s="1"/>
  <c r="Y76" i="21"/>
  <c r="W75" i="21"/>
  <c r="F73" i="40" s="1"/>
  <c r="Y74" i="21"/>
  <c r="AP72" i="21"/>
  <c r="AQ72" i="21" s="1"/>
  <c r="Y70" i="21"/>
  <c r="Y69" i="21"/>
  <c r="W67" i="21"/>
  <c r="F65" i="40" s="1"/>
  <c r="Y66" i="21"/>
  <c r="W64" i="21"/>
  <c r="F62" i="40" s="1"/>
  <c r="W63" i="21"/>
  <c r="F61" i="40" s="1"/>
  <c r="Y62" i="21"/>
  <c r="W62" i="21"/>
  <c r="F60" i="40" s="1"/>
  <c r="AP61" i="21"/>
  <c r="AQ61" i="21" s="1"/>
  <c r="W59" i="21"/>
  <c r="F57" i="40" s="1"/>
  <c r="AP59" i="21"/>
  <c r="AQ59" i="21" s="1"/>
  <c r="Y58" i="21"/>
  <c r="W56" i="21"/>
  <c r="F54" i="40" s="1"/>
  <c r="Y54" i="21"/>
  <c r="W54" i="21"/>
  <c r="F52" i="40" s="1"/>
  <c r="Y50" i="21"/>
  <c r="W48" i="21"/>
  <c r="F46" i="40" s="1"/>
  <c r="Y48" i="21"/>
  <c r="Y46" i="21"/>
  <c r="Y45" i="21"/>
  <c r="W44" i="21"/>
  <c r="F42" i="40" s="1"/>
  <c r="Y44" i="21"/>
  <c r="J43" i="10"/>
  <c r="K43" i="10" s="1"/>
  <c r="AP43" i="21"/>
  <c r="AQ43" i="21" s="1"/>
  <c r="W40" i="21"/>
  <c r="F38" i="40" s="1"/>
  <c r="AP40" i="21"/>
  <c r="AQ40" i="21" s="1"/>
  <c r="Y38" i="21"/>
  <c r="W38" i="21"/>
  <c r="F36" i="40" s="1"/>
  <c r="W35" i="21"/>
  <c r="F33" i="40" s="1"/>
  <c r="AP35" i="21"/>
  <c r="AQ35" i="21" s="1"/>
  <c r="W34" i="21"/>
  <c r="F32" i="40" s="1"/>
  <c r="W33" i="21"/>
  <c r="F31" i="40" s="1"/>
  <c r="W32" i="21"/>
  <c r="F30" i="40" s="1"/>
  <c r="AP31" i="21"/>
  <c r="AQ31" i="21" s="1"/>
  <c r="Y30" i="21"/>
  <c r="Y29" i="21"/>
  <c r="W26" i="21"/>
  <c r="F24" i="40" s="1"/>
  <c r="W24" i="21"/>
  <c r="F22" i="40" s="1"/>
  <c r="W20" i="21"/>
  <c r="F18" i="40" s="1"/>
  <c r="AP20" i="21"/>
  <c r="AQ20" i="21" s="1"/>
  <c r="AP17" i="21"/>
  <c r="AQ17" i="21" s="1"/>
  <c r="Y14" i="21"/>
  <c r="AP13" i="21"/>
  <c r="AQ13" i="21" s="1"/>
  <c r="W13" i="21"/>
  <c r="F11" i="40" s="1"/>
  <c r="Y12" i="21"/>
  <c r="W11" i="21"/>
  <c r="F9" i="40" s="1"/>
  <c r="W9" i="21"/>
  <c r="F7" i="40" s="1"/>
  <c r="AH86" i="20"/>
  <c r="L84" i="40" s="1"/>
  <c r="AH85" i="20"/>
  <c r="L83" i="40" s="1"/>
  <c r="W75" i="10"/>
  <c r="X75" i="10" s="1"/>
  <c r="AH75" i="20"/>
  <c r="L73" i="40" s="1"/>
  <c r="AJ74" i="20"/>
  <c r="AH67" i="20"/>
  <c r="L65" i="40" s="1"/>
  <c r="AP67" i="20"/>
  <c r="AQ67" i="20" s="1"/>
  <c r="AP66" i="20"/>
  <c r="AQ66" i="20" s="1"/>
  <c r="AH66" i="20"/>
  <c r="L64" i="40" s="1"/>
  <c r="AH65" i="20"/>
  <c r="L63" i="40" s="1"/>
  <c r="AP63" i="20"/>
  <c r="AQ63" i="20" s="1"/>
  <c r="AH61" i="20"/>
  <c r="L59" i="40" s="1"/>
  <c r="AP57" i="20"/>
  <c r="AQ57" i="20" s="1"/>
  <c r="AP55" i="20"/>
  <c r="AQ55" i="20" s="1"/>
  <c r="AH53" i="20"/>
  <c r="L51" i="40" s="1"/>
  <c r="AH51" i="20"/>
  <c r="L49" i="40" s="1"/>
  <c r="AJ50" i="20"/>
  <c r="AH49" i="20"/>
  <c r="L47" i="40" s="1"/>
  <c r="AP46" i="20"/>
  <c r="AQ46" i="20" s="1"/>
  <c r="AH44" i="20"/>
  <c r="L42" i="40" s="1"/>
  <c r="AP43" i="20"/>
  <c r="AQ43" i="20" s="1"/>
  <c r="AH42" i="20"/>
  <c r="L40" i="40" s="1"/>
  <c r="AP34" i="20"/>
  <c r="AQ34" i="20" s="1"/>
  <c r="AH32" i="20"/>
  <c r="L30" i="40" s="1"/>
  <c r="AP31" i="20"/>
  <c r="AQ31" i="20" s="1"/>
  <c r="AH31" i="20"/>
  <c r="L29" i="40" s="1"/>
  <c r="AH30" i="20"/>
  <c r="L28" i="40" s="1"/>
  <c r="AH29" i="20"/>
  <c r="L27" i="40" s="1"/>
  <c r="AP22" i="20"/>
  <c r="AQ22" i="20" s="1"/>
  <c r="AP17" i="20"/>
  <c r="AQ17" i="20" s="1"/>
  <c r="AP16" i="20"/>
  <c r="AQ16" i="20" s="1"/>
  <c r="W16" i="10"/>
  <c r="X16" i="10" s="1"/>
  <c r="AH14" i="20"/>
  <c r="L12" i="40" s="1"/>
  <c r="AP13" i="20"/>
  <c r="AQ13" i="20" s="1"/>
  <c r="AP10" i="20"/>
  <c r="AQ10" i="20" s="1"/>
  <c r="AH10" i="20"/>
  <c r="L8" i="40" s="1"/>
  <c r="AP8" i="20"/>
  <c r="AQ8" i="20" s="1"/>
  <c r="W8" i="10"/>
  <c r="X8" i="10" s="1"/>
  <c r="AH8" i="20"/>
  <c r="L6" i="40" s="1"/>
  <c r="AH6" i="20"/>
  <c r="L4" i="40" s="1"/>
  <c r="J84" i="10"/>
  <c r="K84" i="10" s="1"/>
  <c r="AP84" i="20"/>
  <c r="AQ84" i="20" s="1"/>
  <c r="W80" i="20"/>
  <c r="E78" i="40" s="1"/>
  <c r="W71" i="20"/>
  <c r="E69" i="40" s="1"/>
  <c r="AP70" i="20"/>
  <c r="AQ70" i="20" s="1"/>
  <c r="W69" i="20"/>
  <c r="E67" i="40" s="1"/>
  <c r="Y66" i="20"/>
  <c r="W66" i="20"/>
  <c r="E64" i="40" s="1"/>
  <c r="AP64" i="20"/>
  <c r="AQ64" i="20" s="1"/>
  <c r="W62" i="20"/>
  <c r="E60" i="40" s="1"/>
  <c r="W59" i="20"/>
  <c r="E57" i="40" s="1"/>
  <c r="AP59" i="20"/>
  <c r="AQ59" i="20" s="1"/>
  <c r="AP58" i="20"/>
  <c r="AQ58" i="20" s="1"/>
  <c r="AP54" i="20"/>
  <c r="AQ54" i="20" s="1"/>
  <c r="W51" i="20"/>
  <c r="E49" i="40" s="1"/>
  <c r="Y51" i="20"/>
  <c r="W50" i="20"/>
  <c r="E48" i="40" s="1"/>
  <c r="J47" i="10"/>
  <c r="K47" i="10" s="1"/>
  <c r="W47" i="20"/>
  <c r="E45" i="40" s="1"/>
  <c r="AP47" i="20"/>
  <c r="AQ47" i="20" s="1"/>
  <c r="W46" i="20"/>
  <c r="E44" i="40" s="1"/>
  <c r="Y43" i="20"/>
  <c r="AP42" i="20"/>
  <c r="AQ42" i="20" s="1"/>
  <c r="W41" i="20"/>
  <c r="E39" i="40" s="1"/>
  <c r="AP41" i="20"/>
  <c r="AQ41" i="20" s="1"/>
  <c r="W38" i="20"/>
  <c r="E36" i="40" s="1"/>
  <c r="W35" i="20"/>
  <c r="E33" i="40" s="1"/>
  <c r="Y34" i="20"/>
  <c r="W29" i="20"/>
  <c r="E27" i="40" s="1"/>
  <c r="W28" i="20"/>
  <c r="E26" i="40" s="1"/>
  <c r="W27" i="20"/>
  <c r="E25" i="40" s="1"/>
  <c r="W26" i="20"/>
  <c r="E24" i="40" s="1"/>
  <c r="AP26" i="20"/>
  <c r="AQ26" i="20" s="1"/>
  <c r="W23" i="20"/>
  <c r="E21" i="40" s="1"/>
  <c r="W21" i="20"/>
  <c r="E19" i="40" s="1"/>
  <c r="F20" i="10"/>
  <c r="AP20" i="20"/>
  <c r="AQ20" i="20" s="1"/>
  <c r="J19" i="10"/>
  <c r="K19" i="10" s="1"/>
  <c r="W19" i="20"/>
  <c r="E17" i="40" s="1"/>
  <c r="W18" i="20"/>
  <c r="E16" i="40" s="1"/>
  <c r="W15" i="20"/>
  <c r="E13" i="40" s="1"/>
  <c r="W14" i="20"/>
  <c r="E12" i="40" s="1"/>
  <c r="W11" i="20"/>
  <c r="E9" i="40" s="1"/>
  <c r="AP7" i="20"/>
  <c r="AQ7" i="20" s="1"/>
  <c r="Y6" i="20"/>
  <c r="AH86" i="3"/>
  <c r="K84" i="40" s="1"/>
  <c r="AP86" i="3"/>
  <c r="AQ86" i="3" s="1"/>
  <c r="AP83" i="3"/>
  <c r="AQ83" i="3" s="1"/>
  <c r="AP82" i="3"/>
  <c r="AQ82" i="3" s="1"/>
  <c r="AH80" i="3"/>
  <c r="K78" i="40" s="1"/>
  <c r="AH78" i="3"/>
  <c r="K76" i="40" s="1"/>
  <c r="AH77" i="3"/>
  <c r="K75" i="40" s="1"/>
  <c r="AP71" i="3"/>
  <c r="AQ71" i="3" s="1"/>
  <c r="AH71" i="3"/>
  <c r="K69" i="40" s="1"/>
  <c r="AJ70" i="3"/>
  <c r="AH66" i="3"/>
  <c r="K64" i="40" s="1"/>
  <c r="AH64" i="3"/>
  <c r="K62" i="40" s="1"/>
  <c r="AJ63" i="3"/>
  <c r="AP58" i="3"/>
  <c r="AQ58" i="3" s="1"/>
  <c r="AH56" i="3"/>
  <c r="K54" i="40" s="1"/>
  <c r="AH54" i="3"/>
  <c r="K52" i="40" s="1"/>
  <c r="AP51" i="3"/>
  <c r="AQ51" i="3" s="1"/>
  <c r="AH46" i="3"/>
  <c r="K44" i="40" s="1"/>
  <c r="AP44" i="3"/>
  <c r="AQ44" i="3" s="1"/>
  <c r="AH43" i="3"/>
  <c r="K41" i="40" s="1"/>
  <c r="AH38" i="3"/>
  <c r="K36" i="40" s="1"/>
  <c r="AJ38" i="3"/>
  <c r="AJ37" i="3"/>
  <c r="AP36" i="3"/>
  <c r="AQ36" i="3" s="1"/>
  <c r="AJ35" i="3"/>
  <c r="W34" i="10"/>
  <c r="X34" i="10" s="1"/>
  <c r="AH33" i="3"/>
  <c r="K31" i="40" s="1"/>
  <c r="AJ31" i="3"/>
  <c r="AH30" i="3"/>
  <c r="K28" i="40" s="1"/>
  <c r="AH22" i="3"/>
  <c r="K20" i="40" s="1"/>
  <c r="W20" i="10"/>
  <c r="X20" i="10" s="1"/>
  <c r="AP20" i="3"/>
  <c r="AQ20" i="3" s="1"/>
  <c r="AH20" i="3"/>
  <c r="K18" i="40" s="1"/>
  <c r="AP19" i="3"/>
  <c r="AQ19" i="3" s="1"/>
  <c r="AH18" i="3"/>
  <c r="K16" i="40" s="1"/>
  <c r="AP15" i="3"/>
  <c r="AQ15" i="3" s="1"/>
  <c r="AH15" i="3"/>
  <c r="K13" i="40" s="1"/>
  <c r="AH14" i="3"/>
  <c r="K12" i="40" s="1"/>
  <c r="AH12" i="3"/>
  <c r="K10" i="40" s="1"/>
  <c r="AP9" i="3"/>
  <c r="AQ9" i="3" s="1"/>
  <c r="W9" i="10"/>
  <c r="X9" i="10" s="1"/>
  <c r="AP85" i="3"/>
  <c r="AQ85" i="3" s="1"/>
  <c r="Y82" i="3"/>
  <c r="W80" i="3"/>
  <c r="D78" i="40" s="1"/>
  <c r="AP79" i="3"/>
  <c r="AQ79" i="3" s="1"/>
  <c r="W79" i="3"/>
  <c r="D77" i="40" s="1"/>
  <c r="Y76" i="3"/>
  <c r="W76" i="3"/>
  <c r="D74" i="40" s="1"/>
  <c r="W74" i="3"/>
  <c r="D72" i="40" s="1"/>
  <c r="W72" i="3"/>
  <c r="D70" i="40" s="1"/>
  <c r="AP72" i="3"/>
  <c r="AQ72" i="3" s="1"/>
  <c r="Y71" i="3"/>
  <c r="W69" i="3"/>
  <c r="D67" i="40" s="1"/>
  <c r="AP69" i="3"/>
  <c r="AQ69" i="3" s="1"/>
  <c r="AP68" i="3"/>
  <c r="AQ68" i="3" s="1"/>
  <c r="J65" i="10"/>
  <c r="K65" i="10" s="1"/>
  <c r="W65" i="3"/>
  <c r="D63" i="40" s="1"/>
  <c r="AP65" i="3"/>
  <c r="AQ65" i="3" s="1"/>
  <c r="W63" i="3"/>
  <c r="D61" i="40" s="1"/>
  <c r="J62" i="10"/>
  <c r="K62" i="10" s="1"/>
  <c r="AP61" i="3"/>
  <c r="AQ61" i="3" s="1"/>
  <c r="Y58" i="3"/>
  <c r="W58" i="3"/>
  <c r="D56" i="40" s="1"/>
  <c r="W57" i="3"/>
  <c r="D55" i="40" s="1"/>
  <c r="W56" i="3"/>
  <c r="D54" i="40" s="1"/>
  <c r="W53" i="3"/>
  <c r="D51" i="40" s="1"/>
  <c r="Y52" i="3"/>
  <c r="W51" i="3"/>
  <c r="D49" i="40" s="1"/>
  <c r="Y51" i="3"/>
  <c r="W49" i="3"/>
  <c r="D47" i="40" s="1"/>
  <c r="AP49" i="3"/>
  <c r="AQ49" i="3" s="1"/>
  <c r="AP47" i="3"/>
  <c r="AQ47" i="3" s="1"/>
  <c r="W46" i="3"/>
  <c r="D44" i="40" s="1"/>
  <c r="J45" i="10"/>
  <c r="K45" i="10" s="1"/>
  <c r="W40" i="3"/>
  <c r="D38" i="40" s="1"/>
  <c r="AP39" i="3"/>
  <c r="AQ39" i="3" s="1"/>
  <c r="W38" i="3"/>
  <c r="D36" i="40" s="1"/>
  <c r="Y36" i="3"/>
  <c r="J34" i="10"/>
  <c r="K34" i="10" s="1"/>
  <c r="W33" i="3"/>
  <c r="D31" i="40" s="1"/>
  <c r="AP33" i="3"/>
  <c r="AQ33" i="3" s="1"/>
  <c r="J33" i="10"/>
  <c r="K33" i="10" s="1"/>
  <c r="AP30" i="3"/>
  <c r="AQ30" i="3" s="1"/>
  <c r="AP29" i="3"/>
  <c r="AQ29" i="3" s="1"/>
  <c r="Y26" i="3"/>
  <c r="W23" i="3"/>
  <c r="D21" i="40" s="1"/>
  <c r="AP23" i="3"/>
  <c r="AQ23" i="3" s="1"/>
  <c r="Y22" i="3"/>
  <c r="W22" i="3"/>
  <c r="D20" i="40" s="1"/>
  <c r="AP21" i="3"/>
  <c r="AQ21" i="3" s="1"/>
  <c r="Y20" i="3"/>
  <c r="Y19" i="3"/>
  <c r="W15" i="3"/>
  <c r="D13" i="40" s="1"/>
  <c r="Y15" i="3"/>
  <c r="W13" i="3"/>
  <c r="D11" i="40" s="1"/>
  <c r="Y7" i="3"/>
  <c r="AJ85" i="2"/>
  <c r="AH85" i="2"/>
  <c r="J83" i="40" s="1"/>
  <c r="W83" i="10"/>
  <c r="X83" i="10" s="1"/>
  <c r="AH82" i="2"/>
  <c r="J80" i="40" s="1"/>
  <c r="AH81" i="2"/>
  <c r="J79" i="40" s="1"/>
  <c r="AH80" i="2"/>
  <c r="J78" i="40" s="1"/>
  <c r="AH77" i="2"/>
  <c r="J75" i="40" s="1"/>
  <c r="AH74" i="2"/>
  <c r="J72" i="40" s="1"/>
  <c r="AH72" i="2"/>
  <c r="J70" i="40" s="1"/>
  <c r="AP71" i="2"/>
  <c r="AQ71" i="2" s="1"/>
  <c r="AH69" i="2"/>
  <c r="J67" i="40" s="1"/>
  <c r="AH65" i="2"/>
  <c r="J63" i="40" s="1"/>
  <c r="AH64" i="2"/>
  <c r="J62" i="40" s="1"/>
  <c r="AP63" i="2"/>
  <c r="AQ63" i="2" s="1"/>
  <c r="AH61" i="2"/>
  <c r="J59" i="40" s="1"/>
  <c r="AJ58" i="2"/>
  <c r="W58" i="10"/>
  <c r="X58" i="10" s="1"/>
  <c r="AH57" i="2"/>
  <c r="J55" i="40" s="1"/>
  <c r="W56" i="10"/>
  <c r="X56" i="10" s="1"/>
  <c r="AH53" i="2"/>
  <c r="J51" i="40" s="1"/>
  <c r="W52" i="10"/>
  <c r="X52" i="10" s="1"/>
  <c r="AH50" i="2"/>
  <c r="J48" i="40" s="1"/>
  <c r="AH49" i="2"/>
  <c r="J47" i="40" s="1"/>
  <c r="AH48" i="2"/>
  <c r="J46" i="40" s="1"/>
  <c r="AH45" i="2"/>
  <c r="J43" i="40" s="1"/>
  <c r="AH44" i="2"/>
  <c r="J42" i="40" s="1"/>
  <c r="AP43" i="2"/>
  <c r="AQ43" i="2" s="1"/>
  <c r="AH42" i="2"/>
  <c r="J40" i="40" s="1"/>
  <c r="AH41" i="2"/>
  <c r="J39" i="40" s="1"/>
  <c r="AH39" i="2"/>
  <c r="J37" i="40" s="1"/>
  <c r="AH37" i="2"/>
  <c r="J35" i="40" s="1"/>
  <c r="AH34" i="2"/>
  <c r="J32" i="40" s="1"/>
  <c r="AJ34" i="2"/>
  <c r="AH33" i="2"/>
  <c r="J31" i="40" s="1"/>
  <c r="AH31" i="2"/>
  <c r="J29" i="40" s="1"/>
  <c r="AP27" i="2"/>
  <c r="AQ27" i="2" s="1"/>
  <c r="AH25" i="2"/>
  <c r="J23" i="40" s="1"/>
  <c r="AH20" i="2"/>
  <c r="J18" i="40" s="1"/>
  <c r="AP19" i="2"/>
  <c r="AQ19" i="2" s="1"/>
  <c r="AH18" i="2"/>
  <c r="J16" i="40" s="1"/>
  <c r="AJ17" i="2"/>
  <c r="AH17" i="2"/>
  <c r="J15" i="40" s="1"/>
  <c r="AH16" i="2"/>
  <c r="J14" i="40" s="1"/>
  <c r="AH14" i="2"/>
  <c r="J12" i="40" s="1"/>
  <c r="W13" i="10"/>
  <c r="X13" i="10" s="1"/>
  <c r="AH9" i="2"/>
  <c r="J7" i="40" s="1"/>
  <c r="AP9" i="2"/>
  <c r="AQ9" i="2" s="1"/>
  <c r="AH8" i="2"/>
  <c r="J6" i="40" s="1"/>
  <c r="W83" i="2"/>
  <c r="C81" i="40" s="1"/>
  <c r="W82" i="2"/>
  <c r="C80" i="40" s="1"/>
  <c r="AP81" i="2"/>
  <c r="AQ81" i="2" s="1"/>
  <c r="AP80" i="2"/>
  <c r="AQ80" i="2" s="1"/>
  <c r="W80" i="2"/>
  <c r="C78" i="40" s="1"/>
  <c r="AP79" i="2"/>
  <c r="AQ79" i="2" s="1"/>
  <c r="J79" i="10"/>
  <c r="K79" i="10" s="1"/>
  <c r="W77" i="2"/>
  <c r="C75" i="40" s="1"/>
  <c r="W75" i="2"/>
  <c r="C73" i="40" s="1"/>
  <c r="W74" i="2"/>
  <c r="C72" i="40" s="1"/>
  <c r="AP73" i="2"/>
  <c r="AQ73" i="2" s="1"/>
  <c r="AP72" i="2"/>
  <c r="AQ72" i="2" s="1"/>
  <c r="W72" i="2"/>
  <c r="C70" i="40" s="1"/>
  <c r="W69" i="2"/>
  <c r="C67" i="40" s="1"/>
  <c r="J69" i="10"/>
  <c r="K69" i="10" s="1"/>
  <c r="AP69" i="2"/>
  <c r="AQ69" i="2" s="1"/>
  <c r="W68" i="2"/>
  <c r="C66" i="40" s="1"/>
  <c r="AP68" i="2"/>
  <c r="AQ68" i="2" s="1"/>
  <c r="W67" i="2"/>
  <c r="C65" i="40" s="1"/>
  <c r="AP66" i="2"/>
  <c r="AQ66" i="2" s="1"/>
  <c r="AP65" i="2"/>
  <c r="AQ65" i="2" s="1"/>
  <c r="W63" i="2"/>
  <c r="C61" i="40" s="1"/>
  <c r="AP61" i="2"/>
  <c r="AQ61" i="2" s="1"/>
  <c r="W59" i="2"/>
  <c r="C57" i="40" s="1"/>
  <c r="W58" i="2"/>
  <c r="C56" i="40" s="1"/>
  <c r="J55" i="10"/>
  <c r="K55" i="10" s="1"/>
  <c r="W55" i="2"/>
  <c r="C53" i="40" s="1"/>
  <c r="AP55" i="2"/>
  <c r="AQ55" i="2" s="1"/>
  <c r="W53" i="2"/>
  <c r="C51" i="40" s="1"/>
  <c r="AP50" i="2"/>
  <c r="AQ50" i="2" s="1"/>
  <c r="W49" i="2"/>
  <c r="C47" i="40" s="1"/>
  <c r="AP49" i="2"/>
  <c r="AQ49" i="2" s="1"/>
  <c r="AP48" i="2"/>
  <c r="AQ48" i="2" s="1"/>
  <c r="W47" i="2"/>
  <c r="C45" i="40" s="1"/>
  <c r="AP47" i="2"/>
  <c r="AQ47" i="2" s="1"/>
  <c r="W45" i="2"/>
  <c r="C43" i="40" s="1"/>
  <c r="AP45" i="2"/>
  <c r="AQ45" i="2" s="1"/>
  <c r="AP44" i="2"/>
  <c r="AQ44" i="2" s="1"/>
  <c r="J42" i="10"/>
  <c r="K42" i="10" s="1"/>
  <c r="AP42" i="2"/>
  <c r="AQ42" i="2" s="1"/>
  <c r="W41" i="2"/>
  <c r="C39" i="40" s="1"/>
  <c r="J41" i="10"/>
  <c r="K41" i="10" s="1"/>
  <c r="AP41" i="2"/>
  <c r="AQ41" i="2" s="1"/>
  <c r="W40" i="2"/>
  <c r="C38" i="40" s="1"/>
  <c r="AP40" i="2"/>
  <c r="AQ40" i="2" s="1"/>
  <c r="AP39" i="2"/>
  <c r="AQ39" i="2" s="1"/>
  <c r="J39" i="10"/>
  <c r="K39" i="10" s="1"/>
  <c r="W38" i="2"/>
  <c r="C36" i="40" s="1"/>
  <c r="W37" i="2"/>
  <c r="C35" i="40" s="1"/>
  <c r="W35" i="2"/>
  <c r="C33" i="40" s="1"/>
  <c r="AP33" i="2"/>
  <c r="AQ33" i="2" s="1"/>
  <c r="W31" i="2"/>
  <c r="C29" i="40" s="1"/>
  <c r="AP31" i="2"/>
  <c r="AQ31" i="2" s="1"/>
  <c r="W30" i="2"/>
  <c r="C28" i="40" s="1"/>
  <c r="W29" i="2"/>
  <c r="C27" i="40" s="1"/>
  <c r="W27" i="2"/>
  <c r="C25" i="40" s="1"/>
  <c r="Y27" i="2"/>
  <c r="W25" i="2"/>
  <c r="C23" i="40" s="1"/>
  <c r="AP25" i="2"/>
  <c r="AQ25" i="2" s="1"/>
  <c r="W23" i="2"/>
  <c r="C21" i="40" s="1"/>
  <c r="J22" i="10"/>
  <c r="K22" i="10" s="1"/>
  <c r="W19" i="2"/>
  <c r="C17" i="40" s="1"/>
  <c r="W15" i="2"/>
  <c r="C13" i="40" s="1"/>
  <c r="AP15" i="2"/>
  <c r="AQ15" i="2" s="1"/>
  <c r="W10" i="2"/>
  <c r="C8" i="40" s="1"/>
  <c r="J9" i="10"/>
  <c r="K9" i="10" s="1"/>
  <c r="AP8" i="2"/>
  <c r="AQ8" i="2" s="1"/>
  <c r="J7" i="10"/>
  <c r="K7" i="10" s="1"/>
  <c r="W7" i="2"/>
  <c r="C5" i="40" s="1"/>
  <c r="AH86" i="1"/>
  <c r="AH85" i="1"/>
  <c r="AH82" i="1"/>
  <c r="AH78" i="1"/>
  <c r="AJ78" i="1"/>
  <c r="AJ75" i="1"/>
  <c r="AH74" i="1"/>
  <c r="AJ68" i="1"/>
  <c r="AP68" i="1"/>
  <c r="AQ68" i="1" s="1"/>
  <c r="AH66" i="1"/>
  <c r="AH62" i="1"/>
  <c r="AH60" i="1"/>
  <c r="AP60" i="1"/>
  <c r="AQ60" i="1" s="1"/>
  <c r="AH58" i="1"/>
  <c r="AJ58" i="1"/>
  <c r="AH57" i="1"/>
  <c r="AJ56" i="1"/>
  <c r="AH52" i="1"/>
  <c r="AH51" i="1"/>
  <c r="AJ48" i="1"/>
  <c r="AH47" i="1"/>
  <c r="AH44" i="1"/>
  <c r="T42" i="10"/>
  <c r="AH41" i="1"/>
  <c r="AH37" i="1"/>
  <c r="AH35" i="1"/>
  <c r="AJ34" i="1"/>
  <c r="AJ29" i="1"/>
  <c r="AH27" i="1"/>
  <c r="AP26" i="1"/>
  <c r="AQ26" i="1" s="1"/>
  <c r="AH25" i="1"/>
  <c r="AJ24" i="1"/>
  <c r="AJ20" i="1"/>
  <c r="AP20" i="1"/>
  <c r="AQ20" i="1" s="1"/>
  <c r="AH20" i="1"/>
  <c r="AH19" i="1"/>
  <c r="AJ16" i="1"/>
  <c r="AH14" i="1"/>
  <c r="T14" i="10"/>
  <c r="AJ14" i="1"/>
  <c r="AJ9" i="1"/>
  <c r="S8" i="10"/>
  <c r="AJ8" i="1"/>
  <c r="AH6" i="1"/>
  <c r="W86" i="1"/>
  <c r="Y84" i="1"/>
  <c r="W84" i="1"/>
  <c r="B82" i="40" s="1"/>
  <c r="W83" i="1"/>
  <c r="B81" i="40" s="1"/>
  <c r="W82" i="1"/>
  <c r="W81" i="1"/>
  <c r="B79" i="40" s="1"/>
  <c r="Y76" i="1"/>
  <c r="W75" i="1"/>
  <c r="B73" i="40" s="1"/>
  <c r="J73" i="10"/>
  <c r="K73" i="10" s="1"/>
  <c r="W71" i="1"/>
  <c r="Y69" i="1"/>
  <c r="W68" i="1"/>
  <c r="W59" i="1"/>
  <c r="B57" i="40" s="1"/>
  <c r="AP50" i="1"/>
  <c r="AQ50" i="1" s="1"/>
  <c r="Y47" i="1"/>
  <c r="Y45" i="1"/>
  <c r="F43" i="10"/>
  <c r="W42" i="1"/>
  <c r="B40" i="40" s="1"/>
  <c r="AP39" i="1"/>
  <c r="AQ39" i="1" s="1"/>
  <c r="Y39" i="1"/>
  <c r="Y34" i="1"/>
  <c r="Y33" i="1"/>
  <c r="Y29" i="1"/>
  <c r="W28" i="1"/>
  <c r="B26" i="40" s="1"/>
  <c r="W25" i="1"/>
  <c r="Y22" i="1"/>
  <c r="W17" i="1"/>
  <c r="B15" i="40" s="1"/>
  <c r="AP15" i="1"/>
  <c r="AQ15" i="1" s="1"/>
  <c r="W11" i="1"/>
  <c r="W10" i="1"/>
  <c r="B8" i="40" s="1"/>
  <c r="W7" i="1"/>
  <c r="B5" i="40" s="1"/>
  <c r="E26" i="29"/>
  <c r="E28" i="29"/>
  <c r="E31" i="29"/>
  <c r="E24" i="29"/>
  <c r="C9" i="38"/>
  <c r="I17" i="9"/>
  <c r="J18" i="9"/>
  <c r="J17" i="9"/>
  <c r="C10" i="38"/>
  <c r="U28" i="40"/>
  <c r="U34" i="40"/>
  <c r="AH47" i="40"/>
  <c r="AH50" i="40"/>
  <c r="AH54" i="40"/>
  <c r="AH55" i="40"/>
  <c r="AI60" i="40"/>
  <c r="AH61" i="40"/>
  <c r="AH62" i="40"/>
  <c r="AH63" i="40"/>
  <c r="U69" i="40"/>
  <c r="AH74" i="40"/>
  <c r="AI75" i="40"/>
  <c r="U80" i="40"/>
  <c r="U4" i="40"/>
  <c r="AH6" i="40"/>
  <c r="V7" i="40"/>
  <c r="V11" i="40"/>
  <c r="V14" i="40"/>
  <c r="AH16" i="40"/>
  <c r="AH25" i="40"/>
  <c r="AI26" i="40"/>
  <c r="V27" i="40"/>
  <c r="V35" i="40"/>
  <c r="U37" i="40"/>
  <c r="V38" i="40"/>
  <c r="AH38" i="40"/>
  <c r="U44" i="40"/>
  <c r="AH46" i="40"/>
  <c r="AI52" i="40"/>
  <c r="AI56" i="40"/>
  <c r="AI58" i="40"/>
  <c r="U68" i="40"/>
  <c r="V71" i="40"/>
  <c r="V79" i="40"/>
  <c r="V82" i="40"/>
  <c r="U84" i="40"/>
  <c r="V10" i="40"/>
  <c r="V17" i="40"/>
  <c r="V20" i="40"/>
  <c r="V24" i="40"/>
  <c r="AH30" i="40"/>
  <c r="AI31" i="40"/>
  <c r="AI40" i="40"/>
  <c r="V53" i="40"/>
  <c r="AH56" i="40"/>
  <c r="U64" i="40"/>
  <c r="AH67" i="40"/>
  <c r="AI69" i="40"/>
  <c r="V72" i="40"/>
  <c r="AH78" i="40"/>
  <c r="U81" i="40"/>
  <c r="V83" i="40"/>
  <c r="AI8" i="40"/>
  <c r="V22" i="40"/>
  <c r="AI5" i="40"/>
  <c r="U6" i="40"/>
  <c r="U9" i="40"/>
  <c r="U16" i="40"/>
  <c r="V19" i="40"/>
  <c r="V26" i="40"/>
  <c r="AI27" i="40"/>
  <c r="V28" i="40"/>
  <c r="AI34" i="40"/>
  <c r="AH41" i="40"/>
  <c r="AH43" i="40"/>
  <c r="AI45" i="40"/>
  <c r="V48" i="40"/>
  <c r="U52" i="40"/>
  <c r="U58" i="40"/>
  <c r="AH59" i="40"/>
  <c r="U60" i="40"/>
  <c r="V61" i="40"/>
  <c r="V63" i="40"/>
  <c r="AI65" i="40"/>
  <c r="AH73" i="40"/>
  <c r="AH79" i="40"/>
  <c r="AI80" i="40"/>
  <c r="AI82" i="40"/>
  <c r="AI4" i="40"/>
  <c r="AI14" i="40"/>
  <c r="U15" i="40"/>
  <c r="V21" i="40"/>
  <c r="AH27" i="40"/>
  <c r="AH28" i="40"/>
  <c r="AI29" i="40"/>
  <c r="V30" i="40"/>
  <c r="V31" i="40"/>
  <c r="AI33" i="40"/>
  <c r="AH34" i="40"/>
  <c r="AI37" i="40"/>
  <c r="U39" i="40"/>
  <c r="AH44" i="40"/>
  <c r="AH45" i="40"/>
  <c r="U51" i="40"/>
  <c r="U55" i="40"/>
  <c r="U56" i="40"/>
  <c r="AH57" i="40"/>
  <c r="U59" i="40"/>
  <c r="AI62" i="40"/>
  <c r="AI68" i="40"/>
  <c r="AI71" i="40"/>
  <c r="AH75" i="40"/>
  <c r="U78" i="40"/>
  <c r="AH80" i="40"/>
  <c r="AH82" i="40"/>
  <c r="AI84" i="40"/>
  <c r="AI12" i="40"/>
  <c r="AH15" i="40"/>
  <c r="AH18" i="40"/>
  <c r="AI7" i="40"/>
  <c r="V8" i="40"/>
  <c r="AI10" i="40"/>
  <c r="AH11" i="40"/>
  <c r="V12" i="40"/>
  <c r="AI13" i="40"/>
  <c r="U18" i="40"/>
  <c r="AI20" i="40"/>
  <c r="AI23" i="40"/>
  <c r="AI24" i="40"/>
  <c r="U25" i="40"/>
  <c r="AH35" i="40"/>
  <c r="AH37" i="40"/>
  <c r="U40" i="40"/>
  <c r="AH49" i="40"/>
  <c r="AI53" i="40"/>
  <c r="AH71" i="40"/>
  <c r="V73" i="40"/>
  <c r="AH13" i="40"/>
  <c r="AI17" i="40"/>
  <c r="AH23" i="40"/>
  <c r="U36" i="40"/>
  <c r="AI39" i="40"/>
  <c r="U41" i="40"/>
  <c r="V42" i="40"/>
  <c r="U43" i="40"/>
  <c r="U46" i="40"/>
  <c r="AI47" i="40"/>
  <c r="U49" i="40"/>
  <c r="AI51" i="40"/>
  <c r="AH53" i="40"/>
  <c r="AI55" i="40"/>
  <c r="U57" i="40"/>
  <c r="AI63" i="40"/>
  <c r="AI66" i="40"/>
  <c r="V70" i="40"/>
  <c r="AI74" i="40"/>
  <c r="U76" i="40"/>
  <c r="V77" i="40"/>
  <c r="AP10" i="1"/>
  <c r="AQ10" i="1" s="1"/>
  <c r="W10" i="10"/>
  <c r="X10" i="10" s="1"/>
  <c r="G13" i="10"/>
  <c r="W13" i="1"/>
  <c r="S16" i="10"/>
  <c r="T16" i="10"/>
  <c r="AH16" i="1"/>
  <c r="W40" i="10"/>
  <c r="X40" i="10" s="1"/>
  <c r="AJ40" i="1"/>
  <c r="AP40" i="1"/>
  <c r="AQ40" i="1" s="1"/>
  <c r="E18" i="9"/>
  <c r="AH5" i="40"/>
  <c r="AH8" i="40"/>
  <c r="AH29" i="40"/>
  <c r="U32" i="40"/>
  <c r="J12" i="10"/>
  <c r="K12" i="10" s="1"/>
  <c r="Y12" i="1"/>
  <c r="J18" i="10"/>
  <c r="K18" i="10" s="1"/>
  <c r="Y18" i="1"/>
  <c r="T24" i="10"/>
  <c r="S24" i="10"/>
  <c r="J36" i="10"/>
  <c r="K36" i="10" s="1"/>
  <c r="Y36" i="1"/>
  <c r="G76" i="10"/>
  <c r="F76" i="10"/>
  <c r="W76" i="1"/>
  <c r="F18" i="9"/>
  <c r="AI15" i="40"/>
  <c r="AI18" i="40"/>
  <c r="U22" i="40"/>
  <c r="J21" i="10"/>
  <c r="K21" i="10" s="1"/>
  <c r="Y21" i="1"/>
  <c r="Y30" i="2"/>
  <c r="AP30" i="2"/>
  <c r="AQ30" i="2" s="1"/>
  <c r="AJ85" i="3"/>
  <c r="Y37" i="20"/>
  <c r="AP37" i="20"/>
  <c r="AQ37" i="20" s="1"/>
  <c r="V9" i="40"/>
  <c r="G50" i="10"/>
  <c r="F50" i="10"/>
  <c r="W50" i="1"/>
  <c r="J63" i="10"/>
  <c r="K63" i="10" s="1"/>
  <c r="Y63" i="1"/>
  <c r="S72" i="10"/>
  <c r="T72" i="10"/>
  <c r="AH72" i="1"/>
  <c r="S75" i="10"/>
  <c r="T75" i="10"/>
  <c r="W85" i="10"/>
  <c r="X85" i="10" s="1"/>
  <c r="AP85" i="1"/>
  <c r="AQ85" i="1" s="1"/>
  <c r="Y10" i="2"/>
  <c r="Y67" i="3"/>
  <c r="AP67" i="3"/>
  <c r="AQ67" i="3" s="1"/>
  <c r="AP21" i="20"/>
  <c r="AQ21" i="20" s="1"/>
  <c r="AJ21" i="20"/>
  <c r="W15" i="10"/>
  <c r="X15" i="10" s="1"/>
  <c r="AJ15" i="1"/>
  <c r="J24" i="10"/>
  <c r="K24" i="10" s="1"/>
  <c r="Y24" i="1"/>
  <c r="F56" i="10"/>
  <c r="G56" i="10"/>
  <c r="W56" i="1"/>
  <c r="W81" i="10"/>
  <c r="X81" i="10" s="1"/>
  <c r="AP81" i="1"/>
  <c r="AQ81" i="1" s="1"/>
  <c r="AJ81" i="1"/>
  <c r="AP33" i="20"/>
  <c r="AQ33" i="20" s="1"/>
  <c r="AJ33" i="20"/>
  <c r="Y28" i="21"/>
  <c r="AP28" i="21"/>
  <c r="AQ28" i="21" s="1"/>
  <c r="U8" i="40"/>
  <c r="AH32" i="40"/>
  <c r="T26" i="10"/>
  <c r="S26" i="10"/>
  <c r="AH26" i="1"/>
  <c r="G29" i="10"/>
  <c r="F29" i="10"/>
  <c r="W29" i="1"/>
  <c r="S33" i="10"/>
  <c r="T33" i="10"/>
  <c r="AH33" i="1"/>
  <c r="G41" i="10"/>
  <c r="F41" i="10"/>
  <c r="W41" i="1"/>
  <c r="AJ33" i="2"/>
  <c r="AP11" i="20"/>
  <c r="AQ11" i="20" s="1"/>
  <c r="Y11" i="20"/>
  <c r="AP69" i="20"/>
  <c r="AQ69" i="20" s="1"/>
  <c r="AJ69" i="20"/>
  <c r="U12" i="40"/>
  <c r="AH12" i="40"/>
  <c r="V18" i="40"/>
  <c r="AH22" i="40"/>
  <c r="U26" i="40"/>
  <c r="W32" i="10"/>
  <c r="X32" i="10" s="1"/>
  <c r="AP32" i="1"/>
  <c r="AQ32" i="1" s="1"/>
  <c r="AJ32" i="1"/>
  <c r="S43" i="10"/>
  <c r="T43" i="10"/>
  <c r="AH43" i="1"/>
  <c r="T54" i="10"/>
  <c r="S54" i="10"/>
  <c r="AH54" i="1"/>
  <c r="W70" i="10"/>
  <c r="X70" i="10" s="1"/>
  <c r="AP70" i="1"/>
  <c r="AQ70" i="1" s="1"/>
  <c r="AJ70" i="1"/>
  <c r="AJ18" i="2"/>
  <c r="AP23" i="2"/>
  <c r="AQ23" i="2" s="1"/>
  <c r="Y23" i="2"/>
  <c r="AP53" i="2"/>
  <c r="AQ53" i="2" s="1"/>
  <c r="AJ53" i="2"/>
  <c r="U13" i="40"/>
  <c r="AH19" i="40"/>
  <c r="U27" i="40"/>
  <c r="U30" i="40"/>
  <c r="V59" i="40"/>
  <c r="Y15" i="1"/>
  <c r="J40" i="10"/>
  <c r="K40" i="10" s="1"/>
  <c r="Y40" i="1"/>
  <c r="W42" i="10"/>
  <c r="X42" i="10" s="1"/>
  <c r="AP42" i="1"/>
  <c r="AQ42" i="1" s="1"/>
  <c r="AI9" i="40"/>
  <c r="V23" i="40"/>
  <c r="AI30" i="40"/>
  <c r="U35" i="40"/>
  <c r="V49" i="40"/>
  <c r="AI59" i="40"/>
  <c r="V81" i="40"/>
  <c r="AI83" i="40"/>
  <c r="W6" i="10"/>
  <c r="X6" i="10" s="1"/>
  <c r="AP6" i="1"/>
  <c r="AQ6" i="1" s="1"/>
  <c r="G14" i="10"/>
  <c r="F14" i="10"/>
  <c r="W17" i="10"/>
  <c r="X17" i="10" s="1"/>
  <c r="AP17" i="1"/>
  <c r="AQ17" i="1" s="1"/>
  <c r="AJ17" i="1"/>
  <c r="AH24" i="1"/>
  <c r="S28" i="10"/>
  <c r="T28" i="10"/>
  <c r="AH28" i="1"/>
  <c r="J31" i="10"/>
  <c r="K31" i="10" s="1"/>
  <c r="Y31" i="1"/>
  <c r="W33" i="10"/>
  <c r="X33" i="10" s="1"/>
  <c r="AP33" i="1"/>
  <c r="AQ33" i="1" s="1"/>
  <c r="G39" i="10"/>
  <c r="F39" i="10"/>
  <c r="W39" i="1"/>
  <c r="AJ42" i="1"/>
  <c r="T48" i="10"/>
  <c r="S48" i="10"/>
  <c r="AH48" i="1"/>
  <c r="T56" i="10"/>
  <c r="S56" i="10"/>
  <c r="AH56" i="1"/>
  <c r="S63" i="10"/>
  <c r="T63" i="10"/>
  <c r="AH63" i="1"/>
  <c r="G65" i="10"/>
  <c r="F65" i="10"/>
  <c r="W67" i="10"/>
  <c r="X67" i="10" s="1"/>
  <c r="AP67" i="1"/>
  <c r="AQ67" i="1" s="1"/>
  <c r="AJ67" i="1"/>
  <c r="W77" i="10"/>
  <c r="X77" i="10" s="1"/>
  <c r="AP77" i="1"/>
  <c r="AQ77" i="1" s="1"/>
  <c r="AJ77" i="1"/>
  <c r="AJ85" i="1"/>
  <c r="Y38" i="2"/>
  <c r="AP38" i="2"/>
  <c r="AQ38" i="2" s="1"/>
  <c r="AP51" i="2"/>
  <c r="AQ51" i="2" s="1"/>
  <c r="Y51" i="2"/>
  <c r="AP75" i="2"/>
  <c r="AQ75" i="2" s="1"/>
  <c r="Y75" i="2"/>
  <c r="Y43" i="3"/>
  <c r="AP43" i="3"/>
  <c r="AQ43" i="3" s="1"/>
  <c r="Y54" i="3"/>
  <c r="AP54" i="3"/>
  <c r="AQ54" i="3" s="1"/>
  <c r="Y78" i="3"/>
  <c r="AP78" i="3"/>
  <c r="AQ78" i="3" s="1"/>
  <c r="W71" i="10"/>
  <c r="X71" i="10" s="1"/>
  <c r="E17" i="9"/>
  <c r="AH4" i="40"/>
  <c r="U7" i="40"/>
  <c r="U10" i="40"/>
  <c r="AH10" i="40"/>
  <c r="V16" i="40"/>
  <c r="U17" i="40"/>
  <c r="U31" i="40"/>
  <c r="V34" i="40"/>
  <c r="V45" i="40"/>
  <c r="U47" i="40"/>
  <c r="AI49" i="40"/>
  <c r="V52" i="40"/>
  <c r="V58" i="40"/>
  <c r="AH60" i="40"/>
  <c r="U61" i="40"/>
  <c r="AH66" i="40"/>
  <c r="AI67" i="40"/>
  <c r="AI73" i="40"/>
  <c r="U77" i="40"/>
  <c r="V80" i="40"/>
  <c r="AI81" i="40"/>
  <c r="AH83" i="40"/>
  <c r="V84" i="40"/>
  <c r="AJ6" i="1"/>
  <c r="J8" i="10"/>
  <c r="K8" i="10" s="1"/>
  <c r="Y8" i="1"/>
  <c r="AH10" i="1"/>
  <c r="J11" i="10"/>
  <c r="K11" i="10" s="1"/>
  <c r="Y11" i="1"/>
  <c r="G18" i="10"/>
  <c r="F18" i="10"/>
  <c r="W18" i="10"/>
  <c r="X18" i="10" s="1"/>
  <c r="AJ18" i="1"/>
  <c r="W20" i="1"/>
  <c r="J23" i="10"/>
  <c r="K23" i="10" s="1"/>
  <c r="G24" i="10"/>
  <c r="F24" i="10"/>
  <c r="W24" i="1"/>
  <c r="G30" i="10"/>
  <c r="F30" i="10"/>
  <c r="S31" i="10"/>
  <c r="T31" i="10"/>
  <c r="AH31" i="1"/>
  <c r="AJ33" i="1"/>
  <c r="J35" i="10"/>
  <c r="K35" i="10" s="1"/>
  <c r="Y35" i="1"/>
  <c r="Y38" i="1"/>
  <c r="Y41" i="1"/>
  <c r="W43" i="10"/>
  <c r="X43" i="10" s="1"/>
  <c r="AJ43" i="1"/>
  <c r="F54" i="10"/>
  <c r="G54" i="10"/>
  <c r="W54" i="1"/>
  <c r="W54" i="10"/>
  <c r="X54" i="10" s="1"/>
  <c r="AP54" i="1"/>
  <c r="AQ54" i="1" s="1"/>
  <c r="AJ54" i="1"/>
  <c r="S69" i="10"/>
  <c r="T69" i="10"/>
  <c r="AH69" i="1"/>
  <c r="AP71" i="1"/>
  <c r="AQ71" i="1" s="1"/>
  <c r="G78" i="10"/>
  <c r="F78" i="10"/>
  <c r="W78" i="1"/>
  <c r="Y82" i="1"/>
  <c r="AH12" i="2"/>
  <c r="J10" i="40" s="1"/>
  <c r="AP35" i="2"/>
  <c r="AQ35" i="2" s="1"/>
  <c r="AJ41" i="2"/>
  <c r="AJ49" i="2"/>
  <c r="AP86" i="2"/>
  <c r="AQ86" i="2" s="1"/>
  <c r="AP28" i="3"/>
  <c r="AQ28" i="3" s="1"/>
  <c r="AP45" i="3"/>
  <c r="AQ45" i="3" s="1"/>
  <c r="AJ45" i="3"/>
  <c r="Y26" i="21"/>
  <c r="AP26" i="21"/>
  <c r="AQ26" i="21" s="1"/>
  <c r="AP56" i="21"/>
  <c r="AQ56" i="21" s="1"/>
  <c r="Y56" i="21"/>
  <c r="J74" i="10"/>
  <c r="K74" i="10" s="1"/>
  <c r="Y74" i="1"/>
  <c r="AP74" i="1"/>
  <c r="AQ74" i="1" s="1"/>
  <c r="G84" i="10"/>
  <c r="F84" i="10"/>
  <c r="T9" i="10"/>
  <c r="S9" i="10"/>
  <c r="AJ10" i="1"/>
  <c r="S17" i="10"/>
  <c r="T17" i="10"/>
  <c r="AH17" i="1"/>
  <c r="W22" i="10"/>
  <c r="X22" i="10" s="1"/>
  <c r="AP22" i="1"/>
  <c r="AQ22" i="1" s="1"/>
  <c r="AJ22" i="1"/>
  <c r="U19" i="40"/>
  <c r="AH26" i="40"/>
  <c r="W11" i="10"/>
  <c r="X11" i="10" s="1"/>
  <c r="AJ11" i="1"/>
  <c r="T12" i="10"/>
  <c r="AH12" i="1"/>
  <c r="F23" i="10"/>
  <c r="G23" i="10"/>
  <c r="W23" i="1"/>
  <c r="F60" i="10"/>
  <c r="G60" i="10"/>
  <c r="V57" i="40"/>
  <c r="V44" i="40"/>
  <c r="AI57" i="40"/>
  <c r="G6" i="10"/>
  <c r="F6" i="10"/>
  <c r="G9" i="10"/>
  <c r="F9" i="10"/>
  <c r="W9" i="1"/>
  <c r="AH7" i="40"/>
  <c r="U14" i="40"/>
  <c r="AH14" i="40"/>
  <c r="AH17" i="40"/>
  <c r="U20" i="40"/>
  <c r="AH20" i="40"/>
  <c r="U24" i="40"/>
  <c r="AH24" i="40"/>
  <c r="AH31" i="40"/>
  <c r="AI35" i="40"/>
  <c r="AH36" i="40"/>
  <c r="AH40" i="40"/>
  <c r="V56" i="40"/>
  <c r="V60" i="40"/>
  <c r="AH68" i="40"/>
  <c r="V74" i="40"/>
  <c r="AH76" i="40"/>
  <c r="U79" i="40"/>
  <c r="AH81" i="40"/>
  <c r="T8" i="10"/>
  <c r="AH8" i="1"/>
  <c r="AP18" i="1"/>
  <c r="AQ18" i="1" s="1"/>
  <c r="T22" i="10"/>
  <c r="S22" i="10"/>
  <c r="AH22" i="1"/>
  <c r="T29" i="10"/>
  <c r="S29" i="10"/>
  <c r="AP36" i="1"/>
  <c r="AQ36" i="1" s="1"/>
  <c r="W47" i="10"/>
  <c r="X47" i="10" s="1"/>
  <c r="AJ47" i="1"/>
  <c r="AP47" i="1"/>
  <c r="AQ47" i="1" s="1"/>
  <c r="J50" i="10"/>
  <c r="K50" i="10" s="1"/>
  <c r="Y50" i="1"/>
  <c r="F55" i="10"/>
  <c r="G55" i="10"/>
  <c r="W55" i="1"/>
  <c r="J60" i="10"/>
  <c r="K60" i="10" s="1"/>
  <c r="Y60" i="1"/>
  <c r="AH75" i="1"/>
  <c r="AH76" i="1"/>
  <c r="AP21" i="2"/>
  <c r="AQ21" i="2" s="1"/>
  <c r="AJ21" i="2"/>
  <c r="AP22" i="2"/>
  <c r="AQ22" i="2" s="1"/>
  <c r="AJ22" i="2"/>
  <c r="Y46" i="2"/>
  <c r="AP46" i="2"/>
  <c r="AQ46" i="2" s="1"/>
  <c r="AP14" i="3"/>
  <c r="AQ14" i="3" s="1"/>
  <c r="Y14" i="3"/>
  <c r="Y40" i="3"/>
  <c r="AP40" i="3"/>
  <c r="AQ40" i="3" s="1"/>
  <c r="AP46" i="3"/>
  <c r="AQ46" i="3" s="1"/>
  <c r="AJ46" i="3"/>
  <c r="AP64" i="3"/>
  <c r="AQ64" i="3" s="1"/>
  <c r="Y64" i="3"/>
  <c r="AP49" i="20"/>
  <c r="AQ49" i="20" s="1"/>
  <c r="Y77" i="20"/>
  <c r="AP77" i="20"/>
  <c r="AQ77" i="20" s="1"/>
  <c r="AJ79" i="20"/>
  <c r="W79" i="10"/>
  <c r="X79" i="10" s="1"/>
  <c r="AP75" i="21"/>
  <c r="AQ75" i="21" s="1"/>
  <c r="AJ75" i="21"/>
  <c r="S12" i="10"/>
  <c r="F13" i="10"/>
  <c r="G20" i="10"/>
  <c r="S46" i="10"/>
  <c r="T46" i="10"/>
  <c r="AH46" i="1"/>
  <c r="G62" i="10"/>
  <c r="F62" i="10"/>
  <c r="W62" i="1"/>
  <c r="Y18" i="3"/>
  <c r="AP18" i="3"/>
  <c r="AQ18" i="3" s="1"/>
  <c r="G22" i="10"/>
  <c r="F22" i="10"/>
  <c r="W22" i="1"/>
  <c r="W45" i="10"/>
  <c r="X45" i="10" s="1"/>
  <c r="AJ45" i="1"/>
  <c r="F57" i="10"/>
  <c r="G57" i="10"/>
  <c r="AP67" i="2"/>
  <c r="AQ67" i="2" s="1"/>
  <c r="Y67" i="2"/>
  <c r="AP27" i="3"/>
  <c r="AQ27" i="3" s="1"/>
  <c r="AJ27" i="3"/>
  <c r="U50" i="40"/>
  <c r="V50" i="40"/>
  <c r="U83" i="40"/>
  <c r="Y7" i="1"/>
  <c r="W50" i="10"/>
  <c r="X50" i="10" s="1"/>
  <c r="AJ50" i="1"/>
  <c r="Y55" i="1"/>
  <c r="G70" i="10"/>
  <c r="F70" i="10"/>
  <c r="W70" i="1"/>
  <c r="AJ7" i="2"/>
  <c r="AP7" i="2"/>
  <c r="AQ7" i="2" s="1"/>
  <c r="I18" i="9"/>
  <c r="U66" i="40"/>
  <c r="V66" i="40"/>
  <c r="U73" i="40"/>
  <c r="U67" i="40"/>
  <c r="F17" i="9"/>
  <c r="U11" i="40"/>
  <c r="V36" i="40"/>
  <c r="U38" i="40"/>
  <c r="V40" i="40"/>
  <c r="U42" i="40"/>
  <c r="U48" i="40"/>
  <c r="AI50" i="40"/>
  <c r="AH52" i="40"/>
  <c r="U54" i="40"/>
  <c r="AH58" i="40"/>
  <c r="AI61" i="40"/>
  <c r="U63" i="40"/>
  <c r="V68" i="40"/>
  <c r="U70" i="40"/>
  <c r="V76" i="40"/>
  <c r="AI77" i="40"/>
  <c r="W6" i="1"/>
  <c r="W7" i="10"/>
  <c r="X7" i="10" s="1"/>
  <c r="AJ7" i="1"/>
  <c r="AP7" i="1"/>
  <c r="AQ7" i="1" s="1"/>
  <c r="G10" i="10"/>
  <c r="F10" i="10"/>
  <c r="AP12" i="1"/>
  <c r="AQ12" i="1" s="1"/>
  <c r="W14" i="1"/>
  <c r="W15" i="1"/>
  <c r="J16" i="10"/>
  <c r="K16" i="10" s="1"/>
  <c r="Y16" i="1"/>
  <c r="AP16" i="1"/>
  <c r="AQ16" i="1" s="1"/>
  <c r="F25" i="10"/>
  <c r="G25" i="10"/>
  <c r="G27" i="10"/>
  <c r="F27" i="10"/>
  <c r="W27" i="1"/>
  <c r="W27" i="10"/>
  <c r="X27" i="10" s="1"/>
  <c r="AJ27" i="1"/>
  <c r="AP27" i="1"/>
  <c r="AQ27" i="1" s="1"/>
  <c r="W28" i="10"/>
  <c r="X28" i="10" s="1"/>
  <c r="AP28" i="1"/>
  <c r="AQ28" i="1" s="1"/>
  <c r="AH32" i="1"/>
  <c r="G34" i="10"/>
  <c r="F34" i="10"/>
  <c r="W34" i="1"/>
  <c r="G37" i="10"/>
  <c r="F37" i="10"/>
  <c r="W37" i="1"/>
  <c r="AP37" i="1"/>
  <c r="AQ37" i="1" s="1"/>
  <c r="W37" i="10"/>
  <c r="X37" i="10" s="1"/>
  <c r="G40" i="10"/>
  <c r="F40" i="10"/>
  <c r="G44" i="10"/>
  <c r="F44" i="10"/>
  <c r="W44" i="1"/>
  <c r="W44" i="10"/>
  <c r="X44" i="10" s="1"/>
  <c r="AP44" i="1"/>
  <c r="AQ44" i="1" s="1"/>
  <c r="AJ44" i="1"/>
  <c r="F52" i="10"/>
  <c r="G52" i="10"/>
  <c r="J53" i="10"/>
  <c r="K53" i="10" s="1"/>
  <c r="Y53" i="1"/>
  <c r="AP53" i="1"/>
  <c r="AQ53" i="1" s="1"/>
  <c r="W61" i="10"/>
  <c r="X61" i="10" s="1"/>
  <c r="AP61" i="1"/>
  <c r="AQ61" i="1" s="1"/>
  <c r="AJ61" i="1"/>
  <c r="W62" i="10"/>
  <c r="X62" i="10" s="1"/>
  <c r="AJ62" i="1"/>
  <c r="AP62" i="1"/>
  <c r="AQ62" i="1" s="1"/>
  <c r="W63" i="10"/>
  <c r="X63" i="10" s="1"/>
  <c r="AP63" i="1"/>
  <c r="AQ63" i="1" s="1"/>
  <c r="W65" i="1"/>
  <c r="AH73" i="1"/>
  <c r="AP77" i="3"/>
  <c r="AQ77" i="3" s="1"/>
  <c r="AJ77" i="3"/>
  <c r="AP79" i="20"/>
  <c r="AQ79" i="20" s="1"/>
  <c r="U72" i="40"/>
  <c r="U82" i="40"/>
  <c r="T13" i="10"/>
  <c r="S13" i="10"/>
  <c r="S21" i="10"/>
  <c r="T21" i="10"/>
  <c r="AH21" i="1"/>
  <c r="W23" i="10"/>
  <c r="X23" i="10" s="1"/>
  <c r="AJ23" i="1"/>
  <c r="AP23" i="1"/>
  <c r="AQ23" i="1" s="1"/>
  <c r="J25" i="10"/>
  <c r="K25" i="10" s="1"/>
  <c r="Y25" i="1"/>
  <c r="S27" i="10"/>
  <c r="T27" i="10"/>
  <c r="J28" i="10"/>
  <c r="K28" i="10" s="1"/>
  <c r="Y28" i="1"/>
  <c r="F35" i="10"/>
  <c r="G35" i="10"/>
  <c r="W35" i="1"/>
  <c r="W38" i="1"/>
  <c r="W38" i="10"/>
  <c r="X38" i="10" s="1"/>
  <c r="AP38" i="1"/>
  <c r="AQ38" i="1" s="1"/>
  <c r="S39" i="10"/>
  <c r="T39" i="10"/>
  <c r="S42" i="10"/>
  <c r="AH42" i="1"/>
  <c r="W45" i="1"/>
  <c r="J46" i="10"/>
  <c r="K46" i="10" s="1"/>
  <c r="Y46" i="1"/>
  <c r="S49" i="10"/>
  <c r="T49" i="10"/>
  <c r="J56" i="10"/>
  <c r="K56" i="10" s="1"/>
  <c r="Y56" i="1"/>
  <c r="AP56" i="1"/>
  <c r="AQ56" i="1" s="1"/>
  <c r="J58" i="10"/>
  <c r="K58" i="10" s="1"/>
  <c r="Y58" i="1"/>
  <c r="T64" i="10"/>
  <c r="S64" i="10"/>
  <c r="W67" i="1"/>
  <c r="J72" i="10"/>
  <c r="K72" i="10" s="1"/>
  <c r="Y72" i="1"/>
  <c r="W73" i="10"/>
  <c r="X73" i="10" s="1"/>
  <c r="AP73" i="1"/>
  <c r="AQ73" i="1" s="1"/>
  <c r="AJ73" i="1"/>
  <c r="AH84" i="1"/>
  <c r="W86" i="10"/>
  <c r="X86" i="10" s="1"/>
  <c r="AJ86" i="1"/>
  <c r="AP86" i="1"/>
  <c r="AQ86" i="1" s="1"/>
  <c r="AP11" i="2"/>
  <c r="AQ11" i="2" s="1"/>
  <c r="Y11" i="2"/>
  <c r="Y13" i="2"/>
  <c r="AP13" i="2"/>
  <c r="AQ13" i="2" s="1"/>
  <c r="W62" i="3"/>
  <c r="D60" i="40" s="1"/>
  <c r="AH73" i="3"/>
  <c r="K71" i="40" s="1"/>
  <c r="W84" i="3"/>
  <c r="D82" i="40" s="1"/>
  <c r="AP25" i="20"/>
  <c r="AQ25" i="20" s="1"/>
  <c r="AJ25" i="20"/>
  <c r="AP78" i="20"/>
  <c r="AQ78" i="20" s="1"/>
  <c r="Y78" i="20"/>
  <c r="T44" i="10"/>
  <c r="S44" i="10"/>
  <c r="J51" i="10"/>
  <c r="K51" i="10" s="1"/>
  <c r="S53" i="10"/>
  <c r="T53" i="10"/>
  <c r="AH53" i="1"/>
  <c r="W55" i="10"/>
  <c r="X55" i="10" s="1"/>
  <c r="AJ55" i="1"/>
  <c r="AP55" i="1"/>
  <c r="AQ55" i="1" s="1"/>
  <c r="G63" i="10"/>
  <c r="W63" i="1"/>
  <c r="G64" i="10"/>
  <c r="F64" i="10"/>
  <c r="W64" i="1"/>
  <c r="S70" i="10"/>
  <c r="J71" i="10"/>
  <c r="K71" i="10" s="1"/>
  <c r="S80" i="10"/>
  <c r="T80" i="10"/>
  <c r="AH80" i="1"/>
  <c r="W82" i="10"/>
  <c r="X82" i="10" s="1"/>
  <c r="AP82" i="1"/>
  <c r="AQ82" i="1" s="1"/>
  <c r="S83" i="10"/>
  <c r="T83" i="10"/>
  <c r="Y14" i="2"/>
  <c r="AP14" i="2"/>
  <c r="AQ14" i="2" s="1"/>
  <c r="Y50" i="3"/>
  <c r="AP50" i="3"/>
  <c r="AQ50" i="3" s="1"/>
  <c r="Y85" i="21"/>
  <c r="AP85" i="21"/>
  <c r="AQ85" i="21" s="1"/>
  <c r="W14" i="10"/>
  <c r="X14" i="10" s="1"/>
  <c r="W49" i="10"/>
  <c r="X49" i="10" s="1"/>
  <c r="AP49" i="1"/>
  <c r="AQ49" i="1" s="1"/>
  <c r="AJ49" i="1"/>
  <c r="T59" i="10"/>
  <c r="S59" i="10"/>
  <c r="S61" i="10"/>
  <c r="AH61" i="1"/>
  <c r="T61" i="10"/>
  <c r="J68" i="10"/>
  <c r="K68" i="10" s="1"/>
  <c r="Y68" i="1"/>
  <c r="W77" i="1"/>
  <c r="AP12" i="2"/>
  <c r="AQ12" i="2" s="1"/>
  <c r="AJ12" i="2"/>
  <c r="W17" i="2"/>
  <c r="C15" i="40" s="1"/>
  <c r="AH19" i="2"/>
  <c r="J17" i="40" s="1"/>
  <c r="AH59" i="2"/>
  <c r="J57" i="40" s="1"/>
  <c r="Y78" i="2"/>
  <c r="AP78" i="2"/>
  <c r="AQ78" i="2" s="1"/>
  <c r="AH83" i="2"/>
  <c r="J81" i="40" s="1"/>
  <c r="W52" i="3"/>
  <c r="D50" i="40" s="1"/>
  <c r="AH69" i="3"/>
  <c r="K67" i="40" s="1"/>
  <c r="AJ74" i="3"/>
  <c r="AP12" i="20"/>
  <c r="AQ12" i="20" s="1"/>
  <c r="AP18" i="20"/>
  <c r="AQ18" i="20" s="1"/>
  <c r="Y18" i="20"/>
  <c r="F17" i="10"/>
  <c r="T19" i="10"/>
  <c r="W25" i="10"/>
  <c r="X25" i="10" s="1"/>
  <c r="J26" i="10"/>
  <c r="K26" i="10" s="1"/>
  <c r="G32" i="10"/>
  <c r="F32" i="10"/>
  <c r="S34" i="10"/>
  <c r="T34" i="10"/>
  <c r="AH34" i="1"/>
  <c r="W35" i="10"/>
  <c r="X35" i="10" s="1"/>
  <c r="AJ35" i="1"/>
  <c r="T36" i="10"/>
  <c r="S36" i="10"/>
  <c r="S41" i="10"/>
  <c r="T41" i="10"/>
  <c r="G42" i="10"/>
  <c r="F42" i="10"/>
  <c r="G47" i="10"/>
  <c r="F47" i="10"/>
  <c r="W47" i="1"/>
  <c r="J48" i="10"/>
  <c r="K48" i="10" s="1"/>
  <c r="Y48" i="1"/>
  <c r="G49" i="10"/>
  <c r="F49" i="10"/>
  <c r="S51" i="10"/>
  <c r="T51" i="10"/>
  <c r="W57" i="10"/>
  <c r="X57" i="10" s="1"/>
  <c r="AP57" i="1"/>
  <c r="AQ57" i="1" s="1"/>
  <c r="W65" i="10"/>
  <c r="X65" i="10" s="1"/>
  <c r="AP65" i="1"/>
  <c r="AQ65" i="1" s="1"/>
  <c r="G73" i="10"/>
  <c r="F73" i="10"/>
  <c r="W73" i="1"/>
  <c r="G81" i="10"/>
  <c r="F81" i="10"/>
  <c r="AP59" i="2"/>
  <c r="AQ59" i="2" s="1"/>
  <c r="Y59" i="2"/>
  <c r="W61" i="2"/>
  <c r="C59" i="40" s="1"/>
  <c r="AH67" i="2"/>
  <c r="J65" i="40" s="1"/>
  <c r="AP8" i="3"/>
  <c r="AQ8" i="3" s="1"/>
  <c r="AJ8" i="3"/>
  <c r="AH40" i="3"/>
  <c r="K38" i="40" s="1"/>
  <c r="W45" i="3"/>
  <c r="D43" i="40" s="1"/>
  <c r="W77" i="3"/>
  <c r="D75" i="40" s="1"/>
  <c r="AP27" i="20"/>
  <c r="AQ27" i="20" s="1"/>
  <c r="AP38" i="20"/>
  <c r="AQ38" i="20" s="1"/>
  <c r="AJ38" i="20"/>
  <c r="AH62" i="21"/>
  <c r="M60" i="40" s="1"/>
  <c r="T7" i="10"/>
  <c r="S7" i="10"/>
  <c r="G8" i="10"/>
  <c r="F8" i="10"/>
  <c r="J10" i="10"/>
  <c r="K10" i="10" s="1"/>
  <c r="T11" i="10"/>
  <c r="S11" i="10"/>
  <c r="G12" i="10"/>
  <c r="F12" i="10"/>
  <c r="J14" i="10"/>
  <c r="K14" i="10" s="1"/>
  <c r="T15" i="10"/>
  <c r="S15" i="10"/>
  <c r="G16" i="10"/>
  <c r="F16" i="10"/>
  <c r="G19" i="10"/>
  <c r="F19" i="10"/>
  <c r="W19" i="1"/>
  <c r="J20" i="10"/>
  <c r="K20" i="10" s="1"/>
  <c r="Y20" i="1"/>
  <c r="G21" i="10"/>
  <c r="F21" i="10"/>
  <c r="S23" i="10"/>
  <c r="T23" i="10"/>
  <c r="J30" i="10"/>
  <c r="K30" i="10" s="1"/>
  <c r="G36" i="10"/>
  <c r="F36" i="10"/>
  <c r="J37" i="10"/>
  <c r="K37" i="10" s="1"/>
  <c r="S38" i="10"/>
  <c r="T38" i="10"/>
  <c r="AH38" i="1"/>
  <c r="W39" i="10"/>
  <c r="X39" i="10" s="1"/>
  <c r="AJ39" i="1"/>
  <c r="T40" i="10"/>
  <c r="S40" i="10"/>
  <c r="T45" i="10"/>
  <c r="S45" i="10"/>
  <c r="G46" i="10"/>
  <c r="F46" i="10"/>
  <c r="G51" i="10"/>
  <c r="F51" i="10"/>
  <c r="W51" i="1"/>
  <c r="J52" i="10"/>
  <c r="K52" i="10" s="1"/>
  <c r="Y52" i="1"/>
  <c r="G53" i="10"/>
  <c r="F53" i="10"/>
  <c r="T55" i="10"/>
  <c r="S55" i="10"/>
  <c r="F58" i="10"/>
  <c r="G58" i="10"/>
  <c r="W59" i="10"/>
  <c r="X59" i="10" s="1"/>
  <c r="AP59" i="1"/>
  <c r="AQ59" i="1" s="1"/>
  <c r="G66" i="10"/>
  <c r="F66" i="10"/>
  <c r="S71" i="10"/>
  <c r="T71" i="10"/>
  <c r="G72" i="10"/>
  <c r="F72" i="10"/>
  <c r="G74" i="10"/>
  <c r="F74" i="10"/>
  <c r="AP76" i="1"/>
  <c r="AQ76" i="1" s="1"/>
  <c r="S77" i="10"/>
  <c r="T77" i="10"/>
  <c r="AP54" i="2"/>
  <c r="AQ54" i="2" s="1"/>
  <c r="W12" i="3"/>
  <c r="D10" i="40" s="1"/>
  <c r="W66" i="3"/>
  <c r="D64" i="40" s="1"/>
  <c r="AP81" i="3"/>
  <c r="AQ81" i="3" s="1"/>
  <c r="AJ81" i="3"/>
  <c r="W47" i="21"/>
  <c r="F45" i="40" s="1"/>
  <c r="G17" i="10"/>
  <c r="Y6" i="1"/>
  <c r="T18" i="10"/>
  <c r="S18" i="10"/>
  <c r="AH18" i="1"/>
  <c r="W19" i="10"/>
  <c r="X19" i="10" s="1"/>
  <c r="AJ19" i="1"/>
  <c r="T20" i="10"/>
  <c r="S20" i="10"/>
  <c r="T25" i="10"/>
  <c r="S25" i="10"/>
  <c r="F26" i="10"/>
  <c r="G26" i="10"/>
  <c r="J27" i="10"/>
  <c r="K27" i="10" s="1"/>
  <c r="G31" i="10"/>
  <c r="F31" i="10"/>
  <c r="W31" i="1"/>
  <c r="J32" i="10"/>
  <c r="K32" i="10" s="1"/>
  <c r="Y32" i="1"/>
  <c r="G33" i="10"/>
  <c r="F33" i="10"/>
  <c r="S35" i="10"/>
  <c r="T35" i="10"/>
  <c r="W41" i="10"/>
  <c r="X41" i="10" s="1"/>
  <c r="W46" i="10"/>
  <c r="X46" i="10" s="1"/>
  <c r="G48" i="10"/>
  <c r="F48" i="10"/>
  <c r="J49" i="10"/>
  <c r="K49" i="10" s="1"/>
  <c r="S50" i="10"/>
  <c r="T50" i="10"/>
  <c r="AH50" i="1"/>
  <c r="W51" i="10"/>
  <c r="X51" i="10" s="1"/>
  <c r="AJ51" i="1"/>
  <c r="T52" i="10"/>
  <c r="S52" i="10"/>
  <c r="S57" i="10"/>
  <c r="T57" i="10"/>
  <c r="J67" i="10"/>
  <c r="K67" i="10" s="1"/>
  <c r="T68" i="10"/>
  <c r="S68" i="10"/>
  <c r="G69" i="10"/>
  <c r="F69" i="10"/>
  <c r="G80" i="10"/>
  <c r="F80" i="10"/>
  <c r="W80" i="1"/>
  <c r="J86" i="10"/>
  <c r="K86" i="10" s="1"/>
  <c r="AH6" i="2"/>
  <c r="J4" i="40" s="1"/>
  <c r="AH11" i="2"/>
  <c r="J9" i="40" s="1"/>
  <c r="W16" i="2"/>
  <c r="C14" i="40" s="1"/>
  <c r="AP16" i="2"/>
  <c r="AQ16" i="2" s="1"/>
  <c r="AJ16" i="2"/>
  <c r="AP24" i="2"/>
  <c r="AQ24" i="2" s="1"/>
  <c r="AJ24" i="2"/>
  <c r="AH41" i="3"/>
  <c r="K39" i="40" s="1"/>
  <c r="Y42" i="3"/>
  <c r="AP42" i="3"/>
  <c r="AQ42" i="3" s="1"/>
  <c r="AP66" i="3"/>
  <c r="AQ66" i="3" s="1"/>
  <c r="AJ66" i="3"/>
  <c r="AP30" i="20"/>
  <c r="AQ30" i="20" s="1"/>
  <c r="AJ30" i="20"/>
  <c r="AH55" i="20"/>
  <c r="L53" i="40" s="1"/>
  <c r="Y61" i="20"/>
  <c r="AP61" i="20"/>
  <c r="AQ61" i="20" s="1"/>
  <c r="AP65" i="20"/>
  <c r="AQ65" i="20" s="1"/>
  <c r="AJ65" i="20"/>
  <c r="AP21" i="21"/>
  <c r="AQ21" i="21" s="1"/>
  <c r="AJ21" i="21"/>
  <c r="AP24" i="21"/>
  <c r="AQ24" i="21" s="1"/>
  <c r="AJ24" i="21"/>
  <c r="AP47" i="21"/>
  <c r="AQ47" i="21" s="1"/>
  <c r="AJ47" i="21"/>
  <c r="J17" i="10"/>
  <c r="K17" i="10" s="1"/>
  <c r="S6" i="10"/>
  <c r="T6" i="10"/>
  <c r="G7" i="10"/>
  <c r="F7" i="10"/>
  <c r="AP9" i="1"/>
  <c r="AQ9" i="1" s="1"/>
  <c r="S10" i="10"/>
  <c r="T10" i="10"/>
  <c r="G11" i="10"/>
  <c r="F11" i="10"/>
  <c r="W12" i="10"/>
  <c r="X12" i="10" s="1"/>
  <c r="J13" i="10"/>
  <c r="K13" i="10" s="1"/>
  <c r="AP13" i="1"/>
  <c r="AQ13" i="1" s="1"/>
  <c r="S14" i="10"/>
  <c r="G15" i="10"/>
  <c r="F15" i="10"/>
  <c r="AP19" i="1"/>
  <c r="AQ19" i="1" s="1"/>
  <c r="W21" i="10"/>
  <c r="X21" i="10" s="1"/>
  <c r="AP24" i="1"/>
  <c r="AQ24" i="1" s="1"/>
  <c r="Y27" i="1"/>
  <c r="G28" i="10"/>
  <c r="F28" i="10"/>
  <c r="AP29" i="1"/>
  <c r="AQ29" i="1" s="1"/>
  <c r="T30" i="10"/>
  <c r="S30" i="10"/>
  <c r="AH30" i="1"/>
  <c r="W31" i="10"/>
  <c r="X31" i="10" s="1"/>
  <c r="AJ31" i="1"/>
  <c r="T32" i="10"/>
  <c r="S32" i="10"/>
  <c r="AP34" i="1"/>
  <c r="AQ34" i="1" s="1"/>
  <c r="AJ36" i="1"/>
  <c r="S37" i="10"/>
  <c r="T37" i="10"/>
  <c r="G38" i="10"/>
  <c r="F38" i="10"/>
  <c r="AJ41" i="1"/>
  <c r="G43" i="10"/>
  <c r="W43" i="1"/>
  <c r="J44" i="10"/>
  <c r="K44" i="10" s="1"/>
  <c r="Y44" i="1"/>
  <c r="G45" i="10"/>
  <c r="F45" i="10"/>
  <c r="AJ46" i="1"/>
  <c r="T47" i="10"/>
  <c r="S47" i="10"/>
  <c r="Y49" i="1"/>
  <c r="AP51" i="1"/>
  <c r="AQ51" i="1" s="1"/>
  <c r="W53" i="10"/>
  <c r="X53" i="10" s="1"/>
  <c r="J54" i="10"/>
  <c r="K54" i="10" s="1"/>
  <c r="Y62" i="1"/>
  <c r="J64" i="10"/>
  <c r="K64" i="10" s="1"/>
  <c r="AP64" i="1"/>
  <c r="AQ64" i="1" s="1"/>
  <c r="S65" i="10"/>
  <c r="T65" i="10"/>
  <c r="AH65" i="1"/>
  <c r="W66" i="10"/>
  <c r="X66" i="10" s="1"/>
  <c r="AP66" i="1"/>
  <c r="AQ66" i="1" s="1"/>
  <c r="Y67" i="1"/>
  <c r="J70" i="10"/>
  <c r="K70" i="10" s="1"/>
  <c r="Y70" i="1"/>
  <c r="S73" i="10"/>
  <c r="T73" i="10"/>
  <c r="W74" i="10"/>
  <c r="X74" i="10" s="1"/>
  <c r="J75" i="10"/>
  <c r="K75" i="10" s="1"/>
  <c r="AP75" i="1"/>
  <c r="AQ75" i="1" s="1"/>
  <c r="S76" i="10"/>
  <c r="T76" i="10"/>
  <c r="G77" i="10"/>
  <c r="F77" i="10"/>
  <c r="J78" i="10"/>
  <c r="K78" i="10" s="1"/>
  <c r="AP78" i="1"/>
  <c r="AQ78" i="1" s="1"/>
  <c r="S79" i="10"/>
  <c r="T79" i="10"/>
  <c r="AH79" i="1"/>
  <c r="AP83" i="1"/>
  <c r="AQ83" i="1" s="1"/>
  <c r="S84" i="10"/>
  <c r="T84" i="10"/>
  <c r="Y86" i="1"/>
  <c r="W8" i="2"/>
  <c r="C6" i="40" s="1"/>
  <c r="W24" i="2"/>
  <c r="C22" i="40" s="1"/>
  <c r="W28" i="2"/>
  <c r="C26" i="40" s="1"/>
  <c r="AP28" i="2"/>
  <c r="AQ28" i="2" s="1"/>
  <c r="AJ28" i="2"/>
  <c r="AJ77" i="2"/>
  <c r="AP83" i="2"/>
  <c r="AQ83" i="2" s="1"/>
  <c r="Y83" i="2"/>
  <c r="W85" i="2"/>
  <c r="C83" i="40" s="1"/>
  <c r="AH11" i="3"/>
  <c r="K9" i="40" s="1"/>
  <c r="AP13" i="3"/>
  <c r="AQ13" i="3" s="1"/>
  <c r="AJ13" i="3"/>
  <c r="AP16" i="3"/>
  <c r="AQ16" i="3" s="1"/>
  <c r="AJ16" i="3"/>
  <c r="AP34" i="3"/>
  <c r="AQ34" i="3" s="1"/>
  <c r="AJ34" i="3"/>
  <c r="AH55" i="3"/>
  <c r="K53" i="40" s="1"/>
  <c r="AH15" i="21"/>
  <c r="M13" i="40" s="1"/>
  <c r="W60" i="21"/>
  <c r="F58" i="40" s="1"/>
  <c r="AP60" i="21"/>
  <c r="AQ60" i="21" s="1"/>
  <c r="AJ60" i="21"/>
  <c r="AJ63" i="21"/>
  <c r="S19" i="10"/>
  <c r="J59" i="10"/>
  <c r="K59" i="10" s="1"/>
  <c r="T60" i="10"/>
  <c r="S60" i="10"/>
  <c r="F61" i="10"/>
  <c r="G61" i="10"/>
  <c r="J66" i="10"/>
  <c r="K66" i="10" s="1"/>
  <c r="S67" i="10"/>
  <c r="T67" i="10"/>
  <c r="G68" i="10"/>
  <c r="F68" i="10"/>
  <c r="W69" i="10"/>
  <c r="X69" i="10" s="1"/>
  <c r="AP69" i="1"/>
  <c r="AQ69" i="1" s="1"/>
  <c r="G85" i="10"/>
  <c r="AH10" i="2"/>
  <c r="J8" i="40" s="1"/>
  <c r="AH27" i="2"/>
  <c r="J25" i="40" s="1"/>
  <c r="AP12" i="3"/>
  <c r="AQ12" i="3" s="1"/>
  <c r="AJ12" i="3"/>
  <c r="W41" i="3"/>
  <c r="D39" i="40" s="1"/>
  <c r="AH44" i="3"/>
  <c r="K42" i="40" s="1"/>
  <c r="W48" i="3"/>
  <c r="D46" i="40" s="1"/>
  <c r="AH51" i="3"/>
  <c r="K49" i="40" s="1"/>
  <c r="W7" i="20"/>
  <c r="E5" i="40" s="1"/>
  <c r="AH11" i="20"/>
  <c r="L9" i="40" s="1"/>
  <c r="AP19" i="20"/>
  <c r="AQ19" i="20" s="1"/>
  <c r="AJ19" i="20"/>
  <c r="AP28" i="20"/>
  <c r="AQ28" i="20" s="1"/>
  <c r="AJ28" i="20"/>
  <c r="AH43" i="20"/>
  <c r="L41" i="40" s="1"/>
  <c r="AH56" i="20"/>
  <c r="L54" i="40" s="1"/>
  <c r="AP64" i="21"/>
  <c r="AQ64" i="21" s="1"/>
  <c r="AJ64" i="21"/>
  <c r="AY43" i="10"/>
  <c r="BK43" i="10" s="1"/>
  <c r="AW50" i="10"/>
  <c r="BI50" i="10" s="1"/>
  <c r="F85" i="10"/>
  <c r="AH23" i="2"/>
  <c r="J21" i="40" s="1"/>
  <c r="W32" i="2"/>
  <c r="C30" i="40" s="1"/>
  <c r="AP32" i="2"/>
  <c r="AQ32" i="2" s="1"/>
  <c r="AJ32" i="2"/>
  <c r="AH7" i="3"/>
  <c r="K5" i="40" s="1"/>
  <c r="AH76" i="3"/>
  <c r="K74" i="40" s="1"/>
  <c r="AP14" i="20"/>
  <c r="AQ14" i="20" s="1"/>
  <c r="AJ14" i="20"/>
  <c r="AP60" i="20"/>
  <c r="AQ60" i="20" s="1"/>
  <c r="AJ60" i="20"/>
  <c r="Y68" i="20"/>
  <c r="AP68" i="20"/>
  <c r="AQ68" i="20" s="1"/>
  <c r="AP73" i="20"/>
  <c r="AQ73" i="20" s="1"/>
  <c r="Y80" i="20"/>
  <c r="AP80" i="20"/>
  <c r="AQ80" i="20" s="1"/>
  <c r="AP16" i="21"/>
  <c r="AQ16" i="21" s="1"/>
  <c r="AJ16" i="21"/>
  <c r="AP55" i="21"/>
  <c r="AQ55" i="21" s="1"/>
  <c r="AJ55" i="21"/>
  <c r="AY46" i="10"/>
  <c r="BK46" i="10" s="1"/>
  <c r="W20" i="2"/>
  <c r="C18" i="40" s="1"/>
  <c r="AP20" i="2"/>
  <c r="AQ20" i="2" s="1"/>
  <c r="AJ20" i="2"/>
  <c r="AJ25" i="3"/>
  <c r="AH26" i="3"/>
  <c r="K24" i="40" s="1"/>
  <c r="AJ53" i="3"/>
  <c r="AH65" i="3"/>
  <c r="K63" i="40" s="1"/>
  <c r="AH72" i="3"/>
  <c r="K70" i="40" s="1"/>
  <c r="Y29" i="20"/>
  <c r="AP29" i="20"/>
  <c r="AQ29" i="20" s="1"/>
  <c r="Y46" i="20"/>
  <c r="W52" i="20"/>
  <c r="E50" i="40" s="1"/>
  <c r="AP52" i="20"/>
  <c r="AQ52" i="20" s="1"/>
  <c r="AJ52" i="20"/>
  <c r="Y63" i="20"/>
  <c r="AH68" i="20"/>
  <c r="L66" i="40" s="1"/>
  <c r="AH80" i="20"/>
  <c r="L78" i="40" s="1"/>
  <c r="AP11" i="21"/>
  <c r="AQ11" i="21" s="1"/>
  <c r="AJ11" i="21"/>
  <c r="W16" i="21"/>
  <c r="F14" i="40" s="1"/>
  <c r="AJ32" i="21"/>
  <c r="AP68" i="21"/>
  <c r="AQ68" i="21" s="1"/>
  <c r="W79" i="21"/>
  <c r="F77" i="40" s="1"/>
  <c r="AV11" i="10"/>
  <c r="BH11" i="10" s="1"/>
  <c r="AW27" i="10"/>
  <c r="BI27" i="10" s="1"/>
  <c r="AH55" i="2"/>
  <c r="J53" i="40" s="1"/>
  <c r="AH63" i="2"/>
  <c r="J61" i="40" s="1"/>
  <c r="AH71" i="2"/>
  <c r="J69" i="40" s="1"/>
  <c r="AH79" i="2"/>
  <c r="J77" i="40" s="1"/>
  <c r="W16" i="3"/>
  <c r="D14" i="40" s="1"/>
  <c r="AH19" i="3"/>
  <c r="K17" i="40" s="1"/>
  <c r="W59" i="3"/>
  <c r="D57" i="40" s="1"/>
  <c r="AP59" i="3"/>
  <c r="AQ59" i="3" s="1"/>
  <c r="AJ59" i="3"/>
  <c r="AH79" i="3"/>
  <c r="K77" i="40" s="1"/>
  <c r="W9" i="20"/>
  <c r="E7" i="40" s="1"/>
  <c r="AP9" i="20"/>
  <c r="AQ9" i="20" s="1"/>
  <c r="AJ9" i="20"/>
  <c r="AH13" i="20"/>
  <c r="L11" i="40" s="1"/>
  <c r="AH16" i="20"/>
  <c r="L14" i="40" s="1"/>
  <c r="AH19" i="20"/>
  <c r="L17" i="40" s="1"/>
  <c r="Y24" i="20"/>
  <c r="AP24" i="20"/>
  <c r="AQ24" i="20" s="1"/>
  <c r="AP32" i="20"/>
  <c r="AQ32" i="20" s="1"/>
  <c r="AJ32" i="20"/>
  <c r="W40" i="20"/>
  <c r="E38" i="40" s="1"/>
  <c r="AP40" i="20"/>
  <c r="AQ40" i="20" s="1"/>
  <c r="AJ40" i="20"/>
  <c r="W53" i="20"/>
  <c r="E51" i="40" s="1"/>
  <c r="AP53" i="20"/>
  <c r="AQ53" i="20" s="1"/>
  <c r="AJ53" i="20"/>
  <c r="AH63" i="20"/>
  <c r="L61" i="40" s="1"/>
  <c r="W67" i="20"/>
  <c r="E65" i="40" s="1"/>
  <c r="AJ75" i="20"/>
  <c r="AP75" i="20"/>
  <c r="AQ75" i="20" s="1"/>
  <c r="W79" i="20"/>
  <c r="E77" i="40" s="1"/>
  <c r="W17" i="21"/>
  <c r="F15" i="40" s="1"/>
  <c r="AJ17" i="21"/>
  <c r="W30" i="21"/>
  <c r="F28" i="40" s="1"/>
  <c r="AP79" i="21"/>
  <c r="AQ79" i="21" s="1"/>
  <c r="AJ79" i="21"/>
  <c r="AW11" i="10"/>
  <c r="BI11" i="10" s="1"/>
  <c r="AP24" i="3"/>
  <c r="AQ24" i="3" s="1"/>
  <c r="AP56" i="3"/>
  <c r="AQ56" i="3" s="1"/>
  <c r="AP48" i="20"/>
  <c r="AQ48" i="20" s="1"/>
  <c r="AJ48" i="20"/>
  <c r="AP36" i="21"/>
  <c r="AQ36" i="21" s="1"/>
  <c r="AU15" i="10"/>
  <c r="BG15" i="10" s="1"/>
  <c r="AW30" i="10"/>
  <c r="BI30" i="10" s="1"/>
  <c r="J57" i="10"/>
  <c r="K57" i="10" s="1"/>
  <c r="T58" i="10"/>
  <c r="S58" i="10"/>
  <c r="F59" i="10"/>
  <c r="G59" i="10"/>
  <c r="W60" i="10"/>
  <c r="X60" i="10" s="1"/>
  <c r="J61" i="10"/>
  <c r="K61" i="10" s="1"/>
  <c r="S62" i="10"/>
  <c r="T62" i="10"/>
  <c r="F63" i="10"/>
  <c r="W64" i="10"/>
  <c r="X64" i="10" s="1"/>
  <c r="T66" i="10"/>
  <c r="S66" i="10"/>
  <c r="F67" i="10"/>
  <c r="G67" i="10"/>
  <c r="T70" i="10"/>
  <c r="F71" i="10"/>
  <c r="G71" i="10"/>
  <c r="W72" i="10"/>
  <c r="X72" i="10" s="1"/>
  <c r="T74" i="10"/>
  <c r="S74" i="10"/>
  <c r="F75" i="10"/>
  <c r="G75" i="10"/>
  <c r="W76" i="10"/>
  <c r="X76" i="10" s="1"/>
  <c r="J77" i="10"/>
  <c r="K77" i="10" s="1"/>
  <c r="T78" i="10"/>
  <c r="S78" i="10"/>
  <c r="G79" i="10"/>
  <c r="F79" i="10"/>
  <c r="W80" i="10"/>
  <c r="X80" i="10" s="1"/>
  <c r="J81" i="10"/>
  <c r="K81" i="10" s="1"/>
  <c r="S82" i="10"/>
  <c r="T82" i="10"/>
  <c r="F83" i="10"/>
  <c r="G83" i="10"/>
  <c r="W84" i="10"/>
  <c r="X84" i="10" s="1"/>
  <c r="J85" i="10"/>
  <c r="K85" i="10" s="1"/>
  <c r="T86" i="10"/>
  <c r="S86" i="10"/>
  <c r="AJ36" i="2"/>
  <c r="AJ40" i="2"/>
  <c r="AJ44" i="2"/>
  <c r="AJ48" i="2"/>
  <c r="AJ52" i="2"/>
  <c r="AJ56" i="2"/>
  <c r="AJ60" i="2"/>
  <c r="AJ64" i="2"/>
  <c r="AJ68" i="2"/>
  <c r="AJ72" i="2"/>
  <c r="AJ76" i="2"/>
  <c r="AJ80" i="2"/>
  <c r="AJ84" i="2"/>
  <c r="AJ23" i="3"/>
  <c r="AJ30" i="3"/>
  <c r="AJ41" i="3"/>
  <c r="AJ55" i="3"/>
  <c r="AJ62" i="3"/>
  <c r="AJ73" i="3"/>
  <c r="AH15" i="20"/>
  <c r="L13" i="40" s="1"/>
  <c r="W24" i="20"/>
  <c r="E22" i="40" s="1"/>
  <c r="AJ26" i="20"/>
  <c r="AH27" i="20"/>
  <c r="L25" i="40" s="1"/>
  <c r="W36" i="20"/>
  <c r="E34" i="40" s="1"/>
  <c r="AP36" i="20"/>
  <c r="AQ36" i="20" s="1"/>
  <c r="AJ36" i="20"/>
  <c r="AJ41" i="20"/>
  <c r="AJ58" i="20"/>
  <c r="AH59" i="20"/>
  <c r="L57" i="40" s="1"/>
  <c r="AJ70" i="20"/>
  <c r="AJ72" i="20"/>
  <c r="AP85" i="20"/>
  <c r="AQ85" i="20" s="1"/>
  <c r="AP9" i="21"/>
  <c r="AQ9" i="21" s="1"/>
  <c r="AJ9" i="21"/>
  <c r="AJ13" i="21"/>
  <c r="AJ25" i="21"/>
  <c r="AH26" i="21"/>
  <c r="M24" i="40" s="1"/>
  <c r="AP27" i="21"/>
  <c r="AQ27" i="21" s="1"/>
  <c r="AJ27" i="21"/>
  <c r="AH61" i="21"/>
  <c r="M59" i="40" s="1"/>
  <c r="AP65" i="21"/>
  <c r="AQ65" i="21" s="1"/>
  <c r="AJ67" i="21"/>
  <c r="AJ80" i="21"/>
  <c r="Y81" i="21"/>
  <c r="AV15" i="10"/>
  <c r="BH15" i="10" s="1"/>
  <c r="AX28" i="10"/>
  <c r="BJ28" i="10" s="1"/>
  <c r="AP48" i="3"/>
  <c r="AQ48" i="3" s="1"/>
  <c r="AP80" i="3"/>
  <c r="AQ80" i="3" s="1"/>
  <c r="W8" i="20"/>
  <c r="E6" i="40" s="1"/>
  <c r="AH47" i="20"/>
  <c r="L45" i="40" s="1"/>
  <c r="W56" i="20"/>
  <c r="E54" i="40" s="1"/>
  <c r="AP56" i="20"/>
  <c r="AQ56" i="20" s="1"/>
  <c r="AJ56" i="20"/>
  <c r="AH74" i="20"/>
  <c r="L72" i="40" s="1"/>
  <c r="AP76" i="20"/>
  <c r="AQ76" i="20" s="1"/>
  <c r="AJ76" i="20"/>
  <c r="J80" i="10"/>
  <c r="K80" i="10" s="1"/>
  <c r="AP80" i="1"/>
  <c r="AQ80" i="1" s="1"/>
  <c r="S81" i="10"/>
  <c r="T81" i="10"/>
  <c r="G82" i="10"/>
  <c r="F82" i="10"/>
  <c r="AP84" i="1"/>
  <c r="AQ84" i="1" s="1"/>
  <c r="S85" i="10"/>
  <c r="T85" i="10"/>
  <c r="G86" i="10"/>
  <c r="F86" i="10"/>
  <c r="AJ33" i="3"/>
  <c r="AJ65" i="3"/>
  <c r="AH7" i="20"/>
  <c r="L5" i="40" s="1"/>
  <c r="W20" i="20"/>
  <c r="E18" i="40" s="1"/>
  <c r="AH23" i="20"/>
  <c r="L21" i="40" s="1"/>
  <c r="AH35" i="20"/>
  <c r="L33" i="40" s="1"/>
  <c r="W44" i="20"/>
  <c r="E42" i="40" s="1"/>
  <c r="AP44" i="20"/>
  <c r="AQ44" i="20" s="1"/>
  <c r="AJ44" i="20"/>
  <c r="W81" i="20"/>
  <c r="E79" i="40" s="1"/>
  <c r="AP81" i="20"/>
  <c r="AQ81" i="20" s="1"/>
  <c r="AJ81" i="20"/>
  <c r="AP86" i="20"/>
  <c r="AQ86" i="20" s="1"/>
  <c r="AJ86" i="20"/>
  <c r="AH19" i="21"/>
  <c r="M17" i="40" s="1"/>
  <c r="AJ20" i="21"/>
  <c r="Y49" i="21"/>
  <c r="AV66" i="10"/>
  <c r="BH66" i="10" s="1"/>
  <c r="P25" i="29"/>
  <c r="P23" i="29"/>
  <c r="P36" i="29"/>
  <c r="P37" i="29"/>
  <c r="P35" i="29"/>
  <c r="AH70" i="20"/>
  <c r="L68" i="40" s="1"/>
  <c r="W83" i="20"/>
  <c r="E81" i="40" s="1"/>
  <c r="AH53" i="21"/>
  <c r="M51" i="40" s="1"/>
  <c r="AP57" i="21"/>
  <c r="AQ57" i="21" s="1"/>
  <c r="W66" i="21"/>
  <c r="F64" i="40" s="1"/>
  <c r="AH85" i="21"/>
  <c r="M83" i="40" s="1"/>
  <c r="AY9" i="10"/>
  <c r="BK9" i="10" s="1"/>
  <c r="AW25" i="10"/>
  <c r="BI25" i="10" s="1"/>
  <c r="AY30" i="10"/>
  <c r="BK30" i="10" s="1"/>
  <c r="AY31" i="10"/>
  <c r="BK31" i="10" s="1"/>
  <c r="AU77" i="10"/>
  <c r="BG77" i="10" s="1"/>
  <c r="AH82" i="20"/>
  <c r="L80" i="40" s="1"/>
  <c r="AP34" i="21"/>
  <c r="AQ34" i="21" s="1"/>
  <c r="AW8" i="10"/>
  <c r="BI8" i="10" s="1"/>
  <c r="AY13" i="10"/>
  <c r="BK13" i="10" s="1"/>
  <c r="AY21" i="10"/>
  <c r="BK21" i="10" s="1"/>
  <c r="AW22" i="10"/>
  <c r="BI22" i="10" s="1"/>
  <c r="AW23" i="10"/>
  <c r="BI23" i="10" s="1"/>
  <c r="AW24" i="10"/>
  <c r="BI24" i="10" s="1"/>
  <c r="AX25" i="10"/>
  <c r="BJ25" i="10" s="1"/>
  <c r="AV35" i="10"/>
  <c r="BH35" i="10" s="1"/>
  <c r="W75" i="20"/>
  <c r="E73" i="40" s="1"/>
  <c r="AP83" i="20"/>
  <c r="AQ83" i="20" s="1"/>
  <c r="AJ19" i="21"/>
  <c r="AJ39" i="21"/>
  <c r="AH45" i="21"/>
  <c r="M43" i="40" s="1"/>
  <c r="W58" i="21"/>
  <c r="F56" i="40" s="1"/>
  <c r="AJ71" i="21"/>
  <c r="AH77" i="21"/>
  <c r="M75" i="40" s="1"/>
  <c r="AY24" i="10"/>
  <c r="BK24" i="10" s="1"/>
  <c r="AU44" i="10"/>
  <c r="BG44" i="10" s="1"/>
  <c r="AU45" i="10"/>
  <c r="BG45" i="10" s="1"/>
  <c r="AV55" i="10"/>
  <c r="BH55" i="10" s="1"/>
  <c r="P30" i="29"/>
  <c r="P31" i="29"/>
  <c r="AV18" i="10"/>
  <c r="BH18" i="10" s="1"/>
  <c r="AW39" i="10"/>
  <c r="BI39" i="10" s="1"/>
  <c r="AW40" i="10"/>
  <c r="BI40" i="10" s="1"/>
  <c r="AV56" i="10"/>
  <c r="BH56" i="10" s="1"/>
  <c r="AV72" i="10"/>
  <c r="BH72" i="10" s="1"/>
  <c r="P34" i="29"/>
  <c r="P32" i="29"/>
  <c r="P33" i="29"/>
  <c r="AX33" i="10"/>
  <c r="BJ33" i="10" s="1"/>
  <c r="AV39" i="10"/>
  <c r="BH39" i="10" s="1"/>
  <c r="AY63" i="10"/>
  <c r="BK63" i="10" s="1"/>
  <c r="AX40" i="10"/>
  <c r="BJ40" i="10" s="1"/>
  <c r="E30" i="29"/>
  <c r="AV32" i="10"/>
  <c r="BH32" i="10" s="1"/>
  <c r="AX37" i="10"/>
  <c r="BJ37" i="10" s="1"/>
  <c r="AY60" i="10"/>
  <c r="BK60" i="10" s="1"/>
  <c r="AW76" i="10"/>
  <c r="BI76" i="10" s="1"/>
  <c r="AY51" i="10"/>
  <c r="BK51" i="10" s="1"/>
  <c r="AU54" i="10"/>
  <c r="BG54" i="10" s="1"/>
  <c r="AY56" i="10"/>
  <c r="BK56" i="10" s="1"/>
  <c r="AU58" i="10"/>
  <c r="BG58" i="10" s="1"/>
  <c r="AY72" i="10"/>
  <c r="BK72" i="10" s="1"/>
  <c r="AY75" i="10"/>
  <c r="BK75" i="10" s="1"/>
  <c r="AW77" i="10"/>
  <c r="BI77" i="10" s="1"/>
  <c r="AU83" i="10"/>
  <c r="BG83" i="10" s="1"/>
  <c r="AW55" i="10"/>
  <c r="BI55" i="10" s="1"/>
  <c r="AU61" i="10"/>
  <c r="BG61" i="10" s="1"/>
  <c r="AX67" i="10"/>
  <c r="BJ67" i="10" s="1"/>
  <c r="AV70" i="10"/>
  <c r="BH70" i="10" s="1"/>
  <c r="AW80" i="10"/>
  <c r="BI80" i="10" s="1"/>
  <c r="AV84" i="10"/>
  <c r="BH84" i="10" s="1"/>
  <c r="AX61" i="10"/>
  <c r="BJ61" i="10" s="1"/>
  <c r="AV68" i="10"/>
  <c r="BH68" i="10" s="1"/>
  <c r="AX77" i="10"/>
  <c r="BJ77" i="10" s="1"/>
  <c r="AM59" i="40" l="1"/>
  <c r="AK59" i="40"/>
  <c r="P49" i="10"/>
  <c r="I47" i="40"/>
  <c r="AM76" i="40"/>
  <c r="AK76" i="40"/>
  <c r="AK55" i="40"/>
  <c r="AM55" i="40"/>
  <c r="I64" i="40"/>
  <c r="P66" i="10"/>
  <c r="R66" i="10" s="1"/>
  <c r="AM48" i="40"/>
  <c r="AK48" i="40"/>
  <c r="P33" i="10"/>
  <c r="I31" i="40"/>
  <c r="AM28" i="40"/>
  <c r="AK28" i="40"/>
  <c r="AM54" i="40"/>
  <c r="AK54" i="40"/>
  <c r="P37" i="10"/>
  <c r="I35" i="40"/>
  <c r="AK9" i="40"/>
  <c r="AM9" i="40"/>
  <c r="P45" i="10"/>
  <c r="I43" i="40"/>
  <c r="P53" i="10"/>
  <c r="I51" i="40"/>
  <c r="AK58" i="40"/>
  <c r="AM58" i="40"/>
  <c r="AM68" i="40"/>
  <c r="AK68" i="40"/>
  <c r="AK26" i="40"/>
  <c r="AM26" i="40"/>
  <c r="AM27" i="40"/>
  <c r="AK27" i="40"/>
  <c r="AK16" i="40"/>
  <c r="AM16" i="40"/>
  <c r="AK50" i="40"/>
  <c r="AM50" i="40"/>
  <c r="P41" i="10"/>
  <c r="I39" i="40"/>
  <c r="I57" i="40"/>
  <c r="P59" i="10"/>
  <c r="P7" i="10"/>
  <c r="I5" i="40"/>
  <c r="P38" i="10"/>
  <c r="I36" i="40"/>
  <c r="P61" i="10"/>
  <c r="I59" i="40"/>
  <c r="P69" i="10"/>
  <c r="I67" i="40"/>
  <c r="P31" i="10"/>
  <c r="I29" i="40"/>
  <c r="I8" i="40"/>
  <c r="P10" i="10"/>
  <c r="P72" i="10"/>
  <c r="I70" i="40"/>
  <c r="AM29" i="40"/>
  <c r="AK29" i="40"/>
  <c r="AM23" i="40"/>
  <c r="AK23" i="40"/>
  <c r="AM78" i="40"/>
  <c r="AK78" i="40"/>
  <c r="AK47" i="40"/>
  <c r="AM47" i="40"/>
  <c r="I72" i="40"/>
  <c r="P74" i="10"/>
  <c r="R74" i="10" s="1"/>
  <c r="AM51" i="40"/>
  <c r="AK51" i="40"/>
  <c r="AM52" i="40"/>
  <c r="AK52" i="40"/>
  <c r="AK8" i="40"/>
  <c r="AM8" i="40"/>
  <c r="AM11" i="40"/>
  <c r="AK11" i="40"/>
  <c r="AM57" i="40"/>
  <c r="AK57" i="40"/>
  <c r="AM43" i="40"/>
  <c r="AK43" i="40"/>
  <c r="P14" i="10"/>
  <c r="Q14" i="10" s="1"/>
  <c r="I12" i="40"/>
  <c r="I42" i="40"/>
  <c r="P44" i="10"/>
  <c r="P55" i="10"/>
  <c r="I53" i="40"/>
  <c r="P15" i="10"/>
  <c r="I13" i="40"/>
  <c r="I66" i="40"/>
  <c r="P68" i="10"/>
  <c r="Q68" i="10" s="1"/>
  <c r="I33" i="40"/>
  <c r="P35" i="10"/>
  <c r="AM40" i="40"/>
  <c r="AK40" i="40"/>
  <c r="AM22" i="40"/>
  <c r="AK22" i="40"/>
  <c r="P62" i="10"/>
  <c r="Q62" i="10" s="1"/>
  <c r="I60" i="40"/>
  <c r="P32" i="10"/>
  <c r="I30" i="40"/>
  <c r="AM13" i="40"/>
  <c r="AK13" i="40"/>
  <c r="AM36" i="40"/>
  <c r="AK36" i="40"/>
  <c r="P17" i="10"/>
  <c r="I15" i="40"/>
  <c r="AM12" i="40"/>
  <c r="AK12" i="40"/>
  <c r="I24" i="40"/>
  <c r="P26" i="10"/>
  <c r="AK71" i="40"/>
  <c r="AM71" i="40"/>
  <c r="I18" i="40"/>
  <c r="P20" i="10"/>
  <c r="Q20" i="10" s="1"/>
  <c r="I49" i="40"/>
  <c r="P51" i="10"/>
  <c r="I80" i="40"/>
  <c r="P82" i="10"/>
  <c r="Q82" i="10" s="1"/>
  <c r="AM84" i="40"/>
  <c r="AK84" i="40"/>
  <c r="I16" i="40"/>
  <c r="P18" i="10"/>
  <c r="I32" i="40"/>
  <c r="P34" i="10"/>
  <c r="P22" i="10"/>
  <c r="I20" i="40"/>
  <c r="AK31" i="40"/>
  <c r="AM31" i="40"/>
  <c r="AM83" i="40"/>
  <c r="AK83" i="40"/>
  <c r="P56" i="10"/>
  <c r="I54" i="40"/>
  <c r="AK18" i="40"/>
  <c r="AM18" i="40"/>
  <c r="AM45" i="40"/>
  <c r="AK45" i="40"/>
  <c r="AM56" i="40"/>
  <c r="AK56" i="40"/>
  <c r="I50" i="40"/>
  <c r="P52" i="10"/>
  <c r="Q52" i="10" s="1"/>
  <c r="P85" i="10"/>
  <c r="R85" i="10" s="1"/>
  <c r="I83" i="40"/>
  <c r="AM21" i="40"/>
  <c r="AK21" i="40"/>
  <c r="P64" i="10"/>
  <c r="Q64" i="10" s="1"/>
  <c r="I62" i="40"/>
  <c r="P70" i="10"/>
  <c r="R70" i="10" s="1"/>
  <c r="I68" i="40"/>
  <c r="P80" i="10"/>
  <c r="I78" i="40"/>
  <c r="P47" i="10"/>
  <c r="I45" i="40"/>
  <c r="I65" i="40"/>
  <c r="P67" i="10"/>
  <c r="P73" i="10"/>
  <c r="I71" i="40"/>
  <c r="P78" i="10"/>
  <c r="R78" i="10" s="1"/>
  <c r="I76" i="40"/>
  <c r="AM53" i="40"/>
  <c r="AK53" i="40"/>
  <c r="AM46" i="40"/>
  <c r="AK46" i="40"/>
  <c r="I84" i="40"/>
  <c r="P86" i="10"/>
  <c r="R86" i="10" s="1"/>
  <c r="AK10" i="40"/>
  <c r="AM10" i="40"/>
  <c r="AM64" i="40"/>
  <c r="AK64" i="40"/>
  <c r="P79" i="10"/>
  <c r="I77" i="40"/>
  <c r="AM20" i="40"/>
  <c r="AK20" i="40"/>
  <c r="P48" i="10"/>
  <c r="I46" i="40"/>
  <c r="P54" i="10"/>
  <c r="I52" i="40"/>
  <c r="AM37" i="40"/>
  <c r="AK37" i="40"/>
  <c r="AM38" i="40"/>
  <c r="AK38" i="40"/>
  <c r="P25" i="10"/>
  <c r="Q25" i="10" s="1"/>
  <c r="I23" i="40"/>
  <c r="P29" i="10"/>
  <c r="Q29" i="10" s="1"/>
  <c r="I27" i="40"/>
  <c r="AM69" i="40"/>
  <c r="AK69" i="40"/>
  <c r="AM77" i="40"/>
  <c r="AK77" i="40"/>
  <c r="I9" i="40"/>
  <c r="P11" i="10"/>
  <c r="R11" i="10" s="1"/>
  <c r="AK42" i="40"/>
  <c r="AM42" i="40"/>
  <c r="AM44" i="40"/>
  <c r="AK44" i="40"/>
  <c r="I73" i="40"/>
  <c r="P75" i="10"/>
  <c r="AK74" i="40"/>
  <c r="AM74" i="40"/>
  <c r="P39" i="10"/>
  <c r="R39" i="10" s="1"/>
  <c r="I37" i="40"/>
  <c r="P21" i="10"/>
  <c r="I19" i="40"/>
  <c r="P8" i="10"/>
  <c r="I6" i="40"/>
  <c r="AK35" i="40"/>
  <c r="AM35" i="40"/>
  <c r="AK82" i="40"/>
  <c r="AM82" i="40"/>
  <c r="AK34" i="40"/>
  <c r="AM34" i="40"/>
  <c r="AM30" i="40"/>
  <c r="AK30" i="40"/>
  <c r="AK63" i="40"/>
  <c r="AM63" i="40"/>
  <c r="I56" i="40"/>
  <c r="P58" i="10"/>
  <c r="R58" i="10" s="1"/>
  <c r="I34" i="40"/>
  <c r="P36" i="10"/>
  <c r="Q36" i="10" s="1"/>
  <c r="P13" i="10"/>
  <c r="Q13" i="10" s="1"/>
  <c r="I11" i="40"/>
  <c r="AM72" i="40"/>
  <c r="AK72" i="40"/>
  <c r="AM65" i="40"/>
  <c r="AK65" i="40"/>
  <c r="AM75" i="40"/>
  <c r="AK75" i="40"/>
  <c r="AK7" i="40"/>
  <c r="AM7" i="40"/>
  <c r="P40" i="10"/>
  <c r="I38" i="40"/>
  <c r="AM19" i="40"/>
  <c r="AK19" i="40"/>
  <c r="AM25" i="40"/>
  <c r="AK25" i="40"/>
  <c r="AM5" i="40"/>
  <c r="AK5" i="40"/>
  <c r="AM41" i="40"/>
  <c r="AK41" i="40"/>
  <c r="P77" i="10"/>
  <c r="I75" i="40"/>
  <c r="AM6" i="40"/>
  <c r="AK6" i="40"/>
  <c r="P23" i="10"/>
  <c r="I21" i="40"/>
  <c r="P24" i="10"/>
  <c r="I22" i="40"/>
  <c r="AM49" i="40"/>
  <c r="AK49" i="40"/>
  <c r="AK79" i="40"/>
  <c r="AM79" i="40"/>
  <c r="AM32" i="40"/>
  <c r="AK32" i="40"/>
  <c r="P16" i="10"/>
  <c r="I14" i="40"/>
  <c r="P71" i="10"/>
  <c r="Q71" i="10" s="1"/>
  <c r="I69" i="40"/>
  <c r="AM17" i="40"/>
  <c r="AK17" i="40"/>
  <c r="AK4" i="40"/>
  <c r="AM4" i="40"/>
  <c r="AM80" i="40"/>
  <c r="AK80" i="40"/>
  <c r="AM62" i="40"/>
  <c r="AK62" i="40"/>
  <c r="I25" i="40"/>
  <c r="P27" i="10"/>
  <c r="AK39" i="40"/>
  <c r="AM39" i="40"/>
  <c r="AM33" i="40"/>
  <c r="AK33" i="40"/>
  <c r="AM60" i="40"/>
  <c r="AK60" i="40"/>
  <c r="P63" i="10"/>
  <c r="I61" i="40"/>
  <c r="I82" i="40"/>
  <c r="P84" i="10"/>
  <c r="I26" i="40"/>
  <c r="P28" i="10"/>
  <c r="AM67" i="40"/>
  <c r="AK67" i="40"/>
  <c r="I17" i="40"/>
  <c r="P19" i="10"/>
  <c r="R19" i="10" s="1"/>
  <c r="I40" i="40"/>
  <c r="P42" i="10"/>
  <c r="I74" i="40"/>
  <c r="P76" i="10"/>
  <c r="AK24" i="40"/>
  <c r="AM24" i="40"/>
  <c r="AK15" i="40"/>
  <c r="AM15" i="40"/>
  <c r="P9" i="10"/>
  <c r="I7" i="40"/>
  <c r="AM73" i="40"/>
  <c r="AK73" i="40"/>
  <c r="P57" i="10"/>
  <c r="Q57" i="10" s="1"/>
  <c r="I55" i="40"/>
  <c r="AM70" i="40"/>
  <c r="AK70" i="40"/>
  <c r="P30" i="10"/>
  <c r="I28" i="40"/>
  <c r="P65" i="10"/>
  <c r="I63" i="40"/>
  <c r="I48" i="40"/>
  <c r="P50" i="10"/>
  <c r="P46" i="10"/>
  <c r="I44" i="40"/>
  <c r="AM81" i="40"/>
  <c r="AK81" i="40"/>
  <c r="AM14" i="40"/>
  <c r="AK14" i="40"/>
  <c r="I10" i="40"/>
  <c r="P12" i="10"/>
  <c r="AK66" i="40"/>
  <c r="AM66" i="40"/>
  <c r="I41" i="40"/>
  <c r="P43" i="10"/>
  <c r="AM61" i="40"/>
  <c r="AK61" i="40"/>
  <c r="P6" i="10"/>
  <c r="I4" i="40"/>
  <c r="I58" i="40"/>
  <c r="P60" i="10"/>
  <c r="Q60" i="10" s="1"/>
  <c r="P81" i="10"/>
  <c r="Q81" i="10" s="1"/>
  <c r="I79" i="40"/>
  <c r="I81" i="40"/>
  <c r="P83" i="10"/>
  <c r="Q83" i="10" s="1"/>
  <c r="J25" i="9"/>
  <c r="J24" i="9"/>
  <c r="I25" i="9"/>
  <c r="I24" i="9"/>
  <c r="C57" i="10"/>
  <c r="E57" i="10" s="1"/>
  <c r="X69" i="40"/>
  <c r="R37" i="10"/>
  <c r="F25" i="9"/>
  <c r="F24" i="9"/>
  <c r="Z75" i="40"/>
  <c r="E25" i="9"/>
  <c r="E24" i="9"/>
  <c r="Z65" i="40"/>
  <c r="Z69" i="40"/>
  <c r="C11" i="10"/>
  <c r="E11" i="10" s="1"/>
  <c r="X62" i="40"/>
  <c r="C21" i="10"/>
  <c r="E21" i="10" s="1"/>
  <c r="X78" i="40"/>
  <c r="Z53" i="40"/>
  <c r="X51" i="40"/>
  <c r="Z41" i="40"/>
  <c r="Z55" i="40"/>
  <c r="X45" i="40"/>
  <c r="C46" i="10"/>
  <c r="E46" i="10" s="1"/>
  <c r="Z44" i="40"/>
  <c r="Z37" i="40"/>
  <c r="C12" i="10"/>
  <c r="E12" i="10" s="1"/>
  <c r="Z6" i="40"/>
  <c r="Z5" i="40"/>
  <c r="X53" i="40"/>
  <c r="X39" i="40"/>
  <c r="X33" i="40"/>
  <c r="X29" i="40"/>
  <c r="Z21" i="40"/>
  <c r="Q49" i="10"/>
  <c r="C58" i="10"/>
  <c r="D58" i="10" s="1"/>
  <c r="C26" i="10"/>
  <c r="E26" i="10" s="1"/>
  <c r="Q9" i="10"/>
  <c r="X75" i="40"/>
  <c r="Z74" i="40"/>
  <c r="C69" i="10"/>
  <c r="D69" i="10" s="1"/>
  <c r="X46" i="40"/>
  <c r="Z43" i="40"/>
  <c r="Z33" i="40"/>
  <c r="X15" i="40"/>
  <c r="X5" i="40"/>
  <c r="Z4" i="40"/>
  <c r="C25" i="10"/>
  <c r="D25" i="10" s="1"/>
  <c r="C82" i="10"/>
  <c r="E82" i="10" s="1"/>
  <c r="C74" i="10"/>
  <c r="E74" i="10" s="1"/>
  <c r="X65" i="40"/>
  <c r="X64" i="40"/>
  <c r="Z64" i="40"/>
  <c r="Z62" i="40"/>
  <c r="Z51" i="40"/>
  <c r="X43" i="40"/>
  <c r="Z34" i="40"/>
  <c r="X4" i="40"/>
  <c r="C18" i="10"/>
  <c r="E18" i="10" s="1"/>
  <c r="X68" i="40"/>
  <c r="X60" i="40"/>
  <c r="X41" i="40"/>
  <c r="Z39" i="40"/>
  <c r="C33" i="10"/>
  <c r="D33" i="10" s="1"/>
  <c r="Z25" i="40"/>
  <c r="B23" i="40"/>
  <c r="B19" i="40"/>
  <c r="Z18" i="40"/>
  <c r="X16" i="40"/>
  <c r="Z71" i="40"/>
  <c r="B67" i="40"/>
  <c r="Z59" i="40"/>
  <c r="X56" i="40"/>
  <c r="Z52" i="40"/>
  <c r="C42" i="10"/>
  <c r="E42" i="10" s="1"/>
  <c r="X36" i="40"/>
  <c r="X25" i="40"/>
  <c r="X23" i="40"/>
  <c r="X21" i="40"/>
  <c r="C10" i="10"/>
  <c r="E10" i="10" s="1"/>
  <c r="Z84" i="40"/>
  <c r="Z81" i="40"/>
  <c r="B80" i="40"/>
  <c r="Z80" i="40"/>
  <c r="Z60" i="40"/>
  <c r="X58" i="40"/>
  <c r="Z56" i="40"/>
  <c r="Z49" i="40"/>
  <c r="Z45" i="40"/>
  <c r="Z40" i="40"/>
  <c r="X34" i="40"/>
  <c r="Z29" i="40"/>
  <c r="Z28" i="40"/>
  <c r="X18" i="40"/>
  <c r="B9" i="40"/>
  <c r="C79" i="10"/>
  <c r="D79" i="10" s="1"/>
  <c r="C83" i="10"/>
  <c r="E83" i="10" s="1"/>
  <c r="C81" i="10"/>
  <c r="D81" i="10" s="1"/>
  <c r="C36" i="10"/>
  <c r="E36" i="10" s="1"/>
  <c r="C72" i="10"/>
  <c r="C49" i="10"/>
  <c r="C8" i="10"/>
  <c r="E8" i="10" s="1"/>
  <c r="C86" i="10"/>
  <c r="B84" i="40"/>
  <c r="C71" i="10"/>
  <c r="B69" i="40"/>
  <c r="C68" i="10"/>
  <c r="B66" i="40"/>
  <c r="X9" i="40"/>
  <c r="X6" i="40"/>
  <c r="Z46" i="40"/>
  <c r="X71" i="40"/>
  <c r="X37" i="40"/>
  <c r="X76" i="40"/>
  <c r="X40" i="40"/>
  <c r="Z57" i="40"/>
  <c r="X84" i="40"/>
  <c r="Z78" i="40"/>
  <c r="Z15" i="40"/>
  <c r="X52" i="40"/>
  <c r="X55" i="40"/>
  <c r="Z23" i="40"/>
  <c r="X59" i="40"/>
  <c r="X28" i="40"/>
  <c r="X81" i="40"/>
  <c r="C47" i="10"/>
  <c r="B45" i="40"/>
  <c r="C66" i="10"/>
  <c r="C13" i="10"/>
  <c r="B11" i="40"/>
  <c r="C67" i="10"/>
  <c r="B65" i="40"/>
  <c r="Z72" i="40"/>
  <c r="X72" i="40"/>
  <c r="Z50" i="40"/>
  <c r="X50" i="40"/>
  <c r="Z20" i="40"/>
  <c r="X20" i="40"/>
  <c r="Z47" i="40"/>
  <c r="X47" i="40"/>
  <c r="Z26" i="40"/>
  <c r="X26" i="40"/>
  <c r="C41" i="10"/>
  <c r="B39" i="40"/>
  <c r="C80" i="10"/>
  <c r="B78" i="40"/>
  <c r="Z54" i="40"/>
  <c r="X54" i="40"/>
  <c r="C17" i="10"/>
  <c r="X80" i="40"/>
  <c r="C28" i="10"/>
  <c r="X49" i="40"/>
  <c r="C51" i="10"/>
  <c r="B49" i="40"/>
  <c r="C19" i="10"/>
  <c r="B17" i="40"/>
  <c r="C73" i="10"/>
  <c r="B71" i="40"/>
  <c r="C63" i="10"/>
  <c r="B61" i="40"/>
  <c r="C34" i="10"/>
  <c r="B32" i="40"/>
  <c r="Z11" i="40"/>
  <c r="X11" i="40"/>
  <c r="C55" i="10"/>
  <c r="B53" i="40"/>
  <c r="C16" i="10"/>
  <c r="X44" i="40"/>
  <c r="Z76" i="40"/>
  <c r="Z58" i="40"/>
  <c r="C50" i="10"/>
  <c r="B48" i="40"/>
  <c r="Z22" i="40"/>
  <c r="X22" i="40"/>
  <c r="C61" i="10"/>
  <c r="Z16" i="40"/>
  <c r="C84" i="10"/>
  <c r="C43" i="10"/>
  <c r="B41" i="40"/>
  <c r="C64" i="10"/>
  <c r="B62" i="40"/>
  <c r="Z82" i="40"/>
  <c r="X82" i="40"/>
  <c r="Z38" i="40"/>
  <c r="X38" i="40"/>
  <c r="C20" i="10"/>
  <c r="B18" i="40"/>
  <c r="Z66" i="40"/>
  <c r="X66" i="40"/>
  <c r="Z30" i="40"/>
  <c r="X30" i="40"/>
  <c r="C77" i="10"/>
  <c r="B75" i="40"/>
  <c r="C59" i="10"/>
  <c r="C65" i="10"/>
  <c r="B63" i="40"/>
  <c r="C27" i="10"/>
  <c r="B25" i="40"/>
  <c r="Z79" i="40"/>
  <c r="X79" i="40"/>
  <c r="Z14" i="40"/>
  <c r="X14" i="40"/>
  <c r="C24" i="10"/>
  <c r="B22" i="40"/>
  <c r="Z61" i="40"/>
  <c r="X61" i="40"/>
  <c r="Z10" i="40"/>
  <c r="X10" i="40"/>
  <c r="C32" i="10"/>
  <c r="Z68" i="40"/>
  <c r="Z27" i="40"/>
  <c r="X27" i="40"/>
  <c r="Z32" i="40"/>
  <c r="X32" i="40"/>
  <c r="C30" i="10"/>
  <c r="Z9" i="40"/>
  <c r="Z73" i="40"/>
  <c r="X73" i="40"/>
  <c r="C62" i="10"/>
  <c r="B60" i="40"/>
  <c r="C78" i="10"/>
  <c r="B76" i="40"/>
  <c r="Z36" i="40"/>
  <c r="C15" i="10"/>
  <c r="B13" i="40"/>
  <c r="C6" i="10"/>
  <c r="B4" i="40"/>
  <c r="Z48" i="40"/>
  <c r="X48" i="40"/>
  <c r="Z67" i="40"/>
  <c r="X67" i="40"/>
  <c r="C23" i="10"/>
  <c r="B21" i="40"/>
  <c r="X19" i="40"/>
  <c r="Z19" i="40"/>
  <c r="C54" i="10"/>
  <c r="B52" i="40"/>
  <c r="X31" i="40"/>
  <c r="Z31" i="40"/>
  <c r="X7" i="40"/>
  <c r="Z7" i="40"/>
  <c r="Z35" i="40"/>
  <c r="X35" i="40"/>
  <c r="X74" i="40"/>
  <c r="C40" i="10"/>
  <c r="C60" i="10"/>
  <c r="C37" i="10"/>
  <c r="B35" i="40"/>
  <c r="Z70" i="40"/>
  <c r="X70" i="40"/>
  <c r="C76" i="10"/>
  <c r="B74" i="40"/>
  <c r="C31" i="10"/>
  <c r="B29" i="40"/>
  <c r="C45" i="10"/>
  <c r="B43" i="40"/>
  <c r="C38" i="10"/>
  <c r="B36" i="40"/>
  <c r="C14" i="10"/>
  <c r="B12" i="40"/>
  <c r="Z63" i="40"/>
  <c r="X63" i="40"/>
  <c r="Z42" i="40"/>
  <c r="X42" i="40"/>
  <c r="C22" i="10"/>
  <c r="B20" i="40"/>
  <c r="C53" i="10"/>
  <c r="C9" i="10"/>
  <c r="B7" i="40"/>
  <c r="C39" i="10"/>
  <c r="B37" i="40"/>
  <c r="Z12" i="40"/>
  <c r="X12" i="40"/>
  <c r="Z8" i="40"/>
  <c r="X8" i="40"/>
  <c r="C56" i="10"/>
  <c r="B54" i="40"/>
  <c r="X57" i="40"/>
  <c r="C48" i="10"/>
  <c r="C35" i="10"/>
  <c r="B33" i="40"/>
  <c r="C75" i="10"/>
  <c r="C44" i="10"/>
  <c r="B42" i="40"/>
  <c r="C70" i="10"/>
  <c r="B68" i="40"/>
  <c r="Z83" i="40"/>
  <c r="X83" i="40"/>
  <c r="C7" i="10"/>
  <c r="Z24" i="40"/>
  <c r="X24" i="40"/>
  <c r="C85" i="10"/>
  <c r="Z77" i="40"/>
  <c r="X77" i="40"/>
  <c r="X17" i="40"/>
  <c r="Z17" i="40"/>
  <c r="Z13" i="40"/>
  <c r="X13" i="40"/>
  <c r="C29" i="10"/>
  <c r="B27" i="40"/>
  <c r="C52" i="10"/>
  <c r="D57" i="10" l="1"/>
  <c r="R52" i="10"/>
  <c r="Q37" i="10"/>
  <c r="R20" i="10"/>
  <c r="R36" i="10"/>
  <c r="R57" i="10"/>
  <c r="R13" i="10"/>
  <c r="R68" i="10"/>
  <c r="D21" i="10"/>
  <c r="D11" i="10"/>
  <c r="Q86" i="10"/>
  <c r="Q66" i="10"/>
  <c r="D12" i="10"/>
  <c r="Q78" i="10"/>
  <c r="D46" i="10"/>
  <c r="R64" i="10"/>
  <c r="R60" i="10"/>
  <c r="Q58" i="10"/>
  <c r="R49" i="10"/>
  <c r="D26" i="10"/>
  <c r="E58" i="10"/>
  <c r="E25" i="10"/>
  <c r="Q70" i="10"/>
  <c r="Q39" i="10"/>
  <c r="R14" i="10"/>
  <c r="R9" i="10"/>
  <c r="D82" i="10"/>
  <c r="D74" i="10"/>
  <c r="E69" i="10"/>
  <c r="R71" i="10"/>
  <c r="R25" i="10"/>
  <c r="R62" i="10"/>
  <c r="D42" i="10"/>
  <c r="E33" i="10"/>
  <c r="D18" i="10"/>
  <c r="R81" i="10"/>
  <c r="D10" i="10"/>
  <c r="R29" i="10"/>
  <c r="Q74" i="10"/>
  <c r="Q11" i="10"/>
  <c r="Q85" i="10"/>
  <c r="E81" i="10"/>
  <c r="E79" i="10"/>
  <c r="D36" i="10"/>
  <c r="R83" i="10"/>
  <c r="R82" i="10"/>
  <c r="D83" i="10"/>
  <c r="Q19" i="10"/>
  <c r="D8" i="10"/>
  <c r="E72" i="10"/>
  <c r="D72" i="10"/>
  <c r="E49" i="10"/>
  <c r="D49" i="10"/>
  <c r="D86" i="10"/>
  <c r="E86" i="10"/>
  <c r="E71" i="10"/>
  <c r="D71" i="10"/>
  <c r="E68" i="10"/>
  <c r="D68" i="10"/>
  <c r="D70" i="10"/>
  <c r="E70" i="10"/>
  <c r="Q45" i="10"/>
  <c r="R45" i="10"/>
  <c r="R40" i="10"/>
  <c r="Q40" i="10"/>
  <c r="E48" i="10"/>
  <c r="D48" i="10"/>
  <c r="E9" i="10"/>
  <c r="D9" i="10"/>
  <c r="R32" i="10"/>
  <c r="Q32" i="10"/>
  <c r="Q77" i="10"/>
  <c r="R77" i="10"/>
  <c r="E66" i="10"/>
  <c r="D66" i="10"/>
  <c r="R43" i="10"/>
  <c r="Q43" i="10"/>
  <c r="Q72" i="10"/>
  <c r="R72" i="10"/>
  <c r="E52" i="10"/>
  <c r="D52" i="10"/>
  <c r="E76" i="10"/>
  <c r="D76" i="10"/>
  <c r="E27" i="10"/>
  <c r="D27" i="10"/>
  <c r="R44" i="10"/>
  <c r="Q44" i="10"/>
  <c r="Q34" i="10"/>
  <c r="R34" i="10"/>
  <c r="R10" i="10"/>
  <c r="Q10" i="10"/>
  <c r="E75" i="10"/>
  <c r="D75" i="10"/>
  <c r="R7" i="10"/>
  <c r="Q7" i="10"/>
  <c r="D60" i="10"/>
  <c r="E60" i="10"/>
  <c r="E23" i="10"/>
  <c r="D23" i="10"/>
  <c r="Q22" i="10"/>
  <c r="R22" i="10"/>
  <c r="Q30" i="10"/>
  <c r="R30" i="10"/>
  <c r="Q33" i="10"/>
  <c r="R33" i="10"/>
  <c r="R63" i="10"/>
  <c r="Q63" i="10"/>
  <c r="E24" i="10"/>
  <c r="D24" i="10"/>
  <c r="Q8" i="10"/>
  <c r="R8" i="10"/>
  <c r="R17" i="10"/>
  <c r="Q17" i="10"/>
  <c r="E61" i="10"/>
  <c r="D61" i="10"/>
  <c r="R21" i="10"/>
  <c r="Q21" i="10"/>
  <c r="E41" i="10"/>
  <c r="D41" i="10"/>
  <c r="E77" i="10"/>
  <c r="D77" i="10"/>
  <c r="E50" i="10"/>
  <c r="D50" i="10"/>
  <c r="R55" i="10"/>
  <c r="Q55" i="10"/>
  <c r="E22" i="10"/>
  <c r="D22" i="10"/>
  <c r="D37" i="10"/>
  <c r="E37" i="10"/>
  <c r="E51" i="10"/>
  <c r="D51" i="10"/>
  <c r="E32" i="10"/>
  <c r="D32" i="10"/>
  <c r="Q79" i="10"/>
  <c r="R79" i="10"/>
  <c r="D28" i="10"/>
  <c r="E28" i="10"/>
  <c r="Q67" i="10"/>
  <c r="R67" i="10"/>
  <c r="R56" i="10"/>
  <c r="Q56" i="10"/>
  <c r="E7" i="10"/>
  <c r="D7" i="10"/>
  <c r="E38" i="10"/>
  <c r="D38" i="10"/>
  <c r="Q38" i="10"/>
  <c r="R38" i="10"/>
  <c r="R53" i="10"/>
  <c r="Q53" i="10"/>
  <c r="E6" i="10"/>
  <c r="D6" i="10"/>
  <c r="E62" i="10"/>
  <c r="D62" i="10"/>
  <c r="E30" i="10"/>
  <c r="D30" i="10"/>
  <c r="E65" i="10"/>
  <c r="D65" i="10"/>
  <c r="Q51" i="10"/>
  <c r="R51" i="10"/>
  <c r="E73" i="10"/>
  <c r="D73" i="10"/>
  <c r="E47" i="10"/>
  <c r="D47" i="10"/>
  <c r="Q42" i="10"/>
  <c r="R42" i="10"/>
  <c r="R69" i="10"/>
  <c r="Q69" i="10"/>
  <c r="Q41" i="10"/>
  <c r="R41" i="10"/>
  <c r="D64" i="10"/>
  <c r="E64" i="10"/>
  <c r="Q80" i="10"/>
  <c r="R80" i="10"/>
  <c r="D13" i="10"/>
  <c r="E13" i="10"/>
  <c r="R47" i="10"/>
  <c r="Q47" i="10"/>
  <c r="R16" i="10"/>
  <c r="Q16" i="10"/>
  <c r="E78" i="10"/>
  <c r="D78" i="10"/>
  <c r="Q15" i="10"/>
  <c r="R15" i="10"/>
  <c r="D55" i="10"/>
  <c r="E55" i="10"/>
  <c r="R28" i="10"/>
  <c r="Q28" i="10"/>
  <c r="R73" i="10"/>
  <c r="Q73" i="10"/>
  <c r="E43" i="10"/>
  <c r="D43" i="10"/>
  <c r="R65" i="10"/>
  <c r="Q65" i="10"/>
  <c r="Q84" i="10"/>
  <c r="R84" i="10"/>
  <c r="R27" i="10"/>
  <c r="Q27" i="10"/>
  <c r="E29" i="10"/>
  <c r="D29" i="10"/>
  <c r="R31" i="10"/>
  <c r="Q31" i="10"/>
  <c r="E35" i="10"/>
  <c r="D35" i="10"/>
  <c r="D54" i="10"/>
  <c r="E54" i="10"/>
  <c r="Q75" i="10"/>
  <c r="R75" i="10"/>
  <c r="Q76" i="10"/>
  <c r="R76" i="10"/>
  <c r="D59" i="10"/>
  <c r="E59" i="10"/>
  <c r="E20" i="10"/>
  <c r="D20" i="10"/>
  <c r="E63" i="10"/>
  <c r="D63" i="10"/>
  <c r="Q26" i="10"/>
  <c r="R26" i="10"/>
  <c r="E80" i="10"/>
  <c r="D80" i="10"/>
  <c r="E67" i="10"/>
  <c r="D67" i="10"/>
  <c r="R59" i="10"/>
  <c r="Q59" i="10"/>
  <c r="R6" i="10"/>
  <c r="Q6" i="10"/>
  <c r="Q46" i="10"/>
  <c r="R46" i="10"/>
  <c r="R24" i="10"/>
  <c r="Q24" i="10"/>
  <c r="R35" i="10"/>
  <c r="Q35" i="10"/>
  <c r="R48" i="10"/>
  <c r="Q48" i="10"/>
  <c r="D44" i="10"/>
  <c r="E44" i="10"/>
  <c r="E85" i="10"/>
  <c r="D85" i="10"/>
  <c r="D56" i="10"/>
  <c r="E56" i="10"/>
  <c r="E39" i="10"/>
  <c r="D39" i="10"/>
  <c r="D53" i="10"/>
  <c r="E53" i="10"/>
  <c r="E14" i="10"/>
  <c r="D14" i="10"/>
  <c r="E45" i="10"/>
  <c r="D45" i="10"/>
  <c r="E31" i="10"/>
  <c r="D31" i="10"/>
  <c r="R61" i="10"/>
  <c r="Q61" i="10"/>
  <c r="D40" i="10"/>
  <c r="E40" i="10"/>
  <c r="R23" i="10"/>
  <c r="Q23" i="10"/>
  <c r="E15" i="10"/>
  <c r="D15" i="10"/>
  <c r="R54" i="10"/>
  <c r="Q54" i="10"/>
  <c r="Q18" i="10"/>
  <c r="R18" i="10"/>
  <c r="E84" i="10"/>
  <c r="D84" i="10"/>
  <c r="E16" i="10"/>
  <c r="D16" i="10"/>
  <c r="D34" i="10"/>
  <c r="E34" i="10"/>
  <c r="E19" i="10"/>
  <c r="D19" i="10"/>
  <c r="E17" i="10"/>
  <c r="D17" i="10"/>
  <c r="R12" i="10"/>
  <c r="Q12" i="10"/>
  <c r="Q50" i="10"/>
  <c r="R50" i="10"/>
  <c r="BL82" i="40"/>
  <c r="BN82" i="40"/>
  <c r="BL42" i="40"/>
  <c r="BN42" i="40"/>
  <c r="BL18" i="40"/>
  <c r="BN18" i="40"/>
  <c r="BN59" i="40"/>
  <c r="BL59" i="40"/>
  <c r="BN35" i="40"/>
  <c r="BL35" i="40"/>
  <c r="BN38" i="40"/>
  <c r="BL38" i="40"/>
  <c r="BL52" i="40"/>
  <c r="BN52" i="40"/>
  <c r="BL13" i="40"/>
  <c r="BN13" i="40"/>
  <c r="BN63" i="40"/>
  <c r="BL63" i="40"/>
  <c r="BL4" i="40"/>
  <c r="BN4" i="40"/>
  <c r="BN72" i="40"/>
  <c r="BL72" i="40"/>
  <c r="BN32" i="40"/>
  <c r="BL32" i="40"/>
  <c r="BL8" i="40"/>
  <c r="BN8" i="40"/>
  <c r="BN57" i="40"/>
  <c r="BL57" i="40"/>
  <c r="BL25" i="40"/>
  <c r="BN25" i="40"/>
  <c r="BN78" i="40"/>
  <c r="BL78" i="40"/>
  <c r="BN17" i="40"/>
  <c r="BL17" i="40"/>
  <c r="BL15" i="40"/>
  <c r="BN15" i="40"/>
  <c r="BN65" i="40"/>
  <c r="BL65" i="40"/>
  <c r="BN34" i="40"/>
  <c r="BL34" i="40"/>
  <c r="BL41" i="40"/>
  <c r="BN41" i="40"/>
  <c r="BL50" i="40"/>
  <c r="BN50" i="40"/>
  <c r="BN54" i="40"/>
  <c r="BL54" i="40"/>
  <c r="BL28" i="40"/>
  <c r="BN28" i="40"/>
  <c r="BN79" i="40"/>
  <c r="BL79" i="40"/>
  <c r="BL9" i="40"/>
  <c r="BN9" i="40"/>
  <c r="BL30" i="40"/>
  <c r="BN30" i="40"/>
  <c r="BL22" i="40"/>
  <c r="BN22" i="40"/>
  <c r="BN48" i="40"/>
  <c r="BL48" i="40"/>
  <c r="BN24" i="40"/>
  <c r="BL24" i="40"/>
  <c r="BN49" i="40"/>
  <c r="BL49" i="40"/>
  <c r="BL6" i="40"/>
  <c r="BN6" i="40"/>
  <c r="BL37" i="40"/>
  <c r="BN37" i="40"/>
  <c r="BL10" i="40"/>
  <c r="BN10" i="40"/>
  <c r="BL27" i="40"/>
  <c r="BN27" i="40"/>
  <c r="BN60" i="40"/>
  <c r="BL60" i="40"/>
  <c r="BL62" i="40"/>
  <c r="BN62" i="40"/>
  <c r="BN73" i="40"/>
  <c r="BL73" i="40"/>
  <c r="BN74" i="40"/>
  <c r="BL74" i="40"/>
  <c r="BN76" i="40"/>
  <c r="BL76" i="40"/>
  <c r="BL58" i="40"/>
  <c r="BN58" i="40"/>
  <c r="BN75" i="40"/>
  <c r="BL75" i="40"/>
  <c r="BL11" i="40"/>
  <c r="BN11" i="40"/>
  <c r="BL5" i="40"/>
  <c r="BN5" i="40"/>
  <c r="BN55" i="40"/>
  <c r="BL55" i="40"/>
  <c r="BN53" i="40"/>
  <c r="BL53" i="40"/>
  <c r="BN31" i="40"/>
  <c r="BL31" i="40"/>
  <c r="BL36" i="40"/>
  <c r="BN36" i="40"/>
  <c r="BN69" i="40"/>
  <c r="BL69" i="40"/>
  <c r="BN39" i="40"/>
  <c r="BL39" i="40"/>
  <c r="BN70" i="40"/>
  <c r="BL70" i="40"/>
  <c r="BL40" i="40"/>
  <c r="BN40" i="40"/>
  <c r="BN51" i="40"/>
  <c r="BL51" i="40"/>
  <c r="BL77" i="40"/>
  <c r="BN77" i="40"/>
  <c r="BL14" i="40"/>
  <c r="BN14" i="40"/>
  <c r="BL64" i="40"/>
  <c r="BN64" i="40"/>
  <c r="BN23" i="40"/>
  <c r="BL23" i="40"/>
  <c r="BL67" i="40"/>
  <c r="BN67" i="40"/>
  <c r="BN61" i="40"/>
  <c r="BL61" i="40"/>
  <c r="BL7" i="40"/>
  <c r="BN7" i="40"/>
  <c r="BN26" i="40"/>
  <c r="BL26" i="40"/>
  <c r="BN43" i="40"/>
  <c r="BL43" i="40"/>
  <c r="BL68" i="40"/>
  <c r="BN68" i="40"/>
  <c r="BN12" i="40"/>
  <c r="BL12" i="40"/>
  <c r="BL29" i="40"/>
  <c r="BN29" i="40"/>
  <c r="BL20" i="40"/>
  <c r="BN20" i="40"/>
  <c r="BN80" i="40"/>
  <c r="BL80" i="40"/>
  <c r="BN16" i="40"/>
  <c r="BL16" i="40"/>
  <c r="BN21" i="40"/>
  <c r="BL21" i="40"/>
  <c r="BN66" i="40"/>
  <c r="BL66" i="40"/>
  <c r="BN83" i="40"/>
  <c r="BL83" i="40"/>
  <c r="BN19" i="40"/>
  <c r="BL19" i="40"/>
  <c r="BN45" i="40"/>
  <c r="BL45" i="40"/>
  <c r="BN71" i="40"/>
  <c r="BL71" i="40"/>
  <c r="BN84" i="40"/>
  <c r="BL84" i="40"/>
  <c r="BN44" i="40"/>
  <c r="BL44" i="40"/>
  <c r="BN46" i="40"/>
  <c r="BL46" i="40"/>
  <c r="BL47" i="40"/>
  <c r="BN47" i="40"/>
  <c r="BL56" i="40"/>
  <c r="BN56" i="40"/>
  <c r="BL33" i="40"/>
  <c r="BN33" i="40"/>
  <c r="BN81" i="40"/>
  <c r="BL81" i="40"/>
</calcChain>
</file>

<file path=xl/comments1.xml><?xml version="1.0" encoding="utf-8"?>
<comments xmlns="http://schemas.openxmlformats.org/spreadsheetml/2006/main">
  <authors>
    <author>msu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msu:</t>
        </r>
        <r>
          <rPr>
            <sz val="8"/>
            <color indexed="81"/>
            <rFont val="Tahoma"/>
            <family val="2"/>
          </rPr>
          <t xml:space="preserve">
No ending Slash</t>
        </r>
      </text>
    </comment>
  </commentList>
</comments>
</file>

<file path=xl/sharedStrings.xml><?xml version="1.0" encoding="utf-8"?>
<sst xmlns="http://schemas.openxmlformats.org/spreadsheetml/2006/main" count="769" uniqueCount="240">
  <si>
    <t>Front_HL</t>
  </si>
  <si>
    <t>Front_HR</t>
  </si>
  <si>
    <t>MGS_FHL</t>
  </si>
  <si>
    <t>MSG_FHR</t>
  </si>
  <si>
    <t>MSG_FL</t>
  </si>
  <si>
    <t>MSG_RHL</t>
  </si>
  <si>
    <t>MSG_RHR</t>
  </si>
  <si>
    <t>MSG_RL</t>
  </si>
  <si>
    <t xml:space="preserve">MSG_Front </t>
  </si>
  <si>
    <t>MSG_Rear</t>
  </si>
  <si>
    <t>FOG+Stability</t>
  </si>
  <si>
    <t>OPL Limits</t>
  </si>
  <si>
    <t>Technical Report on</t>
  </si>
  <si>
    <t>Applications group</t>
  </si>
  <si>
    <t>Device Model:</t>
  </si>
  <si>
    <t>Type of measurement:</t>
  </si>
  <si>
    <t>In relation to:</t>
  </si>
  <si>
    <t>Test laboratory:</t>
  </si>
  <si>
    <t>Date of test:</t>
  </si>
  <si>
    <t>Tested by:</t>
  </si>
  <si>
    <t>Front_FOG50Resp-20 dB</t>
  </si>
  <si>
    <t>Rear_FOG50Resp-20 dB</t>
  </si>
  <si>
    <t>FOG_Front</t>
  </si>
  <si>
    <t>FOG_Rear</t>
  </si>
  <si>
    <t>OPL Limits_Graph</t>
  </si>
  <si>
    <t>Data to paste:</t>
  </si>
  <si>
    <t>Front Microphone:</t>
  </si>
  <si>
    <t>Rear Microphone:</t>
  </si>
  <si>
    <t>Stability Limits:</t>
  </si>
  <si>
    <t>Device#:</t>
  </si>
  <si>
    <t>MSG - Std.Dev</t>
  </si>
  <si>
    <t>MSG + Std.Dev</t>
  </si>
  <si>
    <t>Misc:</t>
  </si>
  <si>
    <t>FOG_Average</t>
  </si>
  <si>
    <t>FOG_Stability limits</t>
  </si>
  <si>
    <t>MSG_Average</t>
  </si>
  <si>
    <t>Min(MSG)</t>
  </si>
  <si>
    <t>Max(MSG)</t>
  </si>
  <si>
    <t>Short summary:</t>
  </si>
  <si>
    <t>Gain settings used for these measurements:</t>
  </si>
  <si>
    <t>Measurement series no.</t>
  </si>
  <si>
    <t>Data folder:</t>
    <phoneticPr fontId="2" type="noConversion"/>
  </si>
  <si>
    <t>Front Mic HL</t>
    <phoneticPr fontId="2" type="noConversion"/>
  </si>
  <si>
    <t>Front Mic HR</t>
    <phoneticPr fontId="2" type="noConversion"/>
  </si>
  <si>
    <t>Front Mic L</t>
    <phoneticPr fontId="2" type="noConversion"/>
  </si>
  <si>
    <t>Rear Mic HL</t>
    <phoneticPr fontId="2" type="noConversion"/>
  </si>
  <si>
    <t>Rear Mic HR</t>
    <phoneticPr fontId="2" type="noConversion"/>
  </si>
  <si>
    <t>Rear Mic L</t>
    <phoneticPr fontId="2" type="noConversion"/>
  </si>
  <si>
    <t>#1</t>
  </si>
  <si>
    <t>Front Mic</t>
  </si>
  <si>
    <t>Rear Mic</t>
  </si>
  <si>
    <t>Item:</t>
  </si>
  <si>
    <t>Gain</t>
  </si>
  <si>
    <t>#2</t>
  </si>
  <si>
    <t>#3</t>
  </si>
  <si>
    <t>#4</t>
  </si>
  <si>
    <t>#5</t>
  </si>
  <si>
    <t>Rear FOG-20</t>
  </si>
  <si>
    <t>Front FOG-20</t>
  </si>
  <si>
    <t>Target Sheet</t>
  </si>
  <si>
    <t>Full Path</t>
  </si>
  <si>
    <t>Target Cell Row</t>
  </si>
  <si>
    <t>Target Cell Column</t>
  </si>
  <si>
    <t>File Postfix:</t>
    <phoneticPr fontId="12" type="noConversion"/>
  </si>
  <si>
    <t>File Prefix:</t>
    <phoneticPr fontId="12" type="noConversion"/>
  </si>
  <si>
    <t>Preset</t>
    <phoneticPr fontId="12" type="noConversion"/>
  </si>
  <si>
    <t>ModelName:</t>
    <phoneticPr fontId="12" type="noConversion"/>
  </si>
  <si>
    <t>Chart Title:</t>
    <phoneticPr fontId="12" type="noConversion"/>
  </si>
  <si>
    <t>Front_L</t>
    <phoneticPr fontId="2" type="noConversion"/>
  </si>
  <si>
    <t>Rear_HL</t>
    <phoneticPr fontId="2" type="noConversion"/>
  </si>
  <si>
    <t>Rear_HR</t>
    <phoneticPr fontId="2" type="noConversion"/>
  </si>
  <si>
    <t>Rear_L</t>
    <phoneticPr fontId="2" type="noConversion"/>
  </si>
  <si>
    <t>FrontMic</t>
    <phoneticPr fontId="12" type="noConversion"/>
  </si>
  <si>
    <t>OPL</t>
    <phoneticPr fontId="12" type="noConversion"/>
  </si>
  <si>
    <t>FOG-20</t>
    <phoneticPr fontId="12" type="noConversion"/>
  </si>
  <si>
    <t>RearMic</t>
    <phoneticPr fontId="12" type="noConversion"/>
  </si>
  <si>
    <t>Rear FOG-20</t>
    <phoneticPr fontId="12" type="noConversion"/>
  </si>
  <si>
    <t>#1</t>
    <phoneticPr fontId="12" type="noConversion"/>
  </si>
  <si>
    <t>#2</t>
    <phoneticPr fontId="12" type="noConversion"/>
  </si>
  <si>
    <t>#3</t>
    <phoneticPr fontId="12" type="noConversion"/>
  </si>
  <si>
    <t>#4</t>
    <phoneticPr fontId="12" type="noConversion"/>
  </si>
  <si>
    <t>#5</t>
    <phoneticPr fontId="12" type="noConversion"/>
  </si>
  <si>
    <t>Y</t>
    <phoneticPr fontId="14" type="noConversion"/>
  </si>
  <si>
    <t>FileExt</t>
    <phoneticPr fontId="14" type="noConversion"/>
  </si>
  <si>
    <t>.exp</t>
    <phoneticPr fontId="14" type="noConversion"/>
  </si>
  <si>
    <t>Header</t>
    <phoneticPr fontId="14" type="noConversion"/>
  </si>
  <si>
    <t>N</t>
    <phoneticPr fontId="14" type="noConversion"/>
  </si>
  <si>
    <t>Connector:</t>
    <phoneticPr fontId="14" type="noConversion"/>
  </si>
  <si>
    <t>Average.</t>
    <phoneticPr fontId="2" type="noConversion"/>
  </si>
  <si>
    <t>Std.dev</t>
    <phoneticPr fontId="2" type="noConversion"/>
  </si>
  <si>
    <t>File Prefix:</t>
    <phoneticPr fontId="12" type="noConversion"/>
  </si>
  <si>
    <t>File Postfix:</t>
    <phoneticPr fontId="12" type="noConversion"/>
  </si>
  <si>
    <t>FileExt</t>
    <phoneticPr fontId="12" type="noConversion"/>
  </si>
  <si>
    <t>Header</t>
    <phoneticPr fontId="12" type="noConversion"/>
  </si>
  <si>
    <t>FrontMic</t>
    <phoneticPr fontId="12" type="noConversion"/>
  </si>
  <si>
    <t>OPL</t>
    <phoneticPr fontId="12" type="noConversion"/>
  </si>
  <si>
    <t>.exp</t>
    <phoneticPr fontId="12" type="noConversion"/>
  </si>
  <si>
    <t>Y</t>
    <phoneticPr fontId="12" type="noConversion"/>
  </si>
  <si>
    <t>FOG-20</t>
    <phoneticPr fontId="12" type="noConversion"/>
  </si>
  <si>
    <t>RearMic</t>
    <phoneticPr fontId="12" type="noConversion"/>
  </si>
  <si>
    <t>Rear FOG-20</t>
    <phoneticPr fontId="12" type="noConversion"/>
  </si>
  <si>
    <t>#1</t>
    <phoneticPr fontId="12" type="noConversion"/>
  </si>
  <si>
    <t>#2</t>
    <phoneticPr fontId="12" type="noConversion"/>
  </si>
  <si>
    <t>#3</t>
    <phoneticPr fontId="12" type="noConversion"/>
  </si>
  <si>
    <t>#4</t>
    <phoneticPr fontId="12" type="noConversion"/>
  </si>
  <si>
    <t>#5</t>
    <phoneticPr fontId="12" type="noConversion"/>
  </si>
  <si>
    <t>.txt</t>
    <phoneticPr fontId="14" type="noConversion"/>
  </si>
  <si>
    <t>.txt</t>
    <phoneticPr fontId="14" type="noConversion"/>
  </si>
  <si>
    <t>Front_HL1</t>
    <phoneticPr fontId="2" type="noConversion"/>
  </si>
  <si>
    <t>Front_HR1</t>
    <phoneticPr fontId="2" type="noConversion"/>
  </si>
  <si>
    <t>Front_L1</t>
    <phoneticPr fontId="2" type="noConversion"/>
  </si>
  <si>
    <t>Rear_HL1</t>
    <phoneticPr fontId="2" type="noConversion"/>
  </si>
  <si>
    <t>Rear_HR1</t>
    <phoneticPr fontId="2" type="noConversion"/>
  </si>
  <si>
    <t>Rear_L1</t>
    <phoneticPr fontId="2" type="noConversion"/>
  </si>
  <si>
    <t>10Front_HLMax.</t>
  </si>
  <si>
    <t>10Front_HRMax.</t>
  </si>
  <si>
    <t>10Front_LMax.</t>
  </si>
  <si>
    <t>10Front_HLMin..</t>
  </si>
  <si>
    <t>10Front_HRMin..</t>
  </si>
  <si>
    <t>10Front_LMin..</t>
  </si>
  <si>
    <t>10Rear_HLMax.</t>
  </si>
  <si>
    <t>10Rear_HRMax.</t>
  </si>
  <si>
    <t>10Rear_LMax.</t>
  </si>
  <si>
    <t>10Rear_HLMin..</t>
  </si>
  <si>
    <t>10Rear_HRMin..</t>
  </si>
  <si>
    <t>10Rear_LMin..</t>
  </si>
  <si>
    <t>10Front_HLDiff~..</t>
  </si>
  <si>
    <t>10Front_HRDiff~..</t>
  </si>
  <si>
    <t>10Front_LDiff~..</t>
  </si>
  <si>
    <t>10Rear_HLDiff~..</t>
  </si>
  <si>
    <t>10Rear_HRDiff~..</t>
  </si>
  <si>
    <t>10Rear_LDiff~..</t>
  </si>
  <si>
    <t>9Front_HLDiff~..</t>
  </si>
  <si>
    <t>9Front_HRDiff~..</t>
  </si>
  <si>
    <t>9Front_LDiff~..</t>
  </si>
  <si>
    <t>9Rear_HLDiff~..</t>
  </si>
  <si>
    <t>9Rear_HRDiff~..</t>
  </si>
  <si>
    <t>9Rear_LDiff~..</t>
  </si>
  <si>
    <t>10-9Front_HLDiff~..</t>
  </si>
  <si>
    <t>10-9Front_HRDiff~..</t>
  </si>
  <si>
    <t>10-9Front_LDiff~..</t>
  </si>
  <si>
    <t>10-9Rear_HLDiff~..</t>
    <phoneticPr fontId="2" type="noConversion"/>
  </si>
  <si>
    <t>10-9Rear_HRDiff~..</t>
    <phoneticPr fontId="2" type="noConversion"/>
  </si>
  <si>
    <t>10-9Rear_LDiff~..</t>
    <phoneticPr fontId="2" type="noConversion"/>
  </si>
  <si>
    <t>No.9Diff~</t>
    <phoneticPr fontId="2" type="noConversion"/>
  </si>
  <si>
    <t>No.10Diff~</t>
    <phoneticPr fontId="2" type="noConversion"/>
  </si>
  <si>
    <t>Average.</t>
    <phoneticPr fontId="2" type="noConversion"/>
  </si>
  <si>
    <t>Std.dev</t>
    <phoneticPr fontId="2" type="noConversion"/>
  </si>
  <si>
    <t>Fixed Part Length</t>
    <phoneticPr fontId="12" type="noConversion"/>
  </si>
  <si>
    <t>Group2 Suffix:</t>
    <phoneticPr fontId="15" type="noConversion"/>
  </si>
  <si>
    <t>Group1 Suffix:</t>
    <phoneticPr fontId="15" type="noConversion"/>
  </si>
  <si>
    <t>Front</t>
    <phoneticPr fontId="2" type="noConversion"/>
  </si>
  <si>
    <t>Rear</t>
    <phoneticPr fontId="2" type="noConversion"/>
  </si>
  <si>
    <t>No.</t>
    <phoneticPr fontId="2" type="noConversion"/>
  </si>
  <si>
    <t xml:space="preserve">Max Stable Gain Front mic. </t>
  </si>
  <si>
    <t xml:space="preserve">Max Stable Gain Rear mic. </t>
  </si>
  <si>
    <t>Max Stable Gain Device</t>
    <phoneticPr fontId="15" type="noConversion"/>
  </si>
  <si>
    <t>OPL Front mic for</t>
    <phoneticPr fontId="15" type="noConversion"/>
  </si>
  <si>
    <t>Y / dB SP</t>
    <phoneticPr fontId="2" type="noConversion"/>
  </si>
  <si>
    <t>C:\UPL Data\VikingRecSuspension_20140731\Group2_ReAsm_OriSuspn(Neoprene)_0917</t>
  </si>
  <si>
    <t>N0R3</t>
    <phoneticPr fontId="14" type="noConversion"/>
  </si>
  <si>
    <t>File Prefix:</t>
    <phoneticPr fontId="12" type="noConversion"/>
  </si>
  <si>
    <t>File Postfix:</t>
    <phoneticPr fontId="12" type="noConversion"/>
  </si>
  <si>
    <t>Front Mic HL</t>
    <phoneticPr fontId="2" type="noConversion"/>
  </si>
  <si>
    <t>Front Mic HR</t>
    <phoneticPr fontId="2" type="noConversion"/>
  </si>
  <si>
    <t>Front Mic L</t>
    <phoneticPr fontId="2" type="noConversion"/>
  </si>
  <si>
    <t>Rear Mic HL</t>
    <phoneticPr fontId="2" type="noConversion"/>
  </si>
  <si>
    <t>Rear Mic HR</t>
    <phoneticPr fontId="2" type="noConversion"/>
  </si>
  <si>
    <t>Rear Mic L</t>
    <phoneticPr fontId="2" type="noConversion"/>
  </si>
  <si>
    <t>Text Data File has no header…</t>
    <phoneticPr fontId="12" type="noConversion"/>
  </si>
  <si>
    <t>Front_HL_</t>
    <phoneticPr fontId="12" type="noConversion"/>
  </si>
  <si>
    <t>Front_HR_</t>
    <phoneticPr fontId="12" type="noConversion"/>
  </si>
  <si>
    <t>Front_L_</t>
    <phoneticPr fontId="12" type="noConversion"/>
  </si>
  <si>
    <t>Rear_HL_</t>
    <phoneticPr fontId="12" type="noConversion"/>
  </si>
  <si>
    <t>Rear_HR_</t>
    <phoneticPr fontId="12" type="noConversion"/>
  </si>
  <si>
    <t>Rear_L_</t>
    <phoneticPr fontId="12" type="noConversion"/>
  </si>
  <si>
    <t>FOG-20_</t>
    <phoneticPr fontId="12" type="noConversion"/>
  </si>
  <si>
    <t>FOG-20R_</t>
    <phoneticPr fontId="12" type="noConversion"/>
  </si>
  <si>
    <t>Full on Gain (FOG) for stability measurements:</t>
    <phoneticPr fontId="12" type="noConversion"/>
  </si>
  <si>
    <t>Full on Gain -20dB  (FOG-20) for FOG reference:</t>
    <phoneticPr fontId="12" type="noConversion"/>
  </si>
  <si>
    <t>Test Conditions:</t>
    <phoneticPr fontId="12" type="noConversion"/>
  </si>
  <si>
    <t>711 Coupler</t>
    <phoneticPr fontId="12" type="noConversion"/>
  </si>
  <si>
    <t>C:\SoundCheck 13.0-x64\data\118-0\Berlin60\OPL Test\Prototype Samples with Spikes on REC Front Suspn 20150216</t>
  </si>
  <si>
    <t>R</t>
    <phoneticPr fontId="14" type="noConversion"/>
  </si>
  <si>
    <t>FOG-20_</t>
    <phoneticPr fontId="14" type="noConversion"/>
  </si>
  <si>
    <t>MSG_Front</t>
    <phoneticPr fontId="12" type="noConversion"/>
  </si>
  <si>
    <t>HZ</t>
    <phoneticPr fontId="12" type="noConversion"/>
  </si>
  <si>
    <t>OPL Rear mic for</t>
    <phoneticPr fontId="15" type="noConversion"/>
  </si>
  <si>
    <t>OPL Front Dev #1</t>
  </si>
  <si>
    <t>OPL Front Dev #2</t>
  </si>
  <si>
    <t>OPL Front Dev #3</t>
  </si>
  <si>
    <t>OPL Front Dev #4</t>
  </si>
  <si>
    <t>OPL Front Dev #5</t>
  </si>
  <si>
    <t>OPL Rear Dev #1</t>
  </si>
  <si>
    <t>OPL Rear Dev #2</t>
  </si>
  <si>
    <t>OPL Rear Dev #3</t>
  </si>
  <si>
    <t>OPL Rear Dev #4</t>
  </si>
  <si>
    <t>OPL Rear Dev #5</t>
  </si>
  <si>
    <t xml:space="preserve">  </t>
    <phoneticPr fontId="2" type="noConversion"/>
  </si>
  <si>
    <t>Max_Front</t>
  </si>
  <si>
    <t>Max_Rear</t>
  </si>
  <si>
    <t>HZ</t>
  </si>
  <si>
    <t>Average</t>
    <phoneticPr fontId="55" type="noConversion"/>
  </si>
  <si>
    <t>StdDev</t>
    <phoneticPr fontId="55" type="noConversion"/>
  </si>
  <si>
    <t>Max_Average</t>
    <phoneticPr fontId="12" type="noConversion"/>
  </si>
  <si>
    <t>Target</t>
    <phoneticPr fontId="55" type="noConversion"/>
  </si>
  <si>
    <t>MIN</t>
  </si>
  <si>
    <t>MAX</t>
  </si>
  <si>
    <t>Count</t>
  </si>
  <si>
    <t>Limit1</t>
  </si>
  <si>
    <t>Limit2</t>
  </si>
  <si>
    <r>
      <t>Confidence levels
@</t>
    </r>
    <r>
      <rPr>
        <b/>
        <sz val="11"/>
        <color indexed="10"/>
        <rFont val="宋体"/>
        <family val="3"/>
        <charset val="134"/>
      </rPr>
      <t>-10</t>
    </r>
    <r>
      <rPr>
        <b/>
        <sz val="11"/>
        <color indexed="8"/>
        <rFont val="宋体"/>
        <family val="3"/>
        <charset val="134"/>
      </rPr>
      <t>dB Margin</t>
    </r>
    <phoneticPr fontId="12" type="noConversion"/>
  </si>
  <si>
    <r>
      <t>Confidence levels
@</t>
    </r>
    <r>
      <rPr>
        <b/>
        <sz val="11"/>
        <color indexed="10"/>
        <rFont val="宋体"/>
        <family val="3"/>
        <charset val="134"/>
      </rPr>
      <t>-15</t>
    </r>
    <r>
      <rPr>
        <b/>
        <sz val="11"/>
        <color indexed="8"/>
        <rFont val="宋体"/>
        <family val="3"/>
        <charset val="134"/>
      </rPr>
      <t>dB Margin</t>
    </r>
    <phoneticPr fontId="12" type="noConversion"/>
  </si>
  <si>
    <t xml:space="preserve">Max Stable Gain Device </t>
    <phoneticPr fontId="12" type="noConversion"/>
  </si>
  <si>
    <t>ATC4000 Chamber + PXI-4461, SoundCheck 15.0</t>
    <phoneticPr fontId="12" type="noConversion"/>
  </si>
  <si>
    <t xml:space="preserve">OPL Max/Min </t>
    <phoneticPr fontId="12" type="noConversion"/>
  </si>
  <si>
    <t>Offline test</t>
    <phoneticPr fontId="12" type="noConversion"/>
  </si>
  <si>
    <t xml:space="preserve">OPL Front mic 5 HR Overview for </t>
    <phoneticPr fontId="12" type="noConversion"/>
  </si>
  <si>
    <t xml:space="preserve">OPL Front mic 5 L Overview for </t>
    <phoneticPr fontId="15" type="noConversion"/>
  </si>
  <si>
    <t xml:space="preserve">OPL Front mic 5 HL Overview for </t>
    <phoneticPr fontId="15" type="noConversion"/>
  </si>
  <si>
    <t xml:space="preserve">OPL Rear mic 5 HR Overview for </t>
  </si>
  <si>
    <t xml:space="preserve">OPL Rear mic 5 HL Overview for </t>
  </si>
  <si>
    <t xml:space="preserve">OPL Rear mic 5 L Overview for </t>
  </si>
  <si>
    <t>Delhi80</t>
    <phoneticPr fontId="2" type="noConversion"/>
  </si>
  <si>
    <t>C:\SoundCheck 15.0-x64\data</t>
    <phoneticPr fontId="12" type="noConversion"/>
  </si>
  <si>
    <t>Chandler</t>
  </si>
  <si>
    <t>FOG-20F_</t>
  </si>
  <si>
    <t>FOG-20R_</t>
  </si>
  <si>
    <t>FOG50_Front</t>
  </si>
  <si>
    <t>FOG50_Rear</t>
  </si>
  <si>
    <t>FOG OPL, MSG</t>
    <phoneticPr fontId="2" type="noConversion"/>
  </si>
  <si>
    <t>GN ReSound, R&amp;D Xiamen</t>
    <phoneticPr fontId="2" type="noConversion"/>
  </si>
  <si>
    <t>Front FOG</t>
  </si>
  <si>
    <t>Rear FOG</t>
  </si>
  <si>
    <t>FOG50R_</t>
  </si>
  <si>
    <t>FOG50F_</t>
  </si>
  <si>
    <t>All 5 devices of Delhi80, except one rear mic of one device,  passed the stability margin-10, the result is acceptable.</t>
  </si>
  <si>
    <t>Suspension material I - 84X676V01</t>
  </si>
  <si>
    <t>Based on WQ3539-50W and lower the hardness to 40A with higher resilience rebound</t>
  </si>
  <si>
    <t>I_320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</si>
</sst>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6]d\.\ mmmm\ yyyy;@"/>
    <numFmt numFmtId="165" formatCode="0.0"/>
    <numFmt numFmtId="166" formatCode="yyyy/mm/dd;@"/>
    <numFmt numFmtId="167" formatCode="0.00_ "/>
    <numFmt numFmtId="168" formatCode="0.0%"/>
  </numFmts>
  <fonts count="63">
    <font>
      <sz val="10"/>
      <name val="Arial"/>
      <family val="2"/>
    </font>
    <font>
      <sz val="11"/>
      <color theme="1"/>
      <name val="Calibri"/>
      <family val="2"/>
      <charset val="134"/>
      <scheme val="minor"/>
    </font>
    <font>
      <sz val="8"/>
      <name val="Arial"/>
      <family val="2"/>
    </font>
    <font>
      <sz val="12"/>
      <name val="Times New Roman"/>
      <family val="1"/>
    </font>
    <font>
      <b/>
      <sz val="18"/>
      <name val="Times New Roman"/>
      <family val="1"/>
    </font>
    <font>
      <i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14"/>
      <name val="Arial"/>
      <family val="2"/>
    </font>
    <font>
      <b/>
      <sz val="12"/>
      <color indexed="10"/>
      <name val="Times New Roman"/>
      <family val="1"/>
    </font>
    <font>
      <sz val="9"/>
      <name val="宋体"/>
      <family val="3"/>
      <charset val="134"/>
    </font>
    <font>
      <sz val="10"/>
      <color indexed="10"/>
      <name val="Arial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Tahoma"/>
      <family val="2"/>
    </font>
    <font>
      <sz val="10"/>
      <color theme="1"/>
      <name val="微软雅黑"/>
      <family val="2"/>
      <charset val="134"/>
    </font>
    <font>
      <sz val="10"/>
      <color theme="0"/>
      <name val="Tahoma"/>
      <family val="2"/>
    </font>
    <font>
      <sz val="10"/>
      <color theme="0"/>
      <name val="微软雅黑"/>
      <family val="2"/>
      <charset val="134"/>
    </font>
    <font>
      <sz val="10"/>
      <color rgb="FF9C0006"/>
      <name val="Tahoma"/>
      <family val="2"/>
    </font>
    <font>
      <sz val="10"/>
      <color rgb="FF9C0006"/>
      <name val="微软雅黑"/>
      <family val="2"/>
      <charset val="134"/>
    </font>
    <font>
      <b/>
      <sz val="10"/>
      <color rgb="FFFA7D00"/>
      <name val="Tahoma"/>
      <family val="2"/>
    </font>
    <font>
      <b/>
      <sz val="10"/>
      <color rgb="FFFA7D00"/>
      <name val="微软雅黑"/>
      <family val="2"/>
      <charset val="134"/>
    </font>
    <font>
      <b/>
      <sz val="10"/>
      <color theme="0"/>
      <name val="Tahoma"/>
      <family val="2"/>
    </font>
    <font>
      <b/>
      <sz val="10"/>
      <color theme="0"/>
      <name val="微软雅黑"/>
      <family val="2"/>
      <charset val="134"/>
    </font>
    <font>
      <i/>
      <sz val="10"/>
      <color rgb="FF7F7F7F"/>
      <name val="Tahoma"/>
      <family val="2"/>
    </font>
    <font>
      <i/>
      <sz val="10"/>
      <color rgb="FF7F7F7F"/>
      <name val="微软雅黑"/>
      <family val="2"/>
      <charset val="134"/>
    </font>
    <font>
      <sz val="10"/>
      <color rgb="FF006100"/>
      <name val="Tahoma"/>
      <family val="2"/>
    </font>
    <font>
      <sz val="10"/>
      <color rgb="FF006100"/>
      <name val="微软雅黑"/>
      <family val="2"/>
      <charset val="134"/>
    </font>
    <font>
      <b/>
      <sz val="15"/>
      <color theme="3"/>
      <name val="Tahoma"/>
      <family val="2"/>
    </font>
    <font>
      <b/>
      <sz val="15"/>
      <color theme="3"/>
      <name val="微软雅黑"/>
      <family val="2"/>
      <charset val="134"/>
    </font>
    <font>
      <b/>
      <sz val="13"/>
      <color theme="3"/>
      <name val="Tahoma"/>
      <family val="2"/>
    </font>
    <font>
      <b/>
      <sz val="13"/>
      <color theme="3"/>
      <name val="微软雅黑"/>
      <family val="2"/>
      <charset val="134"/>
    </font>
    <font>
      <b/>
      <sz val="11"/>
      <color theme="3"/>
      <name val="Tahoma"/>
      <family val="2"/>
    </font>
    <font>
      <b/>
      <sz val="11"/>
      <color theme="3"/>
      <name val="微软雅黑"/>
      <family val="2"/>
      <charset val="134"/>
    </font>
    <font>
      <sz val="10"/>
      <color rgb="FF3F3F76"/>
      <name val="Tahoma"/>
      <family val="2"/>
    </font>
    <font>
      <sz val="10"/>
      <color rgb="FF3F3F76"/>
      <name val="微软雅黑"/>
      <family val="2"/>
      <charset val="134"/>
    </font>
    <font>
      <sz val="10"/>
      <color rgb="FFFA7D00"/>
      <name val="Tahoma"/>
      <family val="2"/>
    </font>
    <font>
      <sz val="10"/>
      <color rgb="FFFA7D00"/>
      <name val="微软雅黑"/>
      <family val="2"/>
      <charset val="134"/>
    </font>
    <font>
      <sz val="10"/>
      <color rgb="FF9C6500"/>
      <name val="Tahoma"/>
      <family val="2"/>
    </font>
    <font>
      <sz val="10"/>
      <color rgb="FF9C6500"/>
      <name val="微软雅黑"/>
      <family val="2"/>
      <charset val="134"/>
    </font>
    <font>
      <b/>
      <sz val="10"/>
      <color rgb="FF3F3F3F"/>
      <name val="Tahoma"/>
      <family val="2"/>
    </font>
    <font>
      <b/>
      <sz val="10"/>
      <color rgb="FF3F3F3F"/>
      <name val="微软雅黑"/>
      <family val="2"/>
      <charset val="134"/>
    </font>
    <font>
      <b/>
      <sz val="18"/>
      <color theme="3"/>
      <name val="Cambria"/>
      <family val="3"/>
      <charset val="134"/>
      <scheme val="major"/>
    </font>
    <font>
      <b/>
      <sz val="10"/>
      <color theme="1"/>
      <name val="Tahoma"/>
      <family val="2"/>
    </font>
    <font>
      <b/>
      <sz val="10"/>
      <color theme="1"/>
      <name val="微软雅黑"/>
      <family val="2"/>
      <charset val="134"/>
    </font>
    <font>
      <sz val="10"/>
      <color rgb="FFFF0000"/>
      <name val="Tahoma"/>
      <family val="2"/>
    </font>
    <font>
      <sz val="10"/>
      <color rgb="FFFF0000"/>
      <name val="微软雅黑"/>
      <family val="2"/>
      <charset val="134"/>
    </font>
    <font>
      <sz val="10"/>
      <color rgb="FFFF00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u/>
      <sz val="10"/>
      <color theme="10"/>
      <name val="Arial"/>
      <family val="2"/>
    </font>
    <font>
      <sz val="9"/>
      <name val="Calibri"/>
      <family val="3"/>
      <charset val="134"/>
      <scheme val="minor"/>
    </font>
    <font>
      <sz val="10"/>
      <name val="Arial"/>
      <family val="2"/>
    </font>
    <font>
      <b/>
      <sz val="12"/>
      <color theme="1"/>
      <name val="Times New Roman"/>
      <family val="1"/>
    </font>
    <font>
      <b/>
      <sz val="11"/>
      <color theme="1"/>
      <name val="Calibri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rgb="FFFF0000"/>
      <name val="Calibri"/>
      <family val="3"/>
      <charset val="134"/>
      <scheme val="minor"/>
    </font>
    <font>
      <b/>
      <sz val="12"/>
      <color theme="0"/>
      <name val="Times New Roman"/>
      <family val="1"/>
    </font>
  </fonts>
  <fills count="5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02">
    <xf numFmtId="0" fontId="0" fillId="0" borderId="0"/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2" fillId="37" borderId="12" applyNumberFormat="0" applyAlignment="0" applyProtection="0">
      <alignment vertical="center"/>
    </xf>
    <xf numFmtId="0" fontId="22" fillId="37" borderId="12" applyNumberFormat="0" applyAlignment="0" applyProtection="0">
      <alignment vertical="center"/>
    </xf>
    <xf numFmtId="0" fontId="22" fillId="37" borderId="12" applyNumberFormat="0" applyAlignment="0" applyProtection="0">
      <alignment vertical="center"/>
    </xf>
    <xf numFmtId="0" fontId="22" fillId="37" borderId="12" applyNumberFormat="0" applyAlignment="0" applyProtection="0">
      <alignment vertical="center"/>
    </xf>
    <xf numFmtId="0" fontId="22" fillId="37" borderId="12" applyNumberFormat="0" applyAlignment="0" applyProtection="0">
      <alignment vertical="center"/>
    </xf>
    <xf numFmtId="0" fontId="22" fillId="37" borderId="12" applyNumberFormat="0" applyAlignment="0" applyProtection="0">
      <alignment vertical="center"/>
    </xf>
    <xf numFmtId="0" fontId="23" fillId="37" borderId="12" applyNumberFormat="0" applyAlignment="0" applyProtection="0">
      <alignment vertical="center"/>
    </xf>
    <xf numFmtId="0" fontId="24" fillId="38" borderId="13" applyNumberFormat="0" applyAlignment="0" applyProtection="0">
      <alignment vertical="center"/>
    </xf>
    <xf numFmtId="0" fontId="24" fillId="38" borderId="13" applyNumberFormat="0" applyAlignment="0" applyProtection="0">
      <alignment vertical="center"/>
    </xf>
    <xf numFmtId="0" fontId="24" fillId="38" borderId="13" applyNumberFormat="0" applyAlignment="0" applyProtection="0">
      <alignment vertical="center"/>
    </xf>
    <xf numFmtId="0" fontId="24" fillId="38" borderId="13" applyNumberFormat="0" applyAlignment="0" applyProtection="0">
      <alignment vertical="center"/>
    </xf>
    <xf numFmtId="0" fontId="24" fillId="38" borderId="13" applyNumberFormat="0" applyAlignment="0" applyProtection="0">
      <alignment vertical="center"/>
    </xf>
    <xf numFmtId="0" fontId="24" fillId="38" borderId="13" applyNumberFormat="0" applyAlignment="0" applyProtection="0">
      <alignment vertical="center"/>
    </xf>
    <xf numFmtId="0" fontId="25" fillId="38" borderId="13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40" borderId="12" applyNumberFormat="0" applyAlignment="0" applyProtection="0">
      <alignment vertical="center"/>
    </xf>
    <xf numFmtId="0" fontId="36" fillId="40" borderId="12" applyNumberFormat="0" applyAlignment="0" applyProtection="0">
      <alignment vertical="center"/>
    </xf>
    <xf numFmtId="0" fontId="36" fillId="40" borderId="12" applyNumberFormat="0" applyAlignment="0" applyProtection="0">
      <alignment vertical="center"/>
    </xf>
    <xf numFmtId="0" fontId="36" fillId="40" borderId="12" applyNumberFormat="0" applyAlignment="0" applyProtection="0">
      <alignment vertical="center"/>
    </xf>
    <xf numFmtId="0" fontId="36" fillId="40" borderId="12" applyNumberFormat="0" applyAlignment="0" applyProtection="0">
      <alignment vertical="center"/>
    </xf>
    <xf numFmtId="0" fontId="36" fillId="40" borderId="12" applyNumberFormat="0" applyAlignment="0" applyProtection="0">
      <alignment vertical="center"/>
    </xf>
    <xf numFmtId="0" fontId="37" fillId="40" borderId="12" applyNumberFormat="0" applyAlignment="0" applyProtection="0">
      <alignment vertical="center"/>
    </xf>
    <xf numFmtId="0" fontId="38" fillId="0" borderId="17" applyNumberFormat="0" applyFill="0" applyAlignment="0" applyProtection="0">
      <alignment vertical="center"/>
    </xf>
    <xf numFmtId="0" fontId="38" fillId="0" borderId="17" applyNumberFormat="0" applyFill="0" applyAlignment="0" applyProtection="0">
      <alignment vertical="center"/>
    </xf>
    <xf numFmtId="0" fontId="38" fillId="0" borderId="17" applyNumberFormat="0" applyFill="0" applyAlignment="0" applyProtection="0">
      <alignment vertical="center"/>
    </xf>
    <xf numFmtId="0" fontId="38" fillId="0" borderId="17" applyNumberFormat="0" applyFill="0" applyAlignment="0" applyProtection="0">
      <alignment vertical="center"/>
    </xf>
    <xf numFmtId="0" fontId="38" fillId="0" borderId="17" applyNumberFormat="0" applyFill="0" applyAlignment="0" applyProtection="0">
      <alignment vertical="center"/>
    </xf>
    <xf numFmtId="0" fontId="38" fillId="0" borderId="17" applyNumberFormat="0" applyFill="0" applyAlignment="0" applyProtection="0">
      <alignment vertical="center"/>
    </xf>
    <xf numFmtId="0" fontId="39" fillId="0" borderId="17" applyNumberFormat="0" applyFill="0" applyAlignment="0" applyProtection="0">
      <alignment vertical="center"/>
    </xf>
    <xf numFmtId="0" fontId="40" fillId="41" borderId="0" applyNumberFormat="0" applyBorder="0" applyAlignment="0" applyProtection="0">
      <alignment vertical="center"/>
    </xf>
    <xf numFmtId="0" fontId="40" fillId="41" borderId="0" applyNumberFormat="0" applyBorder="0" applyAlignment="0" applyProtection="0">
      <alignment vertical="center"/>
    </xf>
    <xf numFmtId="0" fontId="40" fillId="41" borderId="0" applyNumberFormat="0" applyBorder="0" applyAlignment="0" applyProtection="0">
      <alignment vertical="center"/>
    </xf>
    <xf numFmtId="0" fontId="40" fillId="41" borderId="0" applyNumberFormat="0" applyBorder="0" applyAlignment="0" applyProtection="0">
      <alignment vertical="center"/>
    </xf>
    <xf numFmtId="0" fontId="40" fillId="41" borderId="0" applyNumberFormat="0" applyBorder="0" applyAlignment="0" applyProtection="0">
      <alignment vertical="center"/>
    </xf>
    <xf numFmtId="0" fontId="40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16" fillId="42" borderId="18" applyNumberFormat="0" applyFont="0" applyAlignment="0" applyProtection="0">
      <alignment vertical="center"/>
    </xf>
    <xf numFmtId="0" fontId="16" fillId="42" borderId="18" applyNumberFormat="0" applyFont="0" applyAlignment="0" applyProtection="0">
      <alignment vertical="center"/>
    </xf>
    <xf numFmtId="0" fontId="16" fillId="42" borderId="18" applyNumberFormat="0" applyFont="0" applyAlignment="0" applyProtection="0">
      <alignment vertical="center"/>
    </xf>
    <xf numFmtId="0" fontId="16" fillId="42" borderId="18" applyNumberFormat="0" applyFont="0" applyAlignment="0" applyProtection="0">
      <alignment vertical="center"/>
    </xf>
    <xf numFmtId="0" fontId="16" fillId="42" borderId="18" applyNumberFormat="0" applyFont="0" applyAlignment="0" applyProtection="0">
      <alignment vertical="center"/>
    </xf>
    <xf numFmtId="0" fontId="16" fillId="42" borderId="18" applyNumberFormat="0" applyFont="0" applyAlignment="0" applyProtection="0">
      <alignment vertical="center"/>
    </xf>
    <xf numFmtId="0" fontId="17" fillId="42" borderId="18" applyNumberFormat="0" applyFont="0" applyAlignment="0" applyProtection="0">
      <alignment vertical="center"/>
    </xf>
    <xf numFmtId="0" fontId="42" fillId="37" borderId="19" applyNumberFormat="0" applyAlignment="0" applyProtection="0">
      <alignment vertical="center"/>
    </xf>
    <xf numFmtId="0" fontId="42" fillId="37" borderId="19" applyNumberFormat="0" applyAlignment="0" applyProtection="0">
      <alignment vertical="center"/>
    </xf>
    <xf numFmtId="0" fontId="42" fillId="37" borderId="19" applyNumberFormat="0" applyAlignment="0" applyProtection="0">
      <alignment vertical="center"/>
    </xf>
    <xf numFmtId="0" fontId="42" fillId="37" borderId="19" applyNumberFormat="0" applyAlignment="0" applyProtection="0">
      <alignment vertical="center"/>
    </xf>
    <xf numFmtId="0" fontId="42" fillId="37" borderId="19" applyNumberFormat="0" applyAlignment="0" applyProtection="0">
      <alignment vertical="center"/>
    </xf>
    <xf numFmtId="0" fontId="42" fillId="37" borderId="19" applyNumberFormat="0" applyAlignment="0" applyProtection="0">
      <alignment vertical="center"/>
    </xf>
    <xf numFmtId="0" fontId="43" fillId="37" borderId="19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54" fillId="0" borderId="0" applyNumberFormat="0" applyFill="0" applyBorder="0" applyAlignment="0" applyProtection="0"/>
    <xf numFmtId="9" fontId="56" fillId="0" borderId="0" applyFont="0" applyFill="0" applyBorder="0" applyAlignment="0" applyProtection="0">
      <alignment vertical="center"/>
    </xf>
  </cellStyleXfs>
  <cellXfs count="125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164" fontId="3" fillId="0" borderId="0" xfId="0" applyNumberFormat="1" applyFont="1" applyAlignment="1">
      <alignment horizontal="left"/>
    </xf>
    <xf numFmtId="0" fontId="7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9" fillId="5" borderId="0" xfId="0" applyFont="1" applyFill="1"/>
    <xf numFmtId="0" fontId="10" fillId="6" borderId="1" xfId="0" applyFont="1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9" fillId="6" borderId="2" xfId="0" applyFont="1" applyFill="1" applyBorder="1"/>
    <xf numFmtId="0" fontId="9" fillId="2" borderId="0" xfId="0" applyFont="1" applyFill="1"/>
    <xf numFmtId="0" fontId="9" fillId="3" borderId="0" xfId="0" applyFont="1" applyFill="1"/>
    <xf numFmtId="0" fontId="9" fillId="4" borderId="0" xfId="0" applyFont="1" applyFill="1"/>
    <xf numFmtId="0" fontId="9" fillId="9" borderId="0" xfId="0" applyFont="1" applyFill="1"/>
    <xf numFmtId="0" fontId="9" fillId="0" borderId="0" xfId="0" applyFont="1"/>
    <xf numFmtId="0" fontId="0" fillId="11" borderId="0" xfId="0" applyFill="1"/>
    <xf numFmtId="0" fontId="9" fillId="11" borderId="0" xfId="0" applyFont="1" applyFill="1"/>
    <xf numFmtId="0" fontId="10" fillId="11" borderId="0" xfId="0" applyFont="1" applyFill="1" applyAlignment="1">
      <alignment horizontal="right"/>
    </xf>
    <xf numFmtId="165" fontId="0" fillId="2" borderId="0" xfId="0" applyNumberFormat="1" applyFill="1"/>
    <xf numFmtId="165" fontId="0" fillId="3" borderId="0" xfId="0" applyNumberFormat="1" applyFill="1"/>
    <xf numFmtId="0" fontId="9" fillId="2" borderId="0" xfId="0" applyFont="1" applyFill="1" applyAlignment="1">
      <alignment horizontal="right"/>
    </xf>
    <xf numFmtId="0" fontId="9" fillId="3" borderId="0" xfId="0" applyFont="1" applyFill="1" applyAlignment="1">
      <alignment horizontal="right"/>
    </xf>
    <xf numFmtId="166" fontId="3" fillId="0" borderId="0" xfId="0" applyNumberFormat="1" applyFont="1" applyAlignment="1">
      <alignment horizontal="left"/>
    </xf>
    <xf numFmtId="0" fontId="3" fillId="0" borderId="0" xfId="0" applyFont="1" applyAlignment="1"/>
    <xf numFmtId="0" fontId="0" fillId="0" borderId="5" xfId="0" applyBorder="1"/>
    <xf numFmtId="0" fontId="0" fillId="0" borderId="5" xfId="0" applyFill="1" applyBorder="1"/>
    <xf numFmtId="0" fontId="13" fillId="0" borderId="0" xfId="0" applyFont="1"/>
    <xf numFmtId="0" fontId="0" fillId="43" borderId="5" xfId="0" applyFill="1" applyBorder="1"/>
    <xf numFmtId="0" fontId="0" fillId="43" borderId="4" xfId="0" applyFill="1" applyBorder="1"/>
    <xf numFmtId="0" fontId="0" fillId="44" borderId="5" xfId="0" applyFill="1" applyBorder="1"/>
    <xf numFmtId="0" fontId="0" fillId="44" borderId="4" xfId="0" applyFill="1" applyBorder="1"/>
    <xf numFmtId="0" fontId="0" fillId="45" borderId="5" xfId="0" applyFill="1" applyBorder="1"/>
    <xf numFmtId="0" fontId="0" fillId="45" borderId="4" xfId="0" applyFill="1" applyBorder="1"/>
    <xf numFmtId="0" fontId="0" fillId="46" borderId="5" xfId="0" applyFill="1" applyBorder="1"/>
    <xf numFmtId="0" fontId="0" fillId="46" borderId="4" xfId="0" applyFill="1" applyBorder="1"/>
    <xf numFmtId="0" fontId="0" fillId="47" borderId="5" xfId="0" applyFill="1" applyBorder="1"/>
    <xf numFmtId="0" fontId="0" fillId="47" borderId="4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5" xfId="0" applyBorder="1" applyAlignment="1"/>
    <xf numFmtId="0" fontId="0" fillId="0" borderId="5" xfId="0" applyFill="1" applyBorder="1" applyAlignment="1"/>
    <xf numFmtId="0" fontId="0" fillId="48" borderId="5" xfId="0" applyFill="1" applyBorder="1"/>
    <xf numFmtId="0" fontId="0" fillId="49" borderId="0" xfId="0" applyFill="1"/>
    <xf numFmtId="0" fontId="49" fillId="0" borderId="0" xfId="0" applyFont="1"/>
    <xf numFmtId="0" fontId="0" fillId="48" borderId="0" xfId="0" applyFill="1"/>
    <xf numFmtId="1" fontId="0" fillId="48" borderId="0" xfId="0" applyNumberFormat="1" applyFill="1" applyBorder="1" applyAlignment="1" applyProtection="1">
      <alignment horizontal="right"/>
      <protection locked="0"/>
    </xf>
    <xf numFmtId="49" fontId="0" fillId="48" borderId="6" xfId="0" applyNumberFormat="1" applyFill="1" applyBorder="1" applyAlignment="1" applyProtection="1">
      <alignment horizontal="right"/>
      <protection locked="0"/>
    </xf>
    <xf numFmtId="1" fontId="0" fillId="48" borderId="5" xfId="0" applyNumberFormat="1" applyFill="1" applyBorder="1" applyAlignment="1" applyProtection="1">
      <alignment horizontal="right"/>
      <protection locked="0"/>
    </xf>
    <xf numFmtId="0" fontId="3" fillId="50" borderId="7" xfId="0" applyFont="1" applyFill="1" applyBorder="1"/>
    <xf numFmtId="0" fontId="3" fillId="50" borderId="5" xfId="0" applyFont="1" applyFill="1" applyBorder="1"/>
    <xf numFmtId="0" fontId="3" fillId="50" borderId="8" xfId="0" applyFont="1" applyFill="1" applyBorder="1"/>
    <xf numFmtId="0" fontId="3" fillId="50" borderId="9" xfId="0" applyFont="1" applyFill="1" applyBorder="1"/>
    <xf numFmtId="0" fontId="9" fillId="51" borderId="0" xfId="0" applyFont="1" applyFill="1"/>
    <xf numFmtId="0" fontId="9" fillId="52" borderId="0" xfId="0" applyFont="1" applyFill="1"/>
    <xf numFmtId="49" fontId="3" fillId="50" borderId="7" xfId="0" applyNumberFormat="1" applyFont="1" applyFill="1" applyBorder="1"/>
    <xf numFmtId="167" fontId="3" fillId="50" borderId="5" xfId="0" applyNumberFormat="1" applyFont="1" applyFill="1" applyBorder="1"/>
    <xf numFmtId="167" fontId="3" fillId="50" borderId="8" xfId="0" applyNumberFormat="1" applyFont="1" applyFill="1" applyBorder="1"/>
    <xf numFmtId="0" fontId="16" fillId="0" borderId="0" xfId="256">
      <alignment vertical="center"/>
    </xf>
    <xf numFmtId="0" fontId="16" fillId="0" borderId="0" xfId="256">
      <alignment vertical="center"/>
    </xf>
    <xf numFmtId="0" fontId="16" fillId="0" borderId="0" xfId="256">
      <alignment vertical="center"/>
    </xf>
    <xf numFmtId="0" fontId="16" fillId="0" borderId="0" xfId="256">
      <alignment vertical="center"/>
    </xf>
    <xf numFmtId="0" fontId="16" fillId="0" borderId="0" xfId="257">
      <alignment vertical="center"/>
    </xf>
    <xf numFmtId="0" fontId="16" fillId="0" borderId="0" xfId="257">
      <alignment vertical="center"/>
    </xf>
    <xf numFmtId="0" fontId="16" fillId="0" borderId="0" xfId="257">
      <alignment vertical="center"/>
    </xf>
    <xf numFmtId="0" fontId="16" fillId="0" borderId="0" xfId="257">
      <alignment vertical="center"/>
    </xf>
    <xf numFmtId="0" fontId="16" fillId="0" borderId="0" xfId="257">
      <alignment vertical="center"/>
    </xf>
    <xf numFmtId="0" fontId="16" fillId="0" borderId="0" xfId="258">
      <alignment vertical="center"/>
    </xf>
    <xf numFmtId="0" fontId="17" fillId="0" borderId="0" xfId="259">
      <alignment vertical="center"/>
    </xf>
    <xf numFmtId="0" fontId="17" fillId="0" borderId="0" xfId="259">
      <alignment vertical="center"/>
    </xf>
    <xf numFmtId="0" fontId="17" fillId="0" borderId="0" xfId="259">
      <alignment vertical="center"/>
    </xf>
    <xf numFmtId="0" fontId="17" fillId="0" borderId="0" xfId="259">
      <alignment vertical="center"/>
    </xf>
    <xf numFmtId="0" fontId="17" fillId="0" borderId="0" xfId="259">
      <alignment vertical="center"/>
    </xf>
    <xf numFmtId="0" fontId="17" fillId="0" borderId="0" xfId="259">
      <alignment vertical="center"/>
    </xf>
    <xf numFmtId="0" fontId="17" fillId="0" borderId="0" xfId="259">
      <alignment vertical="center"/>
    </xf>
    <xf numFmtId="0" fontId="0" fillId="0" borderId="0" xfId="0" applyAlignment="1">
      <alignment vertical="center"/>
    </xf>
    <xf numFmtId="0" fontId="17" fillId="0" borderId="0" xfId="259">
      <alignment vertical="center"/>
    </xf>
    <xf numFmtId="0" fontId="52" fillId="0" borderId="5" xfId="299" applyFont="1" applyBorder="1">
      <alignment vertical="center"/>
    </xf>
    <xf numFmtId="0" fontId="53" fillId="0" borderId="5" xfId="299" applyFont="1" applyBorder="1">
      <alignment vertical="center"/>
    </xf>
    <xf numFmtId="0" fontId="53" fillId="0" borderId="5" xfId="299" applyFont="1" applyBorder="1">
      <alignment vertical="center"/>
    </xf>
    <xf numFmtId="167" fontId="0" fillId="0" borderId="0" xfId="0" applyNumberFormat="1"/>
    <xf numFmtId="167" fontId="54" fillId="50" borderId="5" xfId="300" applyNumberFormat="1" applyFill="1" applyBorder="1"/>
    <xf numFmtId="167" fontId="54" fillId="50" borderId="8" xfId="300" applyNumberFormat="1" applyFill="1" applyBorder="1"/>
    <xf numFmtId="49" fontId="0" fillId="0" borderId="0" xfId="0" applyNumberFormat="1"/>
    <xf numFmtId="168" fontId="0" fillId="0" borderId="0" xfId="0" applyNumberFormat="1"/>
    <xf numFmtId="0" fontId="0" fillId="0" borderId="0" xfId="0" applyNumberFormat="1"/>
    <xf numFmtId="0" fontId="57" fillId="54" borderId="7" xfId="0" applyFont="1" applyFill="1" applyBorder="1" applyAlignment="1">
      <alignment horizontal="right" vertical="center"/>
    </xf>
    <xf numFmtId="4" fontId="0" fillId="54" borderId="5" xfId="0" applyNumberFormat="1" applyFill="1" applyBorder="1" applyAlignment="1">
      <alignment horizontal="center" vertical="center"/>
    </xf>
    <xf numFmtId="3" fontId="0" fillId="54" borderId="5" xfId="0" applyNumberFormat="1" applyFill="1" applyBorder="1" applyAlignment="1">
      <alignment horizontal="center" vertical="center"/>
    </xf>
    <xf numFmtId="0" fontId="0" fillId="54" borderId="5" xfId="0" applyFill="1" applyBorder="1" applyAlignment="1">
      <alignment horizontal="center" vertical="center"/>
    </xf>
    <xf numFmtId="0" fontId="58" fillId="54" borderId="7" xfId="0" applyFont="1" applyFill="1" applyBorder="1" applyAlignment="1">
      <alignment horizontal="right" vertical="center" wrapText="1"/>
    </xf>
    <xf numFmtId="168" fontId="9" fillId="54" borderId="5" xfId="301" applyNumberFormat="1" applyFont="1" applyFill="1" applyBorder="1" applyAlignment="1">
      <alignment horizontal="center" vertical="center" wrapText="1"/>
    </xf>
    <xf numFmtId="0" fontId="58" fillId="54" borderId="9" xfId="0" applyFont="1" applyFill="1" applyBorder="1" applyAlignment="1">
      <alignment horizontal="right" vertical="center" wrapText="1"/>
    </xf>
    <xf numFmtId="168" fontId="61" fillId="54" borderId="22" xfId="301" applyNumberFormat="1" applyFont="1" applyFill="1" applyBorder="1" applyAlignment="1">
      <alignment horizontal="center" vertical="center" wrapText="1"/>
    </xf>
    <xf numFmtId="0" fontId="53" fillId="0" borderId="5" xfId="0" applyFont="1" applyBorder="1" applyAlignment="1">
      <alignment vertical="center"/>
    </xf>
    <xf numFmtId="0" fontId="0" fillId="48" borderId="0" xfId="0" applyFill="1" applyBorder="1"/>
    <xf numFmtId="0" fontId="0" fillId="0" borderId="0" xfId="0" applyBorder="1"/>
    <xf numFmtId="0" fontId="62" fillId="55" borderId="0" xfId="0" applyFont="1" applyFill="1"/>
    <xf numFmtId="0" fontId="0" fillId="0" borderId="5" xfId="0" applyFill="1" applyBorder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0" xfId="0" applyFont="1" applyAlignment="1">
      <alignment vertical="top" wrapText="1"/>
    </xf>
    <xf numFmtId="0" fontId="3" fillId="53" borderId="3" xfId="0" applyFont="1" applyFill="1" applyBorder="1" applyAlignment="1">
      <alignment horizontal="center"/>
    </xf>
    <xf numFmtId="0" fontId="3" fillId="53" borderId="10" xfId="0" applyFont="1" applyFill="1" applyBorder="1" applyAlignment="1">
      <alignment horizontal="center"/>
    </xf>
    <xf numFmtId="0" fontId="3" fillId="53" borderId="11" xfId="0" applyFont="1" applyFill="1" applyBorder="1" applyAlignment="1">
      <alignment horizontal="center"/>
    </xf>
    <xf numFmtId="0" fontId="3" fillId="0" borderId="21" xfId="0" applyFont="1" applyBorder="1" applyAlignment="1">
      <alignment vertical="top" wrapText="1"/>
    </xf>
    <xf numFmtId="0" fontId="8" fillId="0" borderId="0" xfId="0" applyFont="1" applyAlignment="1">
      <alignment horizontal="left" vertical="top" wrapText="1"/>
    </xf>
    <xf numFmtId="0" fontId="3" fillId="0" borderId="0" xfId="0" quotePrefix="1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9" fillId="6" borderId="0" xfId="0" applyFont="1" applyFill="1" applyAlignment="1">
      <alignment horizontal="left"/>
    </xf>
    <xf numFmtId="0" fontId="0" fillId="54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302">
    <cellStyle name="20% - Accent1 2" xfId="1"/>
    <cellStyle name="20% - Accent1 3" xfId="2"/>
    <cellStyle name="20% - Accent1 4" xfId="3"/>
    <cellStyle name="20% - Accent1 5" xfId="4"/>
    <cellStyle name="20% - Accent1 6" xfId="5"/>
    <cellStyle name="20% - Accent1 7" xfId="6"/>
    <cellStyle name="20% - Accent1 8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2 8" xfId="14"/>
    <cellStyle name="20% - Accent3 2" xfId="15"/>
    <cellStyle name="20% - Accent3 3" xfId="16"/>
    <cellStyle name="20% - Accent3 4" xfId="17"/>
    <cellStyle name="20% - Accent3 5" xfId="18"/>
    <cellStyle name="20% - Accent3 6" xfId="19"/>
    <cellStyle name="20% - Accent3 7" xfId="20"/>
    <cellStyle name="20% - Accent3 8" xfId="21"/>
    <cellStyle name="20% - Accent4 2" xfId="22"/>
    <cellStyle name="20% - Accent4 3" xfId="23"/>
    <cellStyle name="20% - Accent4 4" xfId="24"/>
    <cellStyle name="20% - Accent4 5" xfId="25"/>
    <cellStyle name="20% - Accent4 6" xfId="26"/>
    <cellStyle name="20% - Accent4 7" xfId="27"/>
    <cellStyle name="20% - Accent4 8" xfId="28"/>
    <cellStyle name="20% - Accent5 2" xfId="29"/>
    <cellStyle name="20% - Accent5 3" xfId="30"/>
    <cellStyle name="20% - Accent5 4" xfId="31"/>
    <cellStyle name="20% - Accent5 5" xfId="32"/>
    <cellStyle name="20% - Accent5 6" xfId="33"/>
    <cellStyle name="20% - Accent5 7" xfId="34"/>
    <cellStyle name="20% - Accent5 8" xfId="35"/>
    <cellStyle name="20% - Accent6 2" xfId="36"/>
    <cellStyle name="20% - Accent6 3" xfId="37"/>
    <cellStyle name="20% - Accent6 4" xfId="38"/>
    <cellStyle name="20% - Accent6 5" xfId="39"/>
    <cellStyle name="20% - Accent6 6" xfId="40"/>
    <cellStyle name="20% - Accent6 7" xfId="41"/>
    <cellStyle name="20% - Accent6 8" xfId="42"/>
    <cellStyle name="40% - Accent1 2" xfId="43"/>
    <cellStyle name="40% - Accent1 3" xfId="44"/>
    <cellStyle name="40% - Accent1 4" xfId="45"/>
    <cellStyle name="40% - Accent1 5" xfId="46"/>
    <cellStyle name="40% - Accent1 6" xfId="47"/>
    <cellStyle name="40% - Accent1 7" xfId="48"/>
    <cellStyle name="40% - Accent1 8" xfId="49"/>
    <cellStyle name="40% - Accent2 2" xfId="50"/>
    <cellStyle name="40% - Accent2 3" xfId="51"/>
    <cellStyle name="40% - Accent2 4" xfId="52"/>
    <cellStyle name="40% - Accent2 5" xfId="53"/>
    <cellStyle name="40% - Accent2 6" xfId="54"/>
    <cellStyle name="40% - Accent2 7" xfId="55"/>
    <cellStyle name="40% - Accent2 8" xfId="56"/>
    <cellStyle name="40% - Accent3 2" xfId="57"/>
    <cellStyle name="40% - Accent3 3" xfId="58"/>
    <cellStyle name="40% - Accent3 4" xfId="59"/>
    <cellStyle name="40% - Accent3 5" xfId="60"/>
    <cellStyle name="40% - Accent3 6" xfId="61"/>
    <cellStyle name="40% - Accent3 7" xfId="62"/>
    <cellStyle name="40% - Accent3 8" xfId="63"/>
    <cellStyle name="40% - Accent4 2" xfId="64"/>
    <cellStyle name="40% - Accent4 3" xfId="65"/>
    <cellStyle name="40% - Accent4 4" xfId="66"/>
    <cellStyle name="40% - Accent4 5" xfId="67"/>
    <cellStyle name="40% - Accent4 6" xfId="68"/>
    <cellStyle name="40% - Accent4 7" xfId="69"/>
    <cellStyle name="40% - Accent4 8" xfId="70"/>
    <cellStyle name="40% - Accent5 2" xfId="71"/>
    <cellStyle name="40% - Accent5 3" xfId="72"/>
    <cellStyle name="40% - Accent5 4" xfId="73"/>
    <cellStyle name="40% - Accent5 5" xfId="74"/>
    <cellStyle name="40% - Accent5 6" xfId="75"/>
    <cellStyle name="40% - Accent5 7" xfId="76"/>
    <cellStyle name="40% - Accent5 8" xfId="77"/>
    <cellStyle name="40% - Accent6 2" xfId="78"/>
    <cellStyle name="40% - Accent6 3" xfId="79"/>
    <cellStyle name="40% - Accent6 4" xfId="80"/>
    <cellStyle name="40% - Accent6 5" xfId="81"/>
    <cellStyle name="40% - Accent6 6" xfId="82"/>
    <cellStyle name="40% - Accent6 7" xfId="83"/>
    <cellStyle name="40% - Accent6 8" xfId="84"/>
    <cellStyle name="60% - Accent1 2" xfId="85"/>
    <cellStyle name="60% - Accent1 3" xfId="86"/>
    <cellStyle name="60% - Accent1 4" xfId="87"/>
    <cellStyle name="60% - Accent1 5" xfId="88"/>
    <cellStyle name="60% - Accent1 6" xfId="89"/>
    <cellStyle name="60% - Accent1 7" xfId="90"/>
    <cellStyle name="60% - Accent1 8" xfId="91"/>
    <cellStyle name="60% - Accent2 2" xfId="92"/>
    <cellStyle name="60% - Accent2 3" xfId="93"/>
    <cellStyle name="60% - Accent2 4" xfId="94"/>
    <cellStyle name="60% - Accent2 5" xfId="95"/>
    <cellStyle name="60% - Accent2 6" xfId="96"/>
    <cellStyle name="60% - Accent2 7" xfId="97"/>
    <cellStyle name="60% - Accent2 8" xfId="98"/>
    <cellStyle name="60% - Accent3 2" xfId="99"/>
    <cellStyle name="60% - Accent3 3" xfId="100"/>
    <cellStyle name="60% - Accent3 4" xfId="101"/>
    <cellStyle name="60% - Accent3 5" xfId="102"/>
    <cellStyle name="60% - Accent3 6" xfId="103"/>
    <cellStyle name="60% - Accent3 7" xfId="104"/>
    <cellStyle name="60% - Accent3 8" xfId="105"/>
    <cellStyle name="60% - Accent4 2" xfId="106"/>
    <cellStyle name="60% - Accent4 3" xfId="107"/>
    <cellStyle name="60% - Accent4 4" xfId="108"/>
    <cellStyle name="60% - Accent4 5" xfId="109"/>
    <cellStyle name="60% - Accent4 6" xfId="110"/>
    <cellStyle name="60% - Accent4 7" xfId="111"/>
    <cellStyle name="60% - Accent4 8" xfId="112"/>
    <cellStyle name="60% - Accent5 2" xfId="113"/>
    <cellStyle name="60% - Accent5 3" xfId="114"/>
    <cellStyle name="60% - Accent5 4" xfId="115"/>
    <cellStyle name="60% - Accent5 5" xfId="116"/>
    <cellStyle name="60% - Accent5 6" xfId="117"/>
    <cellStyle name="60% - Accent5 7" xfId="118"/>
    <cellStyle name="60% - Accent5 8" xfId="119"/>
    <cellStyle name="60% - Accent6 2" xfId="120"/>
    <cellStyle name="60% - Accent6 3" xfId="121"/>
    <cellStyle name="60% - Accent6 4" xfId="122"/>
    <cellStyle name="60% - Accent6 5" xfId="123"/>
    <cellStyle name="60% - Accent6 6" xfId="124"/>
    <cellStyle name="60% - Accent6 7" xfId="125"/>
    <cellStyle name="60% - Accent6 8" xfId="126"/>
    <cellStyle name="Accent1 2" xfId="127"/>
    <cellStyle name="Accent1 3" xfId="128"/>
    <cellStyle name="Accent1 4" xfId="129"/>
    <cellStyle name="Accent1 5" xfId="130"/>
    <cellStyle name="Accent1 6" xfId="131"/>
    <cellStyle name="Accent1 7" xfId="132"/>
    <cellStyle name="Accent1 8" xfId="133"/>
    <cellStyle name="Accent2 2" xfId="134"/>
    <cellStyle name="Accent2 3" xfId="135"/>
    <cellStyle name="Accent2 4" xfId="136"/>
    <cellStyle name="Accent2 5" xfId="137"/>
    <cellStyle name="Accent2 6" xfId="138"/>
    <cellStyle name="Accent2 7" xfId="139"/>
    <cellStyle name="Accent2 8" xfId="140"/>
    <cellStyle name="Accent3 2" xfId="141"/>
    <cellStyle name="Accent3 3" xfId="142"/>
    <cellStyle name="Accent3 4" xfId="143"/>
    <cellStyle name="Accent3 5" xfId="144"/>
    <cellStyle name="Accent3 6" xfId="145"/>
    <cellStyle name="Accent3 7" xfId="146"/>
    <cellStyle name="Accent3 8" xfId="147"/>
    <cellStyle name="Accent4 2" xfId="148"/>
    <cellStyle name="Accent4 3" xfId="149"/>
    <cellStyle name="Accent4 4" xfId="150"/>
    <cellStyle name="Accent4 5" xfId="151"/>
    <cellStyle name="Accent4 6" xfId="152"/>
    <cellStyle name="Accent4 7" xfId="153"/>
    <cellStyle name="Accent4 8" xfId="154"/>
    <cellStyle name="Accent5 2" xfId="155"/>
    <cellStyle name="Accent5 3" xfId="156"/>
    <cellStyle name="Accent5 4" xfId="157"/>
    <cellStyle name="Accent5 5" xfId="158"/>
    <cellStyle name="Accent5 6" xfId="159"/>
    <cellStyle name="Accent5 7" xfId="160"/>
    <cellStyle name="Accent5 8" xfId="161"/>
    <cellStyle name="Accent6 2" xfId="162"/>
    <cellStyle name="Accent6 3" xfId="163"/>
    <cellStyle name="Accent6 4" xfId="164"/>
    <cellStyle name="Accent6 5" xfId="165"/>
    <cellStyle name="Accent6 6" xfId="166"/>
    <cellStyle name="Accent6 7" xfId="167"/>
    <cellStyle name="Accent6 8" xfId="168"/>
    <cellStyle name="Bad 2" xfId="169"/>
    <cellStyle name="Bad 3" xfId="170"/>
    <cellStyle name="Bad 4" xfId="171"/>
    <cellStyle name="Bad 5" xfId="172"/>
    <cellStyle name="Bad 6" xfId="173"/>
    <cellStyle name="Bad 7" xfId="174"/>
    <cellStyle name="Bad 8" xfId="175"/>
    <cellStyle name="Calculation 2" xfId="176"/>
    <cellStyle name="Calculation 3" xfId="177"/>
    <cellStyle name="Calculation 4" xfId="178"/>
    <cellStyle name="Calculation 5" xfId="179"/>
    <cellStyle name="Calculation 6" xfId="180"/>
    <cellStyle name="Calculation 7" xfId="181"/>
    <cellStyle name="Calculation 8" xfId="182"/>
    <cellStyle name="Check Cell 2" xfId="183"/>
    <cellStyle name="Check Cell 3" xfId="184"/>
    <cellStyle name="Check Cell 4" xfId="185"/>
    <cellStyle name="Check Cell 5" xfId="186"/>
    <cellStyle name="Check Cell 6" xfId="187"/>
    <cellStyle name="Check Cell 7" xfId="188"/>
    <cellStyle name="Check Cell 8" xfId="189"/>
    <cellStyle name="Explanatory Text 2" xfId="190"/>
    <cellStyle name="Explanatory Text 3" xfId="191"/>
    <cellStyle name="Explanatory Text 4" xfId="192"/>
    <cellStyle name="Explanatory Text 5" xfId="193"/>
    <cellStyle name="Explanatory Text 6" xfId="194"/>
    <cellStyle name="Explanatory Text 7" xfId="195"/>
    <cellStyle name="Explanatory Text 8" xfId="196"/>
    <cellStyle name="Good 2" xfId="197"/>
    <cellStyle name="Good 3" xfId="198"/>
    <cellStyle name="Good 4" xfId="199"/>
    <cellStyle name="Good 5" xfId="200"/>
    <cellStyle name="Good 6" xfId="201"/>
    <cellStyle name="Good 7" xfId="202"/>
    <cellStyle name="Good 8" xfId="203"/>
    <cellStyle name="Heading 1 2" xfId="204"/>
    <cellStyle name="Heading 1 3" xfId="205"/>
    <cellStyle name="Heading 1 4" xfId="206"/>
    <cellStyle name="Heading 1 5" xfId="207"/>
    <cellStyle name="Heading 1 6" xfId="208"/>
    <cellStyle name="Heading 1 7" xfId="209"/>
    <cellStyle name="Heading 1 8" xfId="210"/>
    <cellStyle name="Heading 2 2" xfId="211"/>
    <cellStyle name="Heading 2 3" xfId="212"/>
    <cellStyle name="Heading 2 4" xfId="213"/>
    <cellStyle name="Heading 2 5" xfId="214"/>
    <cellStyle name="Heading 2 6" xfId="215"/>
    <cellStyle name="Heading 2 7" xfId="216"/>
    <cellStyle name="Heading 2 8" xfId="217"/>
    <cellStyle name="Heading 3 2" xfId="218"/>
    <cellStyle name="Heading 3 3" xfId="219"/>
    <cellStyle name="Heading 3 4" xfId="220"/>
    <cellStyle name="Heading 3 5" xfId="221"/>
    <cellStyle name="Heading 3 6" xfId="222"/>
    <cellStyle name="Heading 3 7" xfId="223"/>
    <cellStyle name="Heading 3 8" xfId="224"/>
    <cellStyle name="Heading 4 2" xfId="225"/>
    <cellStyle name="Heading 4 3" xfId="226"/>
    <cellStyle name="Heading 4 4" xfId="227"/>
    <cellStyle name="Heading 4 5" xfId="228"/>
    <cellStyle name="Heading 4 6" xfId="229"/>
    <cellStyle name="Heading 4 7" xfId="230"/>
    <cellStyle name="Heading 4 8" xfId="231"/>
    <cellStyle name="Hyperlink" xfId="300" builtinId="8"/>
    <cellStyle name="Input 2" xfId="232"/>
    <cellStyle name="Input 3" xfId="233"/>
    <cellStyle name="Input 4" xfId="234"/>
    <cellStyle name="Input 5" xfId="235"/>
    <cellStyle name="Input 6" xfId="236"/>
    <cellStyle name="Input 7" xfId="237"/>
    <cellStyle name="Input 8" xfId="238"/>
    <cellStyle name="Linked Cell 2" xfId="239"/>
    <cellStyle name="Linked Cell 3" xfId="240"/>
    <cellStyle name="Linked Cell 4" xfId="241"/>
    <cellStyle name="Linked Cell 5" xfId="242"/>
    <cellStyle name="Linked Cell 6" xfId="243"/>
    <cellStyle name="Linked Cell 7" xfId="244"/>
    <cellStyle name="Linked Cell 8" xfId="245"/>
    <cellStyle name="Neutral 2" xfId="246"/>
    <cellStyle name="Neutral 3" xfId="247"/>
    <cellStyle name="Neutral 4" xfId="248"/>
    <cellStyle name="Neutral 5" xfId="249"/>
    <cellStyle name="Neutral 6" xfId="250"/>
    <cellStyle name="Neutral 7" xfId="251"/>
    <cellStyle name="Neutral 8" xfId="252"/>
    <cellStyle name="Normal" xfId="0" builtinId="0"/>
    <cellStyle name="Normal 2" xfId="253"/>
    <cellStyle name="Normal 3" xfId="254"/>
    <cellStyle name="Normal 4" xfId="255"/>
    <cellStyle name="Normal 5" xfId="256"/>
    <cellStyle name="Normal 6" xfId="257"/>
    <cellStyle name="Normal 7" xfId="258"/>
    <cellStyle name="Normal 8" xfId="259"/>
    <cellStyle name="Note 2" xfId="260"/>
    <cellStyle name="Note 3" xfId="261"/>
    <cellStyle name="Note 4" xfId="262"/>
    <cellStyle name="Note 5" xfId="263"/>
    <cellStyle name="Note 6" xfId="264"/>
    <cellStyle name="Note 7" xfId="265"/>
    <cellStyle name="Note 8" xfId="266"/>
    <cellStyle name="Output 2" xfId="267"/>
    <cellStyle name="Output 3" xfId="268"/>
    <cellStyle name="Output 4" xfId="269"/>
    <cellStyle name="Output 5" xfId="270"/>
    <cellStyle name="Output 6" xfId="271"/>
    <cellStyle name="Output 7" xfId="272"/>
    <cellStyle name="Output 8" xfId="273"/>
    <cellStyle name="Percent" xfId="301" builtinId="5"/>
    <cellStyle name="Title 10" xfId="274"/>
    <cellStyle name="Title 11" xfId="275"/>
    <cellStyle name="Title 12" xfId="276"/>
    <cellStyle name="Title 2" xfId="277"/>
    <cellStyle name="Title 3" xfId="278"/>
    <cellStyle name="Title 4" xfId="279"/>
    <cellStyle name="Title 5" xfId="280"/>
    <cellStyle name="Title 6" xfId="281"/>
    <cellStyle name="Title 7" xfId="282"/>
    <cellStyle name="Title 8" xfId="283"/>
    <cellStyle name="Title 9" xfId="284"/>
    <cellStyle name="Total 2" xfId="285"/>
    <cellStyle name="Total 3" xfId="286"/>
    <cellStyle name="Total 4" xfId="287"/>
    <cellStyle name="Total 5" xfId="288"/>
    <cellStyle name="Total 6" xfId="289"/>
    <cellStyle name="Total 7" xfId="290"/>
    <cellStyle name="Total 8" xfId="291"/>
    <cellStyle name="Warning Text 2" xfId="292"/>
    <cellStyle name="Warning Text 3" xfId="293"/>
    <cellStyle name="Warning Text 4" xfId="294"/>
    <cellStyle name="Warning Text 5" xfId="295"/>
    <cellStyle name="Warning Text 6" xfId="296"/>
    <cellStyle name="Warning Text 7" xfId="297"/>
    <cellStyle name="Warning Text 8" xfId="298"/>
    <cellStyle name="常规 2" xfId="29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chartsheet" Target="chartsheets/sheet15.xml"/><Relationship Id="rId26" Type="http://schemas.openxmlformats.org/officeDocument/2006/relationships/chartsheet" Target="chartsheets/sheet18.xml"/><Relationship Id="rId39" Type="http://schemas.openxmlformats.org/officeDocument/2006/relationships/styles" Target="styles.xml"/><Relationship Id="rId3" Type="http://schemas.openxmlformats.org/officeDocument/2006/relationships/chartsheet" Target="chartsheets/sheet1.xml"/><Relationship Id="rId21" Type="http://schemas.openxmlformats.org/officeDocument/2006/relationships/worksheet" Target="worksheets/sheet4.xml"/><Relationship Id="rId34" Type="http://schemas.openxmlformats.org/officeDocument/2006/relationships/worksheet" Target="worksheets/sheet10.xml"/><Relationship Id="rId42" Type="http://schemas.microsoft.com/office/2006/relationships/vbaProject" Target="vbaProject.bin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chartsheet" Target="chartsheets/sheet14.xml"/><Relationship Id="rId25" Type="http://schemas.openxmlformats.org/officeDocument/2006/relationships/worksheet" Target="worksheets/sheet8.xml"/><Relationship Id="rId33" Type="http://schemas.openxmlformats.org/officeDocument/2006/relationships/chartsheet" Target="chartsheets/sheet24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3.xml"/><Relationship Id="rId20" Type="http://schemas.openxmlformats.org/officeDocument/2006/relationships/chartsheet" Target="chartsheets/sheet17.xml"/><Relationship Id="rId29" Type="http://schemas.openxmlformats.org/officeDocument/2006/relationships/chartsheet" Target="chartsheets/sheet20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24" Type="http://schemas.openxmlformats.org/officeDocument/2006/relationships/worksheet" Target="worksheets/sheet7.xml"/><Relationship Id="rId32" Type="http://schemas.openxmlformats.org/officeDocument/2006/relationships/chartsheet" Target="chartsheets/sheet23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3.xml"/><Relationship Id="rId15" Type="http://schemas.openxmlformats.org/officeDocument/2006/relationships/chartsheet" Target="chartsheets/sheet12.xml"/><Relationship Id="rId23" Type="http://schemas.openxmlformats.org/officeDocument/2006/relationships/worksheet" Target="worksheets/sheet6.xml"/><Relationship Id="rId28" Type="http://schemas.openxmlformats.org/officeDocument/2006/relationships/chartsheet" Target="chartsheets/sheet19.xml"/><Relationship Id="rId36" Type="http://schemas.openxmlformats.org/officeDocument/2006/relationships/worksheet" Target="worksheets/sheet12.xml"/><Relationship Id="rId10" Type="http://schemas.openxmlformats.org/officeDocument/2006/relationships/chartsheet" Target="chartsheets/sheet7.xml"/><Relationship Id="rId19" Type="http://schemas.openxmlformats.org/officeDocument/2006/relationships/chartsheet" Target="chartsheets/sheet16.xml"/><Relationship Id="rId31" Type="http://schemas.openxmlformats.org/officeDocument/2006/relationships/chartsheet" Target="chartsheets/sheet22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Relationship Id="rId22" Type="http://schemas.openxmlformats.org/officeDocument/2006/relationships/worksheet" Target="worksheets/sheet5.xml"/><Relationship Id="rId27" Type="http://schemas.openxmlformats.org/officeDocument/2006/relationships/worksheet" Target="worksheets/sheet9.xml"/><Relationship Id="rId30" Type="http://schemas.openxmlformats.org/officeDocument/2006/relationships/chartsheet" Target="chartsheets/sheet21.xml"/><Relationship Id="rId35" Type="http://schemas.openxmlformats.org/officeDocument/2006/relationships/worksheet" Target="worksheets/sheet1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Max Stable Gain Front mic.  Delhi80</a:t>
            </a:r>
          </a:p>
        </c:rich>
      </c:tx>
      <c:layout>
        <c:manualLayout>
          <c:xMode val="edge"/>
          <c:yMode val="edge"/>
          <c:x val="0.16683942438229704"/>
          <c:y val="6.756618228695989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248704663212433E-2"/>
          <c:y val="8.6148648648648643E-2"/>
          <c:w val="0.90984455958549226"/>
          <c:h val="0.79054054054054057"/>
        </c:manualLayout>
      </c:layout>
      <c:scatterChart>
        <c:scatterStyle val="lineMarker"/>
        <c:varyColors val="0"/>
        <c:ser>
          <c:idx val="5"/>
          <c:order val="0"/>
          <c:tx>
            <c:strRef>
              <c:f>'Average data'!$C$5</c:f>
              <c:strCache>
                <c:ptCount val="1"/>
                <c:pt idx="0">
                  <c:v>MSG_Average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data'!$C$6:$C$86</c:f>
              <c:numCache>
                <c:formatCode>0.0</c:formatCode>
                <c:ptCount val="81"/>
                <c:pt idx="0">
                  <c:v>36.955333333333343</c:v>
                </c:pt>
                <c:pt idx="1">
                  <c:v>37.548000000000002</c:v>
                </c:pt>
                <c:pt idx="2">
                  <c:v>38.322000000000003</c:v>
                </c:pt>
                <c:pt idx="3">
                  <c:v>39.12466666666667</c:v>
                </c:pt>
                <c:pt idx="4">
                  <c:v>37.397333333333336</c:v>
                </c:pt>
                <c:pt idx="5">
                  <c:v>37.517999999999994</c:v>
                </c:pt>
                <c:pt idx="6">
                  <c:v>37.612000000000002</c:v>
                </c:pt>
                <c:pt idx="7">
                  <c:v>36.912666666666667</c:v>
                </c:pt>
                <c:pt idx="8">
                  <c:v>38.945333333333323</c:v>
                </c:pt>
                <c:pt idx="9">
                  <c:v>38.929999999999993</c:v>
                </c:pt>
                <c:pt idx="10">
                  <c:v>37.333333333333336</c:v>
                </c:pt>
                <c:pt idx="11">
                  <c:v>37.429333333333339</c:v>
                </c:pt>
                <c:pt idx="12">
                  <c:v>38.191333333333333</c:v>
                </c:pt>
                <c:pt idx="13">
                  <c:v>37.597999999999999</c:v>
                </c:pt>
                <c:pt idx="14">
                  <c:v>38.649333333333331</c:v>
                </c:pt>
                <c:pt idx="15">
                  <c:v>37.644666666666659</c:v>
                </c:pt>
                <c:pt idx="16">
                  <c:v>36.803999999999995</c:v>
                </c:pt>
                <c:pt idx="17">
                  <c:v>37.896666666666668</c:v>
                </c:pt>
                <c:pt idx="18">
                  <c:v>37.001333333333335</c:v>
                </c:pt>
                <c:pt idx="19">
                  <c:v>37.316666666666663</c:v>
                </c:pt>
                <c:pt idx="20">
                  <c:v>35.975999999999999</c:v>
                </c:pt>
                <c:pt idx="21">
                  <c:v>36.864666666666665</c:v>
                </c:pt>
                <c:pt idx="22">
                  <c:v>36.249333333333333</c:v>
                </c:pt>
                <c:pt idx="23">
                  <c:v>36.190666666666665</c:v>
                </c:pt>
                <c:pt idx="24">
                  <c:v>36.340666666666664</c:v>
                </c:pt>
                <c:pt idx="25">
                  <c:v>36.034000000000006</c:v>
                </c:pt>
                <c:pt idx="26">
                  <c:v>36.375999999999998</c:v>
                </c:pt>
                <c:pt idx="27">
                  <c:v>36.249333333333333</c:v>
                </c:pt>
                <c:pt idx="28">
                  <c:v>36.234000000000002</c:v>
                </c:pt>
                <c:pt idx="29">
                  <c:v>36.075333333333333</c:v>
                </c:pt>
                <c:pt idx="30">
                  <c:v>36.288666666666664</c:v>
                </c:pt>
                <c:pt idx="31">
                  <c:v>36.547333333333334</c:v>
                </c:pt>
                <c:pt idx="32">
                  <c:v>36.784000000000006</c:v>
                </c:pt>
                <c:pt idx="33">
                  <c:v>37.082666666666668</c:v>
                </c:pt>
                <c:pt idx="34">
                  <c:v>36.762</c:v>
                </c:pt>
                <c:pt idx="35">
                  <c:v>36.738</c:v>
                </c:pt>
                <c:pt idx="36">
                  <c:v>36.585999999999999</c:v>
                </c:pt>
                <c:pt idx="37">
                  <c:v>36.736666666666665</c:v>
                </c:pt>
                <c:pt idx="38">
                  <c:v>37.258000000000003</c:v>
                </c:pt>
                <c:pt idx="39">
                  <c:v>37.784666666666666</c:v>
                </c:pt>
                <c:pt idx="40">
                  <c:v>37.872666666666667</c:v>
                </c:pt>
                <c:pt idx="41">
                  <c:v>37.641999999999996</c:v>
                </c:pt>
                <c:pt idx="42">
                  <c:v>37.712666666666664</c:v>
                </c:pt>
                <c:pt idx="43">
                  <c:v>38.200666666666663</c:v>
                </c:pt>
                <c:pt idx="44">
                  <c:v>37.704666666666661</c:v>
                </c:pt>
                <c:pt idx="45">
                  <c:v>37.465999999999994</c:v>
                </c:pt>
                <c:pt idx="46">
                  <c:v>38.095333333333329</c:v>
                </c:pt>
                <c:pt idx="47">
                  <c:v>37.953333333333333</c:v>
                </c:pt>
                <c:pt idx="48">
                  <c:v>37.813333333333333</c:v>
                </c:pt>
                <c:pt idx="49">
                  <c:v>37.158000000000001</c:v>
                </c:pt>
                <c:pt idx="50">
                  <c:v>36.594666666666662</c:v>
                </c:pt>
                <c:pt idx="51">
                  <c:v>36.419333333333341</c:v>
                </c:pt>
                <c:pt idx="52">
                  <c:v>36.065333333333328</c:v>
                </c:pt>
                <c:pt idx="53">
                  <c:v>35.950666666666663</c:v>
                </c:pt>
                <c:pt idx="54">
                  <c:v>35.767999999999994</c:v>
                </c:pt>
                <c:pt idx="55">
                  <c:v>35.582666666666668</c:v>
                </c:pt>
                <c:pt idx="56">
                  <c:v>35.268666666666661</c:v>
                </c:pt>
                <c:pt idx="57">
                  <c:v>34.971333333333327</c:v>
                </c:pt>
                <c:pt idx="58">
                  <c:v>34.43933333333333</c:v>
                </c:pt>
                <c:pt idx="59">
                  <c:v>33.691333333333333</c:v>
                </c:pt>
                <c:pt idx="60">
                  <c:v>33.094666666666662</c:v>
                </c:pt>
                <c:pt idx="61">
                  <c:v>32.481333333333332</c:v>
                </c:pt>
                <c:pt idx="62">
                  <c:v>32.126666666666665</c:v>
                </c:pt>
                <c:pt idx="63">
                  <c:v>32.112666666666669</c:v>
                </c:pt>
                <c:pt idx="64">
                  <c:v>32.210666666666668</c:v>
                </c:pt>
                <c:pt idx="65">
                  <c:v>31.738666666666667</c:v>
                </c:pt>
                <c:pt idx="66">
                  <c:v>31.911333333333335</c:v>
                </c:pt>
                <c:pt idx="67">
                  <c:v>31.935333333333336</c:v>
                </c:pt>
                <c:pt idx="68">
                  <c:v>31.929333333333329</c:v>
                </c:pt>
                <c:pt idx="69">
                  <c:v>32.150666666666666</c:v>
                </c:pt>
                <c:pt idx="70">
                  <c:v>32.331333333333333</c:v>
                </c:pt>
                <c:pt idx="71">
                  <c:v>32.203333333333333</c:v>
                </c:pt>
                <c:pt idx="72">
                  <c:v>32.246000000000002</c:v>
                </c:pt>
                <c:pt idx="73">
                  <c:v>31.817999999999994</c:v>
                </c:pt>
                <c:pt idx="74">
                  <c:v>30.667999999999996</c:v>
                </c:pt>
                <c:pt idx="75">
                  <c:v>28.707999999999998</c:v>
                </c:pt>
                <c:pt idx="76">
                  <c:v>30.104666666666663</c:v>
                </c:pt>
                <c:pt idx="77">
                  <c:v>31.15</c:v>
                </c:pt>
                <c:pt idx="78">
                  <c:v>28.994666666666667</c:v>
                </c:pt>
                <c:pt idx="79">
                  <c:v>26.866000000000003</c:v>
                </c:pt>
                <c:pt idx="80">
                  <c:v>31.18266666666667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'Average data'!$D$5</c:f>
              <c:strCache>
                <c:ptCount val="1"/>
                <c:pt idx="0">
                  <c:v>MSG + Std.Dev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data'!$D$6:$D$86</c:f>
              <c:numCache>
                <c:formatCode>0.0</c:formatCode>
                <c:ptCount val="81"/>
                <c:pt idx="0">
                  <c:v>72.065502569745803</c:v>
                </c:pt>
                <c:pt idx="1">
                  <c:v>73.880892260319712</c:v>
                </c:pt>
                <c:pt idx="2">
                  <c:v>76.27444509345122</c:v>
                </c:pt>
                <c:pt idx="3">
                  <c:v>78.735176611569401</c:v>
                </c:pt>
                <c:pt idx="4">
                  <c:v>73.424080632421848</c:v>
                </c:pt>
                <c:pt idx="5">
                  <c:v>73.80053283015711</c:v>
                </c:pt>
                <c:pt idx="6">
                  <c:v>74.078104848984651</c:v>
                </c:pt>
                <c:pt idx="7">
                  <c:v>71.93355114327305</c:v>
                </c:pt>
                <c:pt idx="8">
                  <c:v>78.303854259859634</c:v>
                </c:pt>
                <c:pt idx="9">
                  <c:v>78.202101511669269</c:v>
                </c:pt>
                <c:pt idx="10">
                  <c:v>73.283118484025849</c:v>
                </c:pt>
                <c:pt idx="11">
                  <c:v>73.554873856559269</c:v>
                </c:pt>
                <c:pt idx="12">
                  <c:v>75.904305119608424</c:v>
                </c:pt>
                <c:pt idx="13">
                  <c:v>74.058469826923513</c:v>
                </c:pt>
                <c:pt idx="14">
                  <c:v>77.331123155024926</c:v>
                </c:pt>
                <c:pt idx="15">
                  <c:v>74.199666298662805</c:v>
                </c:pt>
                <c:pt idx="16">
                  <c:v>71.595145384175808</c:v>
                </c:pt>
                <c:pt idx="17">
                  <c:v>74.967926359831864</c:v>
                </c:pt>
                <c:pt idx="18">
                  <c:v>72.206823746592676</c:v>
                </c:pt>
                <c:pt idx="19">
                  <c:v>73.173007740988439</c:v>
                </c:pt>
                <c:pt idx="20">
                  <c:v>69.084390132153175</c:v>
                </c:pt>
                <c:pt idx="21">
                  <c:v>71.845989206940445</c:v>
                </c:pt>
                <c:pt idx="22">
                  <c:v>69.912533772529912</c:v>
                </c:pt>
                <c:pt idx="23">
                  <c:v>69.753211365581649</c:v>
                </c:pt>
                <c:pt idx="24">
                  <c:v>70.181858486836404</c:v>
                </c:pt>
                <c:pt idx="25">
                  <c:v>69.232727987680505</c:v>
                </c:pt>
                <c:pt idx="26">
                  <c:v>70.278441083623633</c:v>
                </c:pt>
                <c:pt idx="27">
                  <c:v>69.904467619345681</c:v>
                </c:pt>
                <c:pt idx="28">
                  <c:v>69.855452292929215</c:v>
                </c:pt>
                <c:pt idx="29">
                  <c:v>69.362425397604113</c:v>
                </c:pt>
                <c:pt idx="30">
                  <c:v>70.037078029630251</c:v>
                </c:pt>
                <c:pt idx="31">
                  <c:v>70.817923904481034</c:v>
                </c:pt>
                <c:pt idx="32">
                  <c:v>71.545614256450847</c:v>
                </c:pt>
                <c:pt idx="33">
                  <c:v>72.452697254857043</c:v>
                </c:pt>
                <c:pt idx="34">
                  <c:v>71.472109725307064</c:v>
                </c:pt>
                <c:pt idx="35">
                  <c:v>71.401122685149346</c:v>
                </c:pt>
                <c:pt idx="36">
                  <c:v>70.946728788213193</c:v>
                </c:pt>
                <c:pt idx="37">
                  <c:v>71.39105778539107</c:v>
                </c:pt>
                <c:pt idx="38">
                  <c:v>73.02364157320342</c:v>
                </c:pt>
                <c:pt idx="39">
                  <c:v>74.676892109098816</c:v>
                </c:pt>
                <c:pt idx="40">
                  <c:v>74.989887249699592</c:v>
                </c:pt>
                <c:pt idx="41">
                  <c:v>74.288676754418759</c:v>
                </c:pt>
                <c:pt idx="42">
                  <c:v>74.51396195960568</c:v>
                </c:pt>
                <c:pt idx="43">
                  <c:v>76.148896526882936</c:v>
                </c:pt>
                <c:pt idx="44">
                  <c:v>74.493395310615412</c:v>
                </c:pt>
                <c:pt idx="45">
                  <c:v>73.717237574933705</c:v>
                </c:pt>
                <c:pt idx="46">
                  <c:v>75.804079735701237</c:v>
                </c:pt>
                <c:pt idx="47">
                  <c:v>75.296100785041858</c:v>
                </c:pt>
                <c:pt idx="48">
                  <c:v>74.831564298757968</c:v>
                </c:pt>
                <c:pt idx="49">
                  <c:v>72.757563841629946</c:v>
                </c:pt>
                <c:pt idx="50">
                  <c:v>71.009844146266857</c:v>
                </c:pt>
                <c:pt idx="51">
                  <c:v>70.50037382438029</c:v>
                </c:pt>
                <c:pt idx="52">
                  <c:v>69.383070108353394</c:v>
                </c:pt>
                <c:pt idx="53">
                  <c:v>68.99945235144024</c:v>
                </c:pt>
                <c:pt idx="54">
                  <c:v>68.428890592353937</c:v>
                </c:pt>
                <c:pt idx="55">
                  <c:v>67.850444151481511</c:v>
                </c:pt>
                <c:pt idx="56">
                  <c:v>66.879515813906025</c:v>
                </c:pt>
                <c:pt idx="57">
                  <c:v>65.966127335521747</c:v>
                </c:pt>
                <c:pt idx="58">
                  <c:v>64.332956271695167</c:v>
                </c:pt>
                <c:pt idx="59">
                  <c:v>62.035741919423778</c:v>
                </c:pt>
                <c:pt idx="60">
                  <c:v>60.20545705053587</c:v>
                </c:pt>
                <c:pt idx="61">
                  <c:v>58.327699993345902</c:v>
                </c:pt>
                <c:pt idx="62">
                  <c:v>57.247157922857909</c:v>
                </c:pt>
                <c:pt idx="63">
                  <c:v>57.216057862355939</c:v>
                </c:pt>
                <c:pt idx="64">
                  <c:v>57.497461771358502</c:v>
                </c:pt>
                <c:pt idx="65">
                  <c:v>56.047041727440231</c:v>
                </c:pt>
                <c:pt idx="66">
                  <c:v>56.573565553780007</c:v>
                </c:pt>
                <c:pt idx="67">
                  <c:v>56.65036544702788</c:v>
                </c:pt>
                <c:pt idx="68">
                  <c:v>56.634201409618754</c:v>
                </c:pt>
                <c:pt idx="69">
                  <c:v>57.30710420308683</c:v>
                </c:pt>
                <c:pt idx="70">
                  <c:v>57.865779218581487</c:v>
                </c:pt>
                <c:pt idx="71">
                  <c:v>57.466918551889265</c:v>
                </c:pt>
                <c:pt idx="72">
                  <c:v>57.598335987044663</c:v>
                </c:pt>
                <c:pt idx="73">
                  <c:v>56.284027817013055</c:v>
                </c:pt>
                <c:pt idx="74">
                  <c:v>52.753551256097595</c:v>
                </c:pt>
                <c:pt idx="75">
                  <c:v>46.756601924486318</c:v>
                </c:pt>
                <c:pt idx="76">
                  <c:v>51.389450925671525</c:v>
                </c:pt>
                <c:pt idx="77">
                  <c:v>54.986006976241399</c:v>
                </c:pt>
                <c:pt idx="78">
                  <c:v>48.564617709260617</c:v>
                </c:pt>
                <c:pt idx="79">
                  <c:v>41.521971869124599</c:v>
                </c:pt>
                <c:pt idx="80">
                  <c:v>54.674725041076243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'Average data'!$E$5</c:f>
              <c:strCache>
                <c:ptCount val="1"/>
                <c:pt idx="0">
                  <c:v>MSG - Std.Dev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data'!$E$6:$E$86</c:f>
              <c:numCache>
                <c:formatCode>0.0</c:formatCode>
                <c:ptCount val="81"/>
                <c:pt idx="0">
                  <c:v>1.8451640969208896</c:v>
                </c:pt>
                <c:pt idx="1">
                  <c:v>1.2151077396802918</c:v>
                </c:pt>
                <c:pt idx="2">
                  <c:v>0.36955490654879242</c:v>
                </c:pt>
                <c:pt idx="3">
                  <c:v>-0.48584327823606088</c:v>
                </c:pt>
                <c:pt idx="4">
                  <c:v>1.3705860342448233</c:v>
                </c:pt>
                <c:pt idx="5">
                  <c:v>1.2354671698428774</c:v>
                </c:pt>
                <c:pt idx="6">
                  <c:v>1.1458951510153454</c:v>
                </c:pt>
                <c:pt idx="7">
                  <c:v>1.8917821900602831</c:v>
                </c:pt>
                <c:pt idx="8">
                  <c:v>-0.41318759319298692</c:v>
                </c:pt>
                <c:pt idx="9">
                  <c:v>-0.34210151166929137</c:v>
                </c:pt>
                <c:pt idx="10">
                  <c:v>1.3835481826408227</c:v>
                </c:pt>
                <c:pt idx="11">
                  <c:v>1.3037928101074101</c:v>
                </c:pt>
                <c:pt idx="12">
                  <c:v>0.47836154705824185</c:v>
                </c:pt>
                <c:pt idx="13">
                  <c:v>1.1375301730764846</c:v>
                </c:pt>
                <c:pt idx="14">
                  <c:v>-3.2456488358270974E-2</c:v>
                </c:pt>
                <c:pt idx="15">
                  <c:v>1.0896670346705122</c:v>
                </c:pt>
                <c:pt idx="16">
                  <c:v>2.0128546158241818</c:v>
                </c:pt>
                <c:pt idx="17">
                  <c:v>0.8254069735014653</c:v>
                </c:pt>
                <c:pt idx="18">
                  <c:v>1.7958429200740014</c:v>
                </c:pt>
                <c:pt idx="19">
                  <c:v>1.460325592344887</c:v>
                </c:pt>
                <c:pt idx="20">
                  <c:v>2.8676098678468307</c:v>
                </c:pt>
                <c:pt idx="21">
                  <c:v>1.8833441263928847</c:v>
                </c:pt>
                <c:pt idx="22">
                  <c:v>2.5861328941367603</c:v>
                </c:pt>
                <c:pt idx="23">
                  <c:v>2.6281219677516745</c:v>
                </c:pt>
                <c:pt idx="24">
                  <c:v>2.4994748464969163</c:v>
                </c:pt>
                <c:pt idx="25">
                  <c:v>2.8352720123195141</c:v>
                </c:pt>
                <c:pt idx="26">
                  <c:v>2.473558916376362</c:v>
                </c:pt>
                <c:pt idx="27">
                  <c:v>2.5941990473209842</c:v>
                </c:pt>
                <c:pt idx="28">
                  <c:v>2.6125477070707959</c:v>
                </c:pt>
                <c:pt idx="29">
                  <c:v>2.78824126906256</c:v>
                </c:pt>
                <c:pt idx="30">
                  <c:v>2.5402553037030771</c:v>
                </c:pt>
                <c:pt idx="31">
                  <c:v>2.2767427621856271</c:v>
                </c:pt>
                <c:pt idx="32">
                  <c:v>2.0223857435491723</c:v>
                </c:pt>
                <c:pt idx="33">
                  <c:v>1.7126360784762866</c:v>
                </c:pt>
                <c:pt idx="34">
                  <c:v>2.0518902746929299</c:v>
                </c:pt>
                <c:pt idx="35">
                  <c:v>2.0748773148506601</c:v>
                </c:pt>
                <c:pt idx="36">
                  <c:v>2.2252712117868114</c:v>
                </c:pt>
                <c:pt idx="37">
                  <c:v>2.0822755479422668</c:v>
                </c:pt>
                <c:pt idx="38">
                  <c:v>1.492358426796585</c:v>
                </c:pt>
                <c:pt idx="39">
                  <c:v>0.89244122423451699</c:v>
                </c:pt>
                <c:pt idx="40">
                  <c:v>0.75544608363373555</c:v>
                </c:pt>
                <c:pt idx="41">
                  <c:v>0.99532324558122554</c:v>
                </c:pt>
                <c:pt idx="42">
                  <c:v>0.91137137372764698</c:v>
                </c:pt>
                <c:pt idx="43">
                  <c:v>0.25243680645039035</c:v>
                </c:pt>
                <c:pt idx="44">
                  <c:v>0.91593802271790992</c:v>
                </c:pt>
                <c:pt idx="45">
                  <c:v>1.2147624250662901</c:v>
                </c:pt>
                <c:pt idx="46">
                  <c:v>0.38658693096542152</c:v>
                </c:pt>
                <c:pt idx="47">
                  <c:v>0.61056588162480807</c:v>
                </c:pt>
                <c:pt idx="48">
                  <c:v>0.79510236790869726</c:v>
                </c:pt>
                <c:pt idx="49">
                  <c:v>1.558436158370057</c:v>
                </c:pt>
                <c:pt idx="50">
                  <c:v>2.1794891870664586</c:v>
                </c:pt>
                <c:pt idx="51">
                  <c:v>2.3382928422863998</c:v>
                </c:pt>
                <c:pt idx="52">
                  <c:v>2.7475965583132691</c:v>
                </c:pt>
                <c:pt idx="53">
                  <c:v>2.9018809818930862</c:v>
                </c:pt>
                <c:pt idx="54">
                  <c:v>3.1071094076460497</c:v>
                </c:pt>
                <c:pt idx="55">
                  <c:v>3.3148891818518251</c:v>
                </c:pt>
                <c:pt idx="56">
                  <c:v>3.6578175194272973</c:v>
                </c:pt>
                <c:pt idx="57">
                  <c:v>3.9765393311449095</c:v>
                </c:pt>
                <c:pt idx="58">
                  <c:v>4.545710394971497</c:v>
                </c:pt>
                <c:pt idx="59">
                  <c:v>5.3469247472428876</c:v>
                </c:pt>
                <c:pt idx="60">
                  <c:v>5.9838762827974534</c:v>
                </c:pt>
                <c:pt idx="61">
                  <c:v>6.6349666733207613</c:v>
                </c:pt>
                <c:pt idx="62">
                  <c:v>7.0061754104754215</c:v>
                </c:pt>
                <c:pt idx="63">
                  <c:v>7.0092754709773999</c:v>
                </c:pt>
                <c:pt idx="64">
                  <c:v>6.9238715619748348</c:v>
                </c:pt>
                <c:pt idx="65">
                  <c:v>7.4302916058931032</c:v>
                </c:pt>
                <c:pt idx="66">
                  <c:v>7.2491011128866631</c:v>
                </c:pt>
                <c:pt idx="67">
                  <c:v>7.2203012196387917</c:v>
                </c:pt>
                <c:pt idx="68">
                  <c:v>7.2244652570479033</c:v>
                </c:pt>
                <c:pt idx="69">
                  <c:v>6.9942291302465023</c:v>
                </c:pt>
                <c:pt idx="70">
                  <c:v>6.7968874480851795</c:v>
                </c:pt>
                <c:pt idx="71">
                  <c:v>6.9397481147773981</c:v>
                </c:pt>
                <c:pt idx="72">
                  <c:v>6.893664012955341</c:v>
                </c:pt>
                <c:pt idx="73">
                  <c:v>7.3519721829869304</c:v>
                </c:pt>
                <c:pt idx="74">
                  <c:v>8.5824487439023969</c:v>
                </c:pt>
                <c:pt idx="75">
                  <c:v>10.659398075513678</c:v>
                </c:pt>
                <c:pt idx="76">
                  <c:v>8.8198824076618045</c:v>
                </c:pt>
                <c:pt idx="77">
                  <c:v>7.3139930237586022</c:v>
                </c:pt>
                <c:pt idx="78">
                  <c:v>9.4247156240727215</c:v>
                </c:pt>
                <c:pt idx="79">
                  <c:v>12.21002813087541</c:v>
                </c:pt>
                <c:pt idx="80">
                  <c:v>7.6906082922570995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'Average data'!$J$5</c:f>
              <c:strCache>
                <c:ptCount val="1"/>
                <c:pt idx="0">
                  <c:v>FOG_Front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'Average data'!$I$6:$I$86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data'!$J$6:$J$86</c:f>
              <c:numCache>
                <c:formatCode>0.0</c:formatCode>
                <c:ptCount val="81"/>
                <c:pt idx="0">
                  <c:v>25.518000000000001</c:v>
                </c:pt>
                <c:pt idx="1">
                  <c:v>25.601999999999997</c:v>
                </c:pt>
                <c:pt idx="2">
                  <c:v>25.675999999999998</c:v>
                </c:pt>
                <c:pt idx="3">
                  <c:v>25.765999999999998</c:v>
                </c:pt>
                <c:pt idx="4">
                  <c:v>25.851999999999997</c:v>
                </c:pt>
                <c:pt idx="5">
                  <c:v>25.922000000000004</c:v>
                </c:pt>
                <c:pt idx="6">
                  <c:v>26.03</c:v>
                </c:pt>
                <c:pt idx="7">
                  <c:v>26.148000000000003</c:v>
                </c:pt>
                <c:pt idx="8">
                  <c:v>26.238</c:v>
                </c:pt>
                <c:pt idx="9">
                  <c:v>26.344000000000001</c:v>
                </c:pt>
                <c:pt idx="10">
                  <c:v>26.419999999999998</c:v>
                </c:pt>
                <c:pt idx="11">
                  <c:v>26.492000000000001</c:v>
                </c:pt>
                <c:pt idx="12">
                  <c:v>26.560000000000002</c:v>
                </c:pt>
                <c:pt idx="13">
                  <c:v>26.619999999999997</c:v>
                </c:pt>
                <c:pt idx="14">
                  <c:v>26.675999999999998</c:v>
                </c:pt>
                <c:pt idx="15">
                  <c:v>26.751999999999999</c:v>
                </c:pt>
                <c:pt idx="16">
                  <c:v>26.814</c:v>
                </c:pt>
                <c:pt idx="17">
                  <c:v>26.910000000000004</c:v>
                </c:pt>
                <c:pt idx="18">
                  <c:v>26.988</c:v>
                </c:pt>
                <c:pt idx="19">
                  <c:v>27.092000000000002</c:v>
                </c:pt>
                <c:pt idx="20">
                  <c:v>27.177999999999997</c:v>
                </c:pt>
                <c:pt idx="21">
                  <c:v>27.298000000000002</c:v>
                </c:pt>
                <c:pt idx="22">
                  <c:v>27.368000000000002</c:v>
                </c:pt>
                <c:pt idx="23">
                  <c:v>27.427999999999997</c:v>
                </c:pt>
                <c:pt idx="24">
                  <c:v>27.507999999999999</c:v>
                </c:pt>
                <c:pt idx="25">
                  <c:v>27.552</c:v>
                </c:pt>
                <c:pt idx="26">
                  <c:v>27.6</c:v>
                </c:pt>
                <c:pt idx="27">
                  <c:v>27.692</c:v>
                </c:pt>
                <c:pt idx="28">
                  <c:v>27.738</c:v>
                </c:pt>
                <c:pt idx="29">
                  <c:v>27.74</c:v>
                </c:pt>
                <c:pt idx="30">
                  <c:v>27.795999999999999</c:v>
                </c:pt>
                <c:pt idx="31">
                  <c:v>27.842000000000002</c:v>
                </c:pt>
                <c:pt idx="32">
                  <c:v>27.880000000000003</c:v>
                </c:pt>
                <c:pt idx="33">
                  <c:v>27.988</c:v>
                </c:pt>
                <c:pt idx="34">
                  <c:v>28.077999999999996</c:v>
                </c:pt>
                <c:pt idx="35">
                  <c:v>28.160000000000004</c:v>
                </c:pt>
                <c:pt idx="36">
                  <c:v>28.393999999999998</c:v>
                </c:pt>
                <c:pt idx="37">
                  <c:v>28.71</c:v>
                </c:pt>
                <c:pt idx="38">
                  <c:v>29.02</c:v>
                </c:pt>
                <c:pt idx="39">
                  <c:v>29.324000000000002</c:v>
                </c:pt>
                <c:pt idx="40">
                  <c:v>29.484000000000002</c:v>
                </c:pt>
                <c:pt idx="41">
                  <c:v>29.534000000000002</c:v>
                </c:pt>
                <c:pt idx="42">
                  <c:v>29.45</c:v>
                </c:pt>
                <c:pt idx="43">
                  <c:v>29.332000000000001</c:v>
                </c:pt>
                <c:pt idx="44">
                  <c:v>29.251999999999999</c:v>
                </c:pt>
                <c:pt idx="45">
                  <c:v>29.256</c:v>
                </c:pt>
                <c:pt idx="46">
                  <c:v>29.125999999999998</c:v>
                </c:pt>
                <c:pt idx="47">
                  <c:v>29.004000000000001</c:v>
                </c:pt>
                <c:pt idx="48">
                  <c:v>28.963999999999999</c:v>
                </c:pt>
                <c:pt idx="49">
                  <c:v>28.99</c:v>
                </c:pt>
                <c:pt idx="50">
                  <c:v>29.094000000000001</c:v>
                </c:pt>
                <c:pt idx="51">
                  <c:v>29.384000000000004</c:v>
                </c:pt>
                <c:pt idx="52">
                  <c:v>29.724</c:v>
                </c:pt>
                <c:pt idx="53">
                  <c:v>30.439999999999998</c:v>
                </c:pt>
                <c:pt idx="54">
                  <c:v>31.088000000000001</c:v>
                </c:pt>
                <c:pt idx="55">
                  <c:v>31.038</c:v>
                </c:pt>
                <c:pt idx="56">
                  <c:v>30.463999999999999</c:v>
                </c:pt>
                <c:pt idx="57">
                  <c:v>30.007999999999999</c:v>
                </c:pt>
                <c:pt idx="58">
                  <c:v>29.654000000000003</c:v>
                </c:pt>
                <c:pt idx="59">
                  <c:v>29.445999999999998</c:v>
                </c:pt>
                <c:pt idx="60">
                  <c:v>29.407999999999998</c:v>
                </c:pt>
                <c:pt idx="61">
                  <c:v>29.594000000000001</c:v>
                </c:pt>
                <c:pt idx="62">
                  <c:v>30.095999999999997</c:v>
                </c:pt>
                <c:pt idx="63">
                  <c:v>30.122000000000003</c:v>
                </c:pt>
                <c:pt idx="64">
                  <c:v>29.186</c:v>
                </c:pt>
                <c:pt idx="65">
                  <c:v>28.808</c:v>
                </c:pt>
                <c:pt idx="66">
                  <c:v>29.058</c:v>
                </c:pt>
                <c:pt idx="67">
                  <c:v>29.477999999999998</c:v>
                </c:pt>
                <c:pt idx="68">
                  <c:v>28.53</c:v>
                </c:pt>
                <c:pt idx="69">
                  <c:v>27.814</c:v>
                </c:pt>
                <c:pt idx="70">
                  <c:v>27.836000000000002</c:v>
                </c:pt>
                <c:pt idx="71">
                  <c:v>28.895999999999997</c:v>
                </c:pt>
                <c:pt idx="72">
                  <c:v>27.368000000000002</c:v>
                </c:pt>
                <c:pt idx="73">
                  <c:v>26.124000000000002</c:v>
                </c:pt>
                <c:pt idx="74">
                  <c:v>24.821999999999999</c:v>
                </c:pt>
                <c:pt idx="75">
                  <c:v>13.331999999999999</c:v>
                </c:pt>
                <c:pt idx="76">
                  <c:v>12.825999999999999</c:v>
                </c:pt>
                <c:pt idx="77">
                  <c:v>12.526</c:v>
                </c:pt>
                <c:pt idx="78">
                  <c:v>11.346</c:v>
                </c:pt>
                <c:pt idx="79">
                  <c:v>10.314</c:v>
                </c:pt>
                <c:pt idx="80">
                  <c:v>13.201999999999998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'Average data'!$K$5</c:f>
              <c:strCache>
                <c:ptCount val="1"/>
                <c:pt idx="0">
                  <c:v>FOG+Stability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'Average data'!$AD$6:$AD$86</c:f>
                <c:numCache>
                  <c:formatCode>General</c:formatCode>
                  <c:ptCount val="81"/>
                  <c:pt idx="0">
                    <c:v>10</c:v>
                  </c:pt>
                  <c:pt idx="1">
                    <c:v>10</c:v>
                  </c:pt>
                  <c:pt idx="2">
                    <c:v>10</c:v>
                  </c:pt>
                  <c:pt idx="3">
                    <c:v>10</c:v>
                  </c:pt>
                  <c:pt idx="4">
                    <c:v>10</c:v>
                  </c:pt>
                  <c:pt idx="5">
                    <c:v>10</c:v>
                  </c:pt>
                  <c:pt idx="6">
                    <c:v>10</c:v>
                  </c:pt>
                  <c:pt idx="7">
                    <c:v>10</c:v>
                  </c:pt>
                  <c:pt idx="8">
                    <c:v>10</c:v>
                  </c:pt>
                  <c:pt idx="9">
                    <c:v>10</c:v>
                  </c:pt>
                  <c:pt idx="10">
                    <c:v>10</c:v>
                  </c:pt>
                  <c:pt idx="11">
                    <c:v>10</c:v>
                  </c:pt>
                  <c:pt idx="12">
                    <c:v>10</c:v>
                  </c:pt>
                  <c:pt idx="13">
                    <c:v>10</c:v>
                  </c:pt>
                  <c:pt idx="14">
                    <c:v>10</c:v>
                  </c:pt>
                  <c:pt idx="15">
                    <c:v>10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10</c:v>
                  </c:pt>
                  <c:pt idx="21">
                    <c:v>10</c:v>
                  </c:pt>
                  <c:pt idx="22">
                    <c:v>10</c:v>
                  </c:pt>
                  <c:pt idx="23">
                    <c:v>10</c:v>
                  </c:pt>
                  <c:pt idx="24">
                    <c:v>10</c:v>
                  </c:pt>
                  <c:pt idx="25">
                    <c:v>10</c:v>
                  </c:pt>
                  <c:pt idx="26">
                    <c:v>10</c:v>
                  </c:pt>
                  <c:pt idx="27">
                    <c:v>10</c:v>
                  </c:pt>
                  <c:pt idx="28">
                    <c:v>10</c:v>
                  </c:pt>
                  <c:pt idx="29">
                    <c:v>10</c:v>
                  </c:pt>
                  <c:pt idx="30">
                    <c:v>10</c:v>
                  </c:pt>
                  <c:pt idx="31">
                    <c:v>10</c:v>
                  </c:pt>
                  <c:pt idx="32">
                    <c:v>10</c:v>
                  </c:pt>
                  <c:pt idx="33">
                    <c:v>10</c:v>
                  </c:pt>
                  <c:pt idx="34">
                    <c:v>10</c:v>
                  </c:pt>
                  <c:pt idx="35">
                    <c:v>10</c:v>
                  </c:pt>
                  <c:pt idx="36">
                    <c:v>10</c:v>
                  </c:pt>
                  <c:pt idx="37">
                    <c:v>10</c:v>
                  </c:pt>
                  <c:pt idx="38">
                    <c:v>10</c:v>
                  </c:pt>
                  <c:pt idx="39">
                    <c:v>10</c:v>
                  </c:pt>
                  <c:pt idx="40">
                    <c:v>10</c:v>
                  </c:pt>
                  <c:pt idx="41">
                    <c:v>10</c:v>
                  </c:pt>
                  <c:pt idx="42">
                    <c:v>10</c:v>
                  </c:pt>
                  <c:pt idx="43">
                    <c:v>10</c:v>
                  </c:pt>
                  <c:pt idx="44">
                    <c:v>10</c:v>
                  </c:pt>
                  <c:pt idx="45">
                    <c:v>10</c:v>
                  </c:pt>
                  <c:pt idx="46">
                    <c:v>10</c:v>
                  </c:pt>
                  <c:pt idx="47">
                    <c:v>10</c:v>
                  </c:pt>
                  <c:pt idx="48">
                    <c:v>10</c:v>
                  </c:pt>
                  <c:pt idx="49">
                    <c:v>10</c:v>
                  </c:pt>
                  <c:pt idx="50">
                    <c:v>10</c:v>
                  </c:pt>
                  <c:pt idx="51">
                    <c:v>10</c:v>
                  </c:pt>
                  <c:pt idx="52">
                    <c:v>10</c:v>
                  </c:pt>
                  <c:pt idx="53">
                    <c:v>10</c:v>
                  </c:pt>
                  <c:pt idx="54">
                    <c:v>10</c:v>
                  </c:pt>
                  <c:pt idx="55">
                    <c:v>10</c:v>
                  </c:pt>
                  <c:pt idx="56">
                    <c:v>10</c:v>
                  </c:pt>
                  <c:pt idx="57">
                    <c:v>10</c:v>
                  </c:pt>
                  <c:pt idx="58">
                    <c:v>10</c:v>
                  </c:pt>
                  <c:pt idx="59">
                    <c:v>10</c:v>
                  </c:pt>
                  <c:pt idx="60">
                    <c:v>10</c:v>
                  </c:pt>
                  <c:pt idx="61">
                    <c:v>10</c:v>
                  </c:pt>
                  <c:pt idx="62">
                    <c:v>10</c:v>
                  </c:pt>
                  <c:pt idx="63">
                    <c:v>10</c:v>
                  </c:pt>
                  <c:pt idx="64">
                    <c:v>10</c:v>
                  </c:pt>
                  <c:pt idx="65">
                    <c:v>10</c:v>
                  </c:pt>
                  <c:pt idx="66">
                    <c:v>10</c:v>
                  </c:pt>
                  <c:pt idx="67">
                    <c:v>10</c:v>
                  </c:pt>
                  <c:pt idx="68">
                    <c:v>10</c:v>
                  </c:pt>
                  <c:pt idx="69">
                    <c:v>10</c:v>
                  </c:pt>
                  <c:pt idx="70">
                    <c:v>10</c:v>
                  </c:pt>
                  <c:pt idx="71">
                    <c:v>10</c:v>
                  </c:pt>
                  <c:pt idx="72">
                    <c:v>10</c:v>
                  </c:pt>
                  <c:pt idx="73">
                    <c:v>10</c:v>
                  </c:pt>
                  <c:pt idx="74">
                    <c:v>10</c:v>
                  </c:pt>
                  <c:pt idx="75">
                    <c:v>10</c:v>
                  </c:pt>
                  <c:pt idx="76">
                    <c:v>10</c:v>
                  </c:pt>
                  <c:pt idx="77">
                    <c:v>10</c:v>
                  </c:pt>
                  <c:pt idx="78">
                    <c:v>10</c:v>
                  </c:pt>
                  <c:pt idx="79">
                    <c:v>10</c:v>
                  </c:pt>
                  <c:pt idx="80">
                    <c:v>10</c:v>
                  </c:pt>
                </c:numCache>
              </c:numRef>
            </c:minus>
            <c:spPr>
              <a:ln w="3175">
                <a:solidFill>
                  <a:srgbClr val="339966"/>
                </a:solidFill>
                <a:prstDash val="sysDash"/>
              </a:ln>
            </c:spPr>
          </c:errBars>
          <c:xVal>
            <c:numRef>
              <c:f>'Average data'!$I$6:$I$86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data'!$K$6:$K$86</c:f>
              <c:numCache>
                <c:formatCode>0.0</c:formatCode>
                <c:ptCount val="81"/>
                <c:pt idx="0">
                  <c:v>35.518000000000001</c:v>
                </c:pt>
                <c:pt idx="1">
                  <c:v>35.601999999999997</c:v>
                </c:pt>
                <c:pt idx="2">
                  <c:v>35.676000000000002</c:v>
                </c:pt>
                <c:pt idx="3">
                  <c:v>35.765999999999998</c:v>
                </c:pt>
                <c:pt idx="4">
                  <c:v>35.851999999999997</c:v>
                </c:pt>
                <c:pt idx="5">
                  <c:v>35.922000000000004</c:v>
                </c:pt>
                <c:pt idx="6">
                  <c:v>36.03</c:v>
                </c:pt>
                <c:pt idx="7">
                  <c:v>36.148000000000003</c:v>
                </c:pt>
                <c:pt idx="8">
                  <c:v>36.238</c:v>
                </c:pt>
                <c:pt idx="9">
                  <c:v>36.344000000000001</c:v>
                </c:pt>
                <c:pt idx="10">
                  <c:v>36.42</c:v>
                </c:pt>
                <c:pt idx="11">
                  <c:v>36.492000000000004</c:v>
                </c:pt>
                <c:pt idx="12">
                  <c:v>36.56</c:v>
                </c:pt>
                <c:pt idx="13">
                  <c:v>36.619999999999997</c:v>
                </c:pt>
                <c:pt idx="14">
                  <c:v>36.676000000000002</c:v>
                </c:pt>
                <c:pt idx="15">
                  <c:v>36.751999999999995</c:v>
                </c:pt>
                <c:pt idx="16">
                  <c:v>36.814</c:v>
                </c:pt>
                <c:pt idx="17">
                  <c:v>36.910000000000004</c:v>
                </c:pt>
                <c:pt idx="18">
                  <c:v>36.988</c:v>
                </c:pt>
                <c:pt idx="19">
                  <c:v>37.091999999999999</c:v>
                </c:pt>
                <c:pt idx="20">
                  <c:v>37.177999999999997</c:v>
                </c:pt>
                <c:pt idx="21">
                  <c:v>37.298000000000002</c:v>
                </c:pt>
                <c:pt idx="22">
                  <c:v>37.368000000000002</c:v>
                </c:pt>
                <c:pt idx="23">
                  <c:v>37.427999999999997</c:v>
                </c:pt>
                <c:pt idx="24">
                  <c:v>37.507999999999996</c:v>
                </c:pt>
                <c:pt idx="25">
                  <c:v>37.552</c:v>
                </c:pt>
                <c:pt idx="26">
                  <c:v>37.6</c:v>
                </c:pt>
                <c:pt idx="27">
                  <c:v>37.692</c:v>
                </c:pt>
                <c:pt idx="28">
                  <c:v>37.738</c:v>
                </c:pt>
                <c:pt idx="29">
                  <c:v>37.739999999999995</c:v>
                </c:pt>
                <c:pt idx="30">
                  <c:v>37.795999999999999</c:v>
                </c:pt>
                <c:pt idx="31">
                  <c:v>37.841999999999999</c:v>
                </c:pt>
                <c:pt idx="32">
                  <c:v>37.880000000000003</c:v>
                </c:pt>
                <c:pt idx="33">
                  <c:v>37.988</c:v>
                </c:pt>
                <c:pt idx="34">
                  <c:v>38.077999999999996</c:v>
                </c:pt>
                <c:pt idx="35">
                  <c:v>38.160000000000004</c:v>
                </c:pt>
                <c:pt idx="36">
                  <c:v>38.393999999999998</c:v>
                </c:pt>
                <c:pt idx="37">
                  <c:v>38.71</c:v>
                </c:pt>
                <c:pt idx="38">
                  <c:v>39.019999999999996</c:v>
                </c:pt>
                <c:pt idx="39">
                  <c:v>39.323999999999998</c:v>
                </c:pt>
                <c:pt idx="40">
                  <c:v>39.484000000000002</c:v>
                </c:pt>
                <c:pt idx="41">
                  <c:v>39.534000000000006</c:v>
                </c:pt>
                <c:pt idx="42">
                  <c:v>39.450000000000003</c:v>
                </c:pt>
                <c:pt idx="43">
                  <c:v>39.332000000000001</c:v>
                </c:pt>
                <c:pt idx="44">
                  <c:v>39.251999999999995</c:v>
                </c:pt>
                <c:pt idx="45">
                  <c:v>39.256</c:v>
                </c:pt>
                <c:pt idx="46">
                  <c:v>39.125999999999998</c:v>
                </c:pt>
                <c:pt idx="47">
                  <c:v>39.004000000000005</c:v>
                </c:pt>
                <c:pt idx="48">
                  <c:v>38.963999999999999</c:v>
                </c:pt>
                <c:pt idx="49">
                  <c:v>38.989999999999995</c:v>
                </c:pt>
                <c:pt idx="50">
                  <c:v>39.094000000000001</c:v>
                </c:pt>
                <c:pt idx="51">
                  <c:v>39.384</c:v>
                </c:pt>
                <c:pt idx="52">
                  <c:v>39.724000000000004</c:v>
                </c:pt>
                <c:pt idx="53">
                  <c:v>40.44</c:v>
                </c:pt>
                <c:pt idx="54">
                  <c:v>41.088000000000001</c:v>
                </c:pt>
                <c:pt idx="55">
                  <c:v>41.037999999999997</c:v>
                </c:pt>
                <c:pt idx="56">
                  <c:v>40.463999999999999</c:v>
                </c:pt>
                <c:pt idx="57">
                  <c:v>40.007999999999996</c:v>
                </c:pt>
                <c:pt idx="58">
                  <c:v>39.654000000000003</c:v>
                </c:pt>
                <c:pt idx="59">
                  <c:v>39.445999999999998</c:v>
                </c:pt>
                <c:pt idx="60">
                  <c:v>39.408000000000001</c:v>
                </c:pt>
                <c:pt idx="61">
                  <c:v>39.594000000000001</c:v>
                </c:pt>
                <c:pt idx="62">
                  <c:v>40.095999999999997</c:v>
                </c:pt>
                <c:pt idx="63">
                  <c:v>40.122</c:v>
                </c:pt>
                <c:pt idx="64">
                  <c:v>39.186</c:v>
                </c:pt>
                <c:pt idx="65">
                  <c:v>38.808</c:v>
                </c:pt>
                <c:pt idx="66">
                  <c:v>39.058</c:v>
                </c:pt>
                <c:pt idx="67">
                  <c:v>39.477999999999994</c:v>
                </c:pt>
                <c:pt idx="68">
                  <c:v>38.53</c:v>
                </c:pt>
                <c:pt idx="69">
                  <c:v>37.814</c:v>
                </c:pt>
                <c:pt idx="70">
                  <c:v>37.835999999999999</c:v>
                </c:pt>
                <c:pt idx="71">
                  <c:v>38.896000000000001</c:v>
                </c:pt>
                <c:pt idx="72">
                  <c:v>37.368000000000002</c:v>
                </c:pt>
                <c:pt idx="73">
                  <c:v>36.124000000000002</c:v>
                </c:pt>
                <c:pt idx="74">
                  <c:v>34.822000000000003</c:v>
                </c:pt>
                <c:pt idx="75">
                  <c:v>23.332000000000001</c:v>
                </c:pt>
                <c:pt idx="76">
                  <c:v>22.826000000000001</c:v>
                </c:pt>
                <c:pt idx="77">
                  <c:v>22.526</c:v>
                </c:pt>
                <c:pt idx="78">
                  <c:v>21.346</c:v>
                </c:pt>
                <c:pt idx="79">
                  <c:v>20.314</c:v>
                </c:pt>
                <c:pt idx="80">
                  <c:v>23.201999999999998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'Average data'!$F$5</c:f>
              <c:strCache>
                <c:ptCount val="1"/>
                <c:pt idx="0">
                  <c:v>Max(MSG)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data'!$F$6:$F$86</c:f>
              <c:numCache>
                <c:formatCode>0.0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'Average data'!$G$5</c:f>
              <c:strCache>
                <c:ptCount val="1"/>
                <c:pt idx="0">
                  <c:v>Min(MSG)</c:v>
                </c:pt>
              </c:strCache>
            </c:strRef>
          </c:tx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data'!$G$6:$G$86</c:f>
              <c:numCache>
                <c:formatCode>0.0</c:formatCode>
                <c:ptCount val="81"/>
                <c:pt idx="0">
                  <c:v>106.28</c:v>
                </c:pt>
                <c:pt idx="1">
                  <c:v>109.17</c:v>
                </c:pt>
                <c:pt idx="2">
                  <c:v>115.5</c:v>
                </c:pt>
                <c:pt idx="3">
                  <c:v>118.27</c:v>
                </c:pt>
                <c:pt idx="4">
                  <c:v>109.61000000000001</c:v>
                </c:pt>
                <c:pt idx="5">
                  <c:v>110.83</c:v>
                </c:pt>
                <c:pt idx="6">
                  <c:v>109.27</c:v>
                </c:pt>
                <c:pt idx="7">
                  <c:v>106.77</c:v>
                </c:pt>
                <c:pt idx="8">
                  <c:v>124.48</c:v>
                </c:pt>
                <c:pt idx="9">
                  <c:v>120.38</c:v>
                </c:pt>
                <c:pt idx="10">
                  <c:v>113.31</c:v>
                </c:pt>
                <c:pt idx="11">
                  <c:v>112.02000000000001</c:v>
                </c:pt>
                <c:pt idx="12">
                  <c:v>116.78</c:v>
                </c:pt>
                <c:pt idx="13">
                  <c:v>112.06</c:v>
                </c:pt>
                <c:pt idx="14">
                  <c:v>118.30000000000001</c:v>
                </c:pt>
                <c:pt idx="15">
                  <c:v>112.31</c:v>
                </c:pt>
                <c:pt idx="16">
                  <c:v>104.93</c:v>
                </c:pt>
                <c:pt idx="17">
                  <c:v>112.22999999999999</c:v>
                </c:pt>
                <c:pt idx="18">
                  <c:v>107.19</c:v>
                </c:pt>
                <c:pt idx="19">
                  <c:v>108.72</c:v>
                </c:pt>
                <c:pt idx="20">
                  <c:v>102.84</c:v>
                </c:pt>
                <c:pt idx="21">
                  <c:v>110.22</c:v>
                </c:pt>
                <c:pt idx="22">
                  <c:v>104.79</c:v>
                </c:pt>
                <c:pt idx="23">
                  <c:v>104.94</c:v>
                </c:pt>
                <c:pt idx="24">
                  <c:v>104.05</c:v>
                </c:pt>
                <c:pt idx="25">
                  <c:v>101.96000000000001</c:v>
                </c:pt>
                <c:pt idx="26">
                  <c:v>102.57</c:v>
                </c:pt>
                <c:pt idx="27">
                  <c:v>103.74000000000001</c:v>
                </c:pt>
                <c:pt idx="28">
                  <c:v>104.09</c:v>
                </c:pt>
                <c:pt idx="29">
                  <c:v>101.68</c:v>
                </c:pt>
                <c:pt idx="30">
                  <c:v>104.82</c:v>
                </c:pt>
                <c:pt idx="31">
                  <c:v>104.88</c:v>
                </c:pt>
                <c:pt idx="32">
                  <c:v>107.03</c:v>
                </c:pt>
                <c:pt idx="33">
                  <c:v>106.83</c:v>
                </c:pt>
                <c:pt idx="34">
                  <c:v>106.12</c:v>
                </c:pt>
                <c:pt idx="35">
                  <c:v>106.11</c:v>
                </c:pt>
                <c:pt idx="36">
                  <c:v>106.63</c:v>
                </c:pt>
                <c:pt idx="37">
                  <c:v>105.56</c:v>
                </c:pt>
                <c:pt idx="38">
                  <c:v>111.25999999999999</c:v>
                </c:pt>
                <c:pt idx="39">
                  <c:v>115.67</c:v>
                </c:pt>
                <c:pt idx="40">
                  <c:v>115.61</c:v>
                </c:pt>
                <c:pt idx="41">
                  <c:v>113.71000000000001</c:v>
                </c:pt>
                <c:pt idx="42">
                  <c:v>114.37</c:v>
                </c:pt>
                <c:pt idx="43">
                  <c:v>122.59</c:v>
                </c:pt>
                <c:pt idx="44">
                  <c:v>115.25999999999999</c:v>
                </c:pt>
                <c:pt idx="45">
                  <c:v>114.00999999999999</c:v>
                </c:pt>
                <c:pt idx="46">
                  <c:v>123.13999999999999</c:v>
                </c:pt>
                <c:pt idx="47">
                  <c:v>119.06</c:v>
                </c:pt>
                <c:pt idx="48">
                  <c:v>115.57</c:v>
                </c:pt>
                <c:pt idx="49">
                  <c:v>111.02000000000001</c:v>
                </c:pt>
                <c:pt idx="50">
                  <c:v>108.77</c:v>
                </c:pt>
                <c:pt idx="51">
                  <c:v>109.56</c:v>
                </c:pt>
                <c:pt idx="52">
                  <c:v>106.34</c:v>
                </c:pt>
                <c:pt idx="53">
                  <c:v>103.83</c:v>
                </c:pt>
                <c:pt idx="54">
                  <c:v>101.96</c:v>
                </c:pt>
                <c:pt idx="55">
                  <c:v>99.96</c:v>
                </c:pt>
                <c:pt idx="56">
                  <c:v>96.85</c:v>
                </c:pt>
                <c:pt idx="57">
                  <c:v>95.329999999999984</c:v>
                </c:pt>
                <c:pt idx="58">
                  <c:v>92.940000000000012</c:v>
                </c:pt>
                <c:pt idx="59">
                  <c:v>88.919999999999987</c:v>
                </c:pt>
                <c:pt idx="60">
                  <c:v>86.539999999999992</c:v>
                </c:pt>
                <c:pt idx="61">
                  <c:v>83.539999999999992</c:v>
                </c:pt>
                <c:pt idx="62">
                  <c:v>82.72999999999999</c:v>
                </c:pt>
                <c:pt idx="63">
                  <c:v>84.17</c:v>
                </c:pt>
                <c:pt idx="64">
                  <c:v>82.79</c:v>
                </c:pt>
                <c:pt idx="65">
                  <c:v>80.41</c:v>
                </c:pt>
                <c:pt idx="66">
                  <c:v>80.559999999999988</c:v>
                </c:pt>
                <c:pt idx="67">
                  <c:v>81.34</c:v>
                </c:pt>
                <c:pt idx="68">
                  <c:v>81.459999999999994</c:v>
                </c:pt>
                <c:pt idx="69">
                  <c:v>81.47</c:v>
                </c:pt>
                <c:pt idx="70">
                  <c:v>83.28</c:v>
                </c:pt>
                <c:pt idx="71">
                  <c:v>81.199999999999989</c:v>
                </c:pt>
                <c:pt idx="72">
                  <c:v>81.77000000000001</c:v>
                </c:pt>
                <c:pt idx="73">
                  <c:v>79.42</c:v>
                </c:pt>
                <c:pt idx="74">
                  <c:v>73.77</c:v>
                </c:pt>
                <c:pt idx="75">
                  <c:v>65.95</c:v>
                </c:pt>
                <c:pt idx="76">
                  <c:v>80.47999999999999</c:v>
                </c:pt>
                <c:pt idx="77">
                  <c:v>88.710000000000008</c:v>
                </c:pt>
                <c:pt idx="78">
                  <c:v>80.569999999999993</c:v>
                </c:pt>
                <c:pt idx="79">
                  <c:v>62.96</c:v>
                </c:pt>
                <c:pt idx="80">
                  <c:v>84.740000000000009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9248"/>
        <c:axId val="210593688"/>
      </c:scatterChart>
      <c:valAx>
        <c:axId val="21317924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57409329351072502"/>
              <c:y val="0.888513570731625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593688"/>
        <c:crosses val="autoZero"/>
        <c:crossBetween val="midCat"/>
        <c:majorUnit val="10"/>
        <c:minorUnit val="10"/>
      </c:valAx>
      <c:valAx>
        <c:axId val="210593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Max Stable Gain [dB]</a:t>
                </a:r>
              </a:p>
            </c:rich>
          </c:tx>
          <c:layout>
            <c:manualLayout>
              <c:xMode val="edge"/>
              <c:yMode val="edge"/>
              <c:x val="0"/>
              <c:y val="0.342905461720073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792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7720228074938905E-2"/>
          <c:y val="0.92905417150175784"/>
          <c:w val="0.84041455335324466"/>
          <c:h val="6.92568076507616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Max Stable Gain Rear mic.  Delhi80</a:t>
            </a:r>
          </a:p>
        </c:rich>
      </c:tx>
      <c:layout>
        <c:manualLayout>
          <c:xMode val="edge"/>
          <c:yMode val="edge"/>
          <c:x val="0.17202074395872929"/>
          <c:y val="6.756618228695989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260114037469458E-2"/>
          <c:y val="0.10491201278193357"/>
          <c:w val="0.87899234319847952"/>
          <c:h val="0.81023207189231483"/>
        </c:manualLayout>
      </c:layout>
      <c:scatterChart>
        <c:scatterStyle val="lineMarker"/>
        <c:varyColors val="0"/>
        <c:ser>
          <c:idx val="5"/>
          <c:order val="0"/>
          <c:tx>
            <c:strRef>
              <c:f>'Average data'!$P$5</c:f>
              <c:strCache>
                <c:ptCount val="1"/>
                <c:pt idx="0">
                  <c:v>MSG_Average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data'!$P$6:$P$86</c:f>
              <c:numCache>
                <c:formatCode>0.0</c:formatCode>
                <c:ptCount val="81"/>
                <c:pt idx="0">
                  <c:v>37.672000000000004</c:v>
                </c:pt>
                <c:pt idx="1">
                  <c:v>38.855333333333341</c:v>
                </c:pt>
                <c:pt idx="2">
                  <c:v>38.81</c:v>
                </c:pt>
                <c:pt idx="3">
                  <c:v>37.763333333333335</c:v>
                </c:pt>
                <c:pt idx="4">
                  <c:v>37.530666666666662</c:v>
                </c:pt>
                <c:pt idx="5">
                  <c:v>37.509333333333338</c:v>
                </c:pt>
                <c:pt idx="6">
                  <c:v>38.256666666666675</c:v>
                </c:pt>
                <c:pt idx="7">
                  <c:v>38.788666666666664</c:v>
                </c:pt>
                <c:pt idx="8">
                  <c:v>38.622666666666667</c:v>
                </c:pt>
                <c:pt idx="9">
                  <c:v>37.813333333333333</c:v>
                </c:pt>
                <c:pt idx="10">
                  <c:v>39.451333333333331</c:v>
                </c:pt>
                <c:pt idx="11">
                  <c:v>38.724666666666664</c:v>
                </c:pt>
                <c:pt idx="12">
                  <c:v>39.043999999999997</c:v>
                </c:pt>
                <c:pt idx="13">
                  <c:v>39.576666666666668</c:v>
                </c:pt>
                <c:pt idx="14">
                  <c:v>38.450000000000003</c:v>
                </c:pt>
                <c:pt idx="15">
                  <c:v>38.958666666666673</c:v>
                </c:pt>
                <c:pt idx="16">
                  <c:v>38.808666666666667</c:v>
                </c:pt>
                <c:pt idx="17">
                  <c:v>38.847333333333339</c:v>
                </c:pt>
                <c:pt idx="18">
                  <c:v>37.841999999999999</c:v>
                </c:pt>
                <c:pt idx="19">
                  <c:v>39.049999999999997</c:v>
                </c:pt>
                <c:pt idx="20">
                  <c:v>37.215999999999994</c:v>
                </c:pt>
                <c:pt idx="21">
                  <c:v>36.770666666666671</c:v>
                </c:pt>
                <c:pt idx="22">
                  <c:v>37.17</c:v>
                </c:pt>
                <c:pt idx="23">
                  <c:v>35.934000000000005</c:v>
                </c:pt>
                <c:pt idx="24">
                  <c:v>35.629333333333328</c:v>
                </c:pt>
                <c:pt idx="25">
                  <c:v>35.884666666666668</c:v>
                </c:pt>
                <c:pt idx="26">
                  <c:v>35.255999999999993</c:v>
                </c:pt>
                <c:pt idx="27">
                  <c:v>35.12866666666666</c:v>
                </c:pt>
                <c:pt idx="28">
                  <c:v>34.913333333333334</c:v>
                </c:pt>
                <c:pt idx="29">
                  <c:v>34.995333333333335</c:v>
                </c:pt>
                <c:pt idx="30">
                  <c:v>35.134</c:v>
                </c:pt>
                <c:pt idx="31">
                  <c:v>35.334666666666671</c:v>
                </c:pt>
                <c:pt idx="32">
                  <c:v>35.503999999999998</c:v>
                </c:pt>
                <c:pt idx="33">
                  <c:v>35.438000000000002</c:v>
                </c:pt>
                <c:pt idx="34">
                  <c:v>35.303333333333327</c:v>
                </c:pt>
                <c:pt idx="35">
                  <c:v>34.870666666666672</c:v>
                </c:pt>
                <c:pt idx="36">
                  <c:v>34.767999999999994</c:v>
                </c:pt>
                <c:pt idx="37">
                  <c:v>34.783333333333339</c:v>
                </c:pt>
                <c:pt idx="38">
                  <c:v>34.761333333333333</c:v>
                </c:pt>
                <c:pt idx="39">
                  <c:v>34.654000000000011</c:v>
                </c:pt>
                <c:pt idx="40">
                  <c:v>34.490666666666662</c:v>
                </c:pt>
                <c:pt idx="41">
                  <c:v>34.419333333333341</c:v>
                </c:pt>
                <c:pt idx="42">
                  <c:v>34.541999999999994</c:v>
                </c:pt>
                <c:pt idx="43">
                  <c:v>34.551333333333332</c:v>
                </c:pt>
                <c:pt idx="44">
                  <c:v>34.646666666666668</c:v>
                </c:pt>
                <c:pt idx="45">
                  <c:v>34.75333333333333</c:v>
                </c:pt>
                <c:pt idx="46">
                  <c:v>34.807333333333339</c:v>
                </c:pt>
                <c:pt idx="47">
                  <c:v>34.657333333333341</c:v>
                </c:pt>
                <c:pt idx="48">
                  <c:v>34.674666666666667</c:v>
                </c:pt>
                <c:pt idx="49">
                  <c:v>34.682000000000002</c:v>
                </c:pt>
                <c:pt idx="50">
                  <c:v>34.706666666666671</c:v>
                </c:pt>
                <c:pt idx="51">
                  <c:v>34.853999999999999</c:v>
                </c:pt>
                <c:pt idx="52">
                  <c:v>35.13066666666667</c:v>
                </c:pt>
                <c:pt idx="53">
                  <c:v>35.717999999999996</c:v>
                </c:pt>
                <c:pt idx="54">
                  <c:v>35.62866666666666</c:v>
                </c:pt>
                <c:pt idx="55">
                  <c:v>34.873333333333335</c:v>
                </c:pt>
                <c:pt idx="56">
                  <c:v>33.880666666666663</c:v>
                </c:pt>
                <c:pt idx="57">
                  <c:v>33.262666666666668</c:v>
                </c:pt>
                <c:pt idx="58">
                  <c:v>32.878</c:v>
                </c:pt>
                <c:pt idx="59">
                  <c:v>32.444000000000003</c:v>
                </c:pt>
                <c:pt idx="60">
                  <c:v>32.226666666666667</c:v>
                </c:pt>
                <c:pt idx="61">
                  <c:v>31.974</c:v>
                </c:pt>
                <c:pt idx="62">
                  <c:v>31.929333333333329</c:v>
                </c:pt>
                <c:pt idx="63">
                  <c:v>32.251333333333335</c:v>
                </c:pt>
                <c:pt idx="64">
                  <c:v>32.446000000000005</c:v>
                </c:pt>
                <c:pt idx="65">
                  <c:v>32.564666666666668</c:v>
                </c:pt>
                <c:pt idx="66">
                  <c:v>33.406666666666659</c:v>
                </c:pt>
                <c:pt idx="67">
                  <c:v>34.722666666666669</c:v>
                </c:pt>
                <c:pt idx="68">
                  <c:v>33.808666666666667</c:v>
                </c:pt>
                <c:pt idx="69">
                  <c:v>32.498666666666665</c:v>
                </c:pt>
                <c:pt idx="70">
                  <c:v>31.865333333333332</c:v>
                </c:pt>
                <c:pt idx="71">
                  <c:v>31.658666666666669</c:v>
                </c:pt>
                <c:pt idx="72">
                  <c:v>31.446666666666669</c:v>
                </c:pt>
                <c:pt idx="73">
                  <c:v>32.519333333333336</c:v>
                </c:pt>
                <c:pt idx="74">
                  <c:v>33.198</c:v>
                </c:pt>
                <c:pt idx="75">
                  <c:v>28.875333333333334</c:v>
                </c:pt>
                <c:pt idx="76">
                  <c:v>29.479999999999997</c:v>
                </c:pt>
                <c:pt idx="77">
                  <c:v>27.030666666666669</c:v>
                </c:pt>
                <c:pt idx="78">
                  <c:v>26.278000000000002</c:v>
                </c:pt>
                <c:pt idx="79">
                  <c:v>27.937333333333335</c:v>
                </c:pt>
                <c:pt idx="80">
                  <c:v>28.748666666666669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'Average data'!$Q$5</c:f>
              <c:strCache>
                <c:ptCount val="1"/>
                <c:pt idx="0">
                  <c:v>MSG + Std.Dev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data'!$Q$6:$Q$86</c:f>
              <c:numCache>
                <c:formatCode>0.0</c:formatCode>
                <c:ptCount val="81"/>
                <c:pt idx="0">
                  <c:v>74.263796933973367</c:v>
                </c:pt>
                <c:pt idx="1">
                  <c:v>77.965180991046395</c:v>
                </c:pt>
                <c:pt idx="2">
                  <c:v>77.766598010753313</c:v>
                </c:pt>
                <c:pt idx="3">
                  <c:v>74.546090486781253</c:v>
                </c:pt>
                <c:pt idx="4">
                  <c:v>73.854126710057471</c:v>
                </c:pt>
                <c:pt idx="5">
                  <c:v>73.760264447811863</c:v>
                </c:pt>
                <c:pt idx="6">
                  <c:v>76.127143985825882</c:v>
                </c:pt>
                <c:pt idx="7">
                  <c:v>77.728674529800855</c:v>
                </c:pt>
                <c:pt idx="8">
                  <c:v>77.189568550955755</c:v>
                </c:pt>
                <c:pt idx="9">
                  <c:v>74.708624102649424</c:v>
                </c:pt>
                <c:pt idx="10">
                  <c:v>79.807851813121999</c:v>
                </c:pt>
                <c:pt idx="11">
                  <c:v>77.547210718630424</c:v>
                </c:pt>
                <c:pt idx="12">
                  <c:v>78.590259313799649</c:v>
                </c:pt>
                <c:pt idx="13">
                  <c:v>80.175190332060268</c:v>
                </c:pt>
                <c:pt idx="14">
                  <c:v>76.725102313943694</c:v>
                </c:pt>
                <c:pt idx="15">
                  <c:v>78.268951919595921</c:v>
                </c:pt>
                <c:pt idx="16">
                  <c:v>77.773948808349559</c:v>
                </c:pt>
                <c:pt idx="17">
                  <c:v>77.898943409280392</c:v>
                </c:pt>
                <c:pt idx="18">
                  <c:v>74.850409507647242</c:v>
                </c:pt>
                <c:pt idx="19">
                  <c:v>78.59602345911118</c:v>
                </c:pt>
                <c:pt idx="20">
                  <c:v>72.859590848446061</c:v>
                </c:pt>
                <c:pt idx="21">
                  <c:v>71.497919749320175</c:v>
                </c:pt>
                <c:pt idx="22">
                  <c:v>72.719252152069657</c:v>
                </c:pt>
                <c:pt idx="23">
                  <c:v>68.926244499925389</c:v>
                </c:pt>
                <c:pt idx="24">
                  <c:v>67.989902034557758</c:v>
                </c:pt>
                <c:pt idx="25">
                  <c:v>68.795944557094316</c:v>
                </c:pt>
                <c:pt idx="26">
                  <c:v>66.847329913669128</c:v>
                </c:pt>
                <c:pt idx="27">
                  <c:v>66.451623302031592</c:v>
                </c:pt>
                <c:pt idx="28">
                  <c:v>65.788575302695563</c:v>
                </c:pt>
                <c:pt idx="29">
                  <c:v>66.041294852775223</c:v>
                </c:pt>
                <c:pt idx="30">
                  <c:v>66.465886040536134</c:v>
                </c:pt>
                <c:pt idx="31">
                  <c:v>67.092588707961383</c:v>
                </c:pt>
                <c:pt idx="32">
                  <c:v>67.602264706099874</c:v>
                </c:pt>
                <c:pt idx="33">
                  <c:v>67.398235382648323</c:v>
                </c:pt>
                <c:pt idx="34">
                  <c:v>66.984988608150985</c:v>
                </c:pt>
                <c:pt idx="35">
                  <c:v>65.657267292511008</c:v>
                </c:pt>
                <c:pt idx="36">
                  <c:v>65.34252118536422</c:v>
                </c:pt>
                <c:pt idx="37">
                  <c:v>65.393496833775629</c:v>
                </c:pt>
                <c:pt idx="38">
                  <c:v>65.328112888611187</c:v>
                </c:pt>
                <c:pt idx="39">
                  <c:v>64.996405922122563</c:v>
                </c:pt>
                <c:pt idx="40">
                  <c:v>64.497098469262085</c:v>
                </c:pt>
                <c:pt idx="41">
                  <c:v>64.283897731071789</c:v>
                </c:pt>
                <c:pt idx="42">
                  <c:v>64.662626582365206</c:v>
                </c:pt>
                <c:pt idx="43">
                  <c:v>64.693745519171273</c:v>
                </c:pt>
                <c:pt idx="44">
                  <c:v>64.985254699228818</c:v>
                </c:pt>
                <c:pt idx="45">
                  <c:v>65.312659164216697</c:v>
                </c:pt>
                <c:pt idx="46">
                  <c:v>65.474915208910659</c:v>
                </c:pt>
                <c:pt idx="47">
                  <c:v>65.012547633978542</c:v>
                </c:pt>
                <c:pt idx="48">
                  <c:v>65.069788189387239</c:v>
                </c:pt>
                <c:pt idx="49">
                  <c:v>65.098842186055876</c:v>
                </c:pt>
                <c:pt idx="50">
                  <c:v>65.168901521991245</c:v>
                </c:pt>
                <c:pt idx="51">
                  <c:v>65.628102702481144</c:v>
                </c:pt>
                <c:pt idx="52">
                  <c:v>66.509763318206325</c:v>
                </c:pt>
                <c:pt idx="53">
                  <c:v>68.358704911855952</c:v>
                </c:pt>
                <c:pt idx="54">
                  <c:v>67.99063660199721</c:v>
                </c:pt>
                <c:pt idx="55">
                  <c:v>65.665741411268641</c:v>
                </c:pt>
                <c:pt idx="56">
                  <c:v>62.617200523331384</c:v>
                </c:pt>
                <c:pt idx="57">
                  <c:v>60.720271251258708</c:v>
                </c:pt>
                <c:pt idx="58">
                  <c:v>59.541923781554949</c:v>
                </c:pt>
                <c:pt idx="59">
                  <c:v>58.210385854442222</c:v>
                </c:pt>
                <c:pt idx="60">
                  <c:v>57.546095306876282</c:v>
                </c:pt>
                <c:pt idx="61">
                  <c:v>56.768366237975457</c:v>
                </c:pt>
                <c:pt idx="62">
                  <c:v>56.626177685444006</c:v>
                </c:pt>
                <c:pt idx="63">
                  <c:v>57.620497649393059</c:v>
                </c:pt>
                <c:pt idx="64">
                  <c:v>58.212766746556092</c:v>
                </c:pt>
                <c:pt idx="65">
                  <c:v>58.642903588521278</c:v>
                </c:pt>
                <c:pt idx="66">
                  <c:v>61.17663571512584</c:v>
                </c:pt>
                <c:pt idx="67">
                  <c:v>65.240842156661074</c:v>
                </c:pt>
                <c:pt idx="68">
                  <c:v>62.395944523050531</c:v>
                </c:pt>
                <c:pt idx="69">
                  <c:v>58.375089158046364</c:v>
                </c:pt>
                <c:pt idx="70">
                  <c:v>56.433726171829434</c:v>
                </c:pt>
                <c:pt idx="71">
                  <c:v>55.79526302592005</c:v>
                </c:pt>
                <c:pt idx="72">
                  <c:v>55.144326185418024</c:v>
                </c:pt>
                <c:pt idx="73">
                  <c:v>58.437528119089166</c:v>
                </c:pt>
                <c:pt idx="74">
                  <c:v>60.525921148263627</c:v>
                </c:pt>
                <c:pt idx="75">
                  <c:v>47.521596408455558</c:v>
                </c:pt>
                <c:pt idx="76">
                  <c:v>49.248686638939148</c:v>
                </c:pt>
                <c:pt idx="77">
                  <c:v>41.959254996572803</c:v>
                </c:pt>
                <c:pt idx="78">
                  <c:v>39.298141100837356</c:v>
                </c:pt>
                <c:pt idx="79">
                  <c:v>44.716171394017593</c:v>
                </c:pt>
                <c:pt idx="80">
                  <c:v>47.285225473008047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'Average data'!$R$5</c:f>
              <c:strCache>
                <c:ptCount val="1"/>
                <c:pt idx="0">
                  <c:v>MSG - Std.Dev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data'!$R$6:$R$86</c:f>
              <c:numCache>
                <c:formatCode>0.0</c:formatCode>
                <c:ptCount val="81"/>
                <c:pt idx="0">
                  <c:v>1.080203066026634</c:v>
                </c:pt>
                <c:pt idx="1">
                  <c:v>-0.25451432437971278</c:v>
                </c:pt>
                <c:pt idx="2">
                  <c:v>-0.14659801075330137</c:v>
                </c:pt>
                <c:pt idx="3">
                  <c:v>0.98057617988541779</c:v>
                </c:pt>
                <c:pt idx="4">
                  <c:v>1.2072066232758445</c:v>
                </c:pt>
                <c:pt idx="5">
                  <c:v>1.258402218854819</c:v>
                </c:pt>
                <c:pt idx="6">
                  <c:v>0.38618934750746803</c:v>
                </c:pt>
                <c:pt idx="7">
                  <c:v>-0.15134119646752708</c:v>
                </c:pt>
                <c:pt idx="8">
                  <c:v>5.5764782377579536E-2</c:v>
                </c:pt>
                <c:pt idx="9">
                  <c:v>0.91804256401724871</c:v>
                </c:pt>
                <c:pt idx="10">
                  <c:v>-0.90518514645533088</c:v>
                </c:pt>
                <c:pt idx="11">
                  <c:v>-9.7877385297095998E-2</c:v>
                </c:pt>
                <c:pt idx="12">
                  <c:v>-0.50225931379965516</c:v>
                </c:pt>
                <c:pt idx="13">
                  <c:v>-1.0218569987269319</c:v>
                </c:pt>
                <c:pt idx="14">
                  <c:v>0.17489768605631184</c:v>
                </c:pt>
                <c:pt idx="15">
                  <c:v>-0.35161858626257469</c:v>
                </c:pt>
                <c:pt idx="16">
                  <c:v>-0.15661547501623119</c:v>
                </c:pt>
                <c:pt idx="17">
                  <c:v>-0.20427674261371465</c:v>
                </c:pt>
                <c:pt idx="18">
                  <c:v>0.83359049235276217</c:v>
                </c:pt>
                <c:pt idx="19">
                  <c:v>-0.49602345911118562</c:v>
                </c:pt>
                <c:pt idx="20">
                  <c:v>1.5724091515539342</c:v>
                </c:pt>
                <c:pt idx="21">
                  <c:v>2.0434135840131731</c:v>
                </c:pt>
                <c:pt idx="22">
                  <c:v>1.6207478479303461</c:v>
                </c:pt>
                <c:pt idx="23">
                  <c:v>2.9417555000746134</c:v>
                </c:pt>
                <c:pt idx="24">
                  <c:v>3.2687646321088906</c:v>
                </c:pt>
                <c:pt idx="25">
                  <c:v>2.9733887762390125</c:v>
                </c:pt>
                <c:pt idx="26">
                  <c:v>3.6646700863308617</c:v>
                </c:pt>
                <c:pt idx="27">
                  <c:v>3.8057100313017287</c:v>
                </c:pt>
                <c:pt idx="28">
                  <c:v>4.0380913639711125</c:v>
                </c:pt>
                <c:pt idx="29">
                  <c:v>3.949371813891446</c:v>
                </c:pt>
                <c:pt idx="30">
                  <c:v>3.8021139594638704</c:v>
                </c:pt>
                <c:pt idx="31">
                  <c:v>3.5767446253719619</c:v>
                </c:pt>
                <c:pt idx="32">
                  <c:v>3.4057352939001149</c:v>
                </c:pt>
                <c:pt idx="33">
                  <c:v>3.4777646173516814</c:v>
                </c:pt>
                <c:pt idx="34">
                  <c:v>3.6216780585156698</c:v>
                </c:pt>
                <c:pt idx="35">
                  <c:v>4.0840660408223357</c:v>
                </c:pt>
                <c:pt idx="36">
                  <c:v>4.1934788146357675</c:v>
                </c:pt>
                <c:pt idx="37">
                  <c:v>4.1731698328910447</c:v>
                </c:pt>
                <c:pt idx="38">
                  <c:v>4.1945537780554751</c:v>
                </c:pt>
                <c:pt idx="39">
                  <c:v>4.3115940778774622</c:v>
                </c:pt>
                <c:pt idx="40">
                  <c:v>4.4842348640712473</c:v>
                </c:pt>
                <c:pt idx="41">
                  <c:v>4.5547689355948968</c:v>
                </c:pt>
                <c:pt idx="42">
                  <c:v>4.4213734176347863</c:v>
                </c:pt>
                <c:pt idx="43">
                  <c:v>4.4089211474953878</c:v>
                </c:pt>
                <c:pt idx="44">
                  <c:v>4.3080786341045147</c:v>
                </c:pt>
                <c:pt idx="45">
                  <c:v>4.1940075024499635</c:v>
                </c:pt>
                <c:pt idx="46">
                  <c:v>4.1397514577560202</c:v>
                </c:pt>
                <c:pt idx="47">
                  <c:v>4.3021190326881396</c:v>
                </c:pt>
                <c:pt idx="48">
                  <c:v>4.2795451439460912</c:v>
                </c:pt>
                <c:pt idx="49">
                  <c:v>4.265157813944132</c:v>
                </c:pt>
                <c:pt idx="50">
                  <c:v>4.2444318113420891</c:v>
                </c:pt>
                <c:pt idx="51">
                  <c:v>4.0798972975188583</c:v>
                </c:pt>
                <c:pt idx="52">
                  <c:v>3.7515700151270224</c:v>
                </c:pt>
                <c:pt idx="53">
                  <c:v>3.0772950881440408</c:v>
                </c:pt>
                <c:pt idx="54">
                  <c:v>3.2666967313361184</c:v>
                </c:pt>
                <c:pt idx="55">
                  <c:v>4.0809252553980286</c:v>
                </c:pt>
                <c:pt idx="56">
                  <c:v>5.1441328100019419</c:v>
                </c:pt>
                <c:pt idx="57">
                  <c:v>5.8050620820746275</c:v>
                </c:pt>
                <c:pt idx="58">
                  <c:v>6.2140762184450509</c:v>
                </c:pt>
                <c:pt idx="59">
                  <c:v>6.6776141455577793</c:v>
                </c:pt>
                <c:pt idx="60">
                  <c:v>6.9072380264570477</c:v>
                </c:pt>
                <c:pt idx="61">
                  <c:v>7.1796337620245438</c:v>
                </c:pt>
                <c:pt idx="62">
                  <c:v>7.2324889812226552</c:v>
                </c:pt>
                <c:pt idx="63">
                  <c:v>6.8821690172736112</c:v>
                </c:pt>
                <c:pt idx="64">
                  <c:v>6.6792332534439183</c:v>
                </c:pt>
                <c:pt idx="65">
                  <c:v>6.4864297448120567</c:v>
                </c:pt>
                <c:pt idx="66">
                  <c:v>5.6366976182074779</c:v>
                </c:pt>
                <c:pt idx="67">
                  <c:v>4.2044911766722635</c:v>
                </c:pt>
                <c:pt idx="68">
                  <c:v>5.2213888102828037</c:v>
                </c:pt>
                <c:pt idx="69">
                  <c:v>6.6222441752869692</c:v>
                </c:pt>
                <c:pt idx="70">
                  <c:v>7.2969404948372336</c:v>
                </c:pt>
                <c:pt idx="71">
                  <c:v>7.5220703074132835</c:v>
                </c:pt>
                <c:pt idx="72">
                  <c:v>7.7490071479153109</c:v>
                </c:pt>
                <c:pt idx="73">
                  <c:v>6.6011385475775022</c:v>
                </c:pt>
                <c:pt idx="74">
                  <c:v>5.8700788517363733</c:v>
                </c:pt>
                <c:pt idx="75">
                  <c:v>10.229070258211109</c:v>
                </c:pt>
                <c:pt idx="76">
                  <c:v>9.7113133610608422</c:v>
                </c:pt>
                <c:pt idx="77">
                  <c:v>12.102078336760536</c:v>
                </c:pt>
                <c:pt idx="78">
                  <c:v>13.257858899162647</c:v>
                </c:pt>
                <c:pt idx="79">
                  <c:v>11.158495272649073</c:v>
                </c:pt>
                <c:pt idx="80">
                  <c:v>10.21210786032529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'Average data'!$W$5</c:f>
              <c:strCache>
                <c:ptCount val="1"/>
                <c:pt idx="0">
                  <c:v>FOG_Rear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'Average data'!$I$6:$I$86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data'!$W$6:$W$86</c:f>
              <c:numCache>
                <c:formatCode>0.0</c:formatCode>
                <c:ptCount val="81"/>
                <c:pt idx="0">
                  <c:v>25.597999999999999</c:v>
                </c:pt>
                <c:pt idx="1">
                  <c:v>25.660000000000004</c:v>
                </c:pt>
                <c:pt idx="2">
                  <c:v>25.753999999999998</c:v>
                </c:pt>
                <c:pt idx="3">
                  <c:v>25.827999999999996</c:v>
                </c:pt>
                <c:pt idx="4">
                  <c:v>25.910000000000004</c:v>
                </c:pt>
                <c:pt idx="5">
                  <c:v>25.957999999999998</c:v>
                </c:pt>
                <c:pt idx="6">
                  <c:v>26.077999999999996</c:v>
                </c:pt>
                <c:pt idx="7">
                  <c:v>26.22</c:v>
                </c:pt>
                <c:pt idx="8">
                  <c:v>26.253999999999998</c:v>
                </c:pt>
                <c:pt idx="9">
                  <c:v>26.396000000000004</c:v>
                </c:pt>
                <c:pt idx="10">
                  <c:v>26.47</c:v>
                </c:pt>
                <c:pt idx="11">
                  <c:v>26.52</c:v>
                </c:pt>
                <c:pt idx="12">
                  <c:v>26.595999999999997</c:v>
                </c:pt>
                <c:pt idx="13">
                  <c:v>26.660000000000004</c:v>
                </c:pt>
                <c:pt idx="14">
                  <c:v>26.72</c:v>
                </c:pt>
                <c:pt idx="15">
                  <c:v>26.757999999999999</c:v>
                </c:pt>
                <c:pt idx="16">
                  <c:v>26.832000000000001</c:v>
                </c:pt>
                <c:pt idx="17">
                  <c:v>26.9</c:v>
                </c:pt>
                <c:pt idx="18">
                  <c:v>26.981999999999999</c:v>
                </c:pt>
                <c:pt idx="19">
                  <c:v>27.064</c:v>
                </c:pt>
                <c:pt idx="20">
                  <c:v>27.163999999999998</c:v>
                </c:pt>
                <c:pt idx="21">
                  <c:v>27.245999999999999</c:v>
                </c:pt>
                <c:pt idx="22">
                  <c:v>27.326000000000001</c:v>
                </c:pt>
                <c:pt idx="23">
                  <c:v>27.401999999999997</c:v>
                </c:pt>
                <c:pt idx="24">
                  <c:v>27.462</c:v>
                </c:pt>
                <c:pt idx="25">
                  <c:v>27.52</c:v>
                </c:pt>
                <c:pt idx="26">
                  <c:v>27.572000000000003</c:v>
                </c:pt>
                <c:pt idx="27">
                  <c:v>27.618000000000002</c:v>
                </c:pt>
                <c:pt idx="28">
                  <c:v>27.687999999999999</c:v>
                </c:pt>
                <c:pt idx="29">
                  <c:v>27.727999999999998</c:v>
                </c:pt>
                <c:pt idx="30">
                  <c:v>27.74</c:v>
                </c:pt>
                <c:pt idx="31">
                  <c:v>27.772000000000002</c:v>
                </c:pt>
                <c:pt idx="32">
                  <c:v>27.815999999999995</c:v>
                </c:pt>
                <c:pt idx="33">
                  <c:v>27.939999999999998</c:v>
                </c:pt>
                <c:pt idx="34">
                  <c:v>27.994</c:v>
                </c:pt>
                <c:pt idx="35">
                  <c:v>28.072000000000003</c:v>
                </c:pt>
                <c:pt idx="36">
                  <c:v>28.312000000000001</c:v>
                </c:pt>
                <c:pt idx="37">
                  <c:v>28.618000000000002</c:v>
                </c:pt>
                <c:pt idx="38">
                  <c:v>28.948</c:v>
                </c:pt>
                <c:pt idx="39">
                  <c:v>29.236000000000001</c:v>
                </c:pt>
                <c:pt idx="40">
                  <c:v>29.384000000000004</c:v>
                </c:pt>
                <c:pt idx="41">
                  <c:v>29.425999999999998</c:v>
                </c:pt>
                <c:pt idx="42">
                  <c:v>29.372000000000003</c:v>
                </c:pt>
                <c:pt idx="43">
                  <c:v>29.207999999999998</c:v>
                </c:pt>
                <c:pt idx="44">
                  <c:v>29.15</c:v>
                </c:pt>
                <c:pt idx="45">
                  <c:v>29.112000000000002</c:v>
                </c:pt>
                <c:pt idx="46">
                  <c:v>29.03</c:v>
                </c:pt>
                <c:pt idx="47">
                  <c:v>28.875999999999998</c:v>
                </c:pt>
                <c:pt idx="48">
                  <c:v>28.845999999999997</c:v>
                </c:pt>
                <c:pt idx="49">
                  <c:v>28.851999999999997</c:v>
                </c:pt>
                <c:pt idx="50">
                  <c:v>28.923999999999999</c:v>
                </c:pt>
                <c:pt idx="51">
                  <c:v>29.175999999999998</c:v>
                </c:pt>
                <c:pt idx="52">
                  <c:v>29.598000000000003</c:v>
                </c:pt>
                <c:pt idx="53">
                  <c:v>30.238</c:v>
                </c:pt>
                <c:pt idx="54">
                  <c:v>30.832000000000001</c:v>
                </c:pt>
                <c:pt idx="55">
                  <c:v>30.842000000000002</c:v>
                </c:pt>
                <c:pt idx="56">
                  <c:v>30.245999999999999</c:v>
                </c:pt>
                <c:pt idx="57">
                  <c:v>29.788</c:v>
                </c:pt>
                <c:pt idx="58">
                  <c:v>29.527999999999999</c:v>
                </c:pt>
                <c:pt idx="59">
                  <c:v>29.286000000000001</c:v>
                </c:pt>
                <c:pt idx="60">
                  <c:v>29.224</c:v>
                </c:pt>
                <c:pt idx="61">
                  <c:v>29.434000000000005</c:v>
                </c:pt>
                <c:pt idx="62">
                  <c:v>29.907999999999998</c:v>
                </c:pt>
                <c:pt idx="63">
                  <c:v>29.981999999999999</c:v>
                </c:pt>
                <c:pt idx="64">
                  <c:v>29.076000000000001</c:v>
                </c:pt>
                <c:pt idx="65">
                  <c:v>28.76</c:v>
                </c:pt>
                <c:pt idx="66">
                  <c:v>29.088000000000001</c:v>
                </c:pt>
                <c:pt idx="67">
                  <c:v>29.492000000000001</c:v>
                </c:pt>
                <c:pt idx="68">
                  <c:v>28.576000000000001</c:v>
                </c:pt>
                <c:pt idx="69">
                  <c:v>27.824000000000002</c:v>
                </c:pt>
                <c:pt idx="70">
                  <c:v>27.844000000000001</c:v>
                </c:pt>
                <c:pt idx="71">
                  <c:v>28.893999999999998</c:v>
                </c:pt>
                <c:pt idx="72">
                  <c:v>27.315999999999995</c:v>
                </c:pt>
                <c:pt idx="73">
                  <c:v>26.006</c:v>
                </c:pt>
                <c:pt idx="74">
                  <c:v>24.488</c:v>
                </c:pt>
                <c:pt idx="75">
                  <c:v>13.45</c:v>
                </c:pt>
                <c:pt idx="76">
                  <c:v>13.648</c:v>
                </c:pt>
                <c:pt idx="77">
                  <c:v>10.084</c:v>
                </c:pt>
                <c:pt idx="78">
                  <c:v>10.108000000000001</c:v>
                </c:pt>
                <c:pt idx="79">
                  <c:v>12.248000000000001</c:v>
                </c:pt>
                <c:pt idx="80">
                  <c:v>12.874000000000001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'Average data'!$X$5</c:f>
              <c:strCache>
                <c:ptCount val="1"/>
                <c:pt idx="0">
                  <c:v>FOG+Stability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'Average data'!$AD$6:$AD$86</c:f>
                <c:numCache>
                  <c:formatCode>General</c:formatCode>
                  <c:ptCount val="81"/>
                  <c:pt idx="0">
                    <c:v>10</c:v>
                  </c:pt>
                  <c:pt idx="1">
                    <c:v>10</c:v>
                  </c:pt>
                  <c:pt idx="2">
                    <c:v>10</c:v>
                  </c:pt>
                  <c:pt idx="3">
                    <c:v>10</c:v>
                  </c:pt>
                  <c:pt idx="4">
                    <c:v>10</c:v>
                  </c:pt>
                  <c:pt idx="5">
                    <c:v>10</c:v>
                  </c:pt>
                  <c:pt idx="6">
                    <c:v>10</c:v>
                  </c:pt>
                  <c:pt idx="7">
                    <c:v>10</c:v>
                  </c:pt>
                  <c:pt idx="8">
                    <c:v>10</c:v>
                  </c:pt>
                  <c:pt idx="9">
                    <c:v>10</c:v>
                  </c:pt>
                  <c:pt idx="10">
                    <c:v>10</c:v>
                  </c:pt>
                  <c:pt idx="11">
                    <c:v>10</c:v>
                  </c:pt>
                  <c:pt idx="12">
                    <c:v>10</c:v>
                  </c:pt>
                  <c:pt idx="13">
                    <c:v>10</c:v>
                  </c:pt>
                  <c:pt idx="14">
                    <c:v>10</c:v>
                  </c:pt>
                  <c:pt idx="15">
                    <c:v>10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10</c:v>
                  </c:pt>
                  <c:pt idx="21">
                    <c:v>10</c:v>
                  </c:pt>
                  <c:pt idx="22">
                    <c:v>10</c:v>
                  </c:pt>
                  <c:pt idx="23">
                    <c:v>10</c:v>
                  </c:pt>
                  <c:pt idx="24">
                    <c:v>10</c:v>
                  </c:pt>
                  <c:pt idx="25">
                    <c:v>10</c:v>
                  </c:pt>
                  <c:pt idx="26">
                    <c:v>10</c:v>
                  </c:pt>
                  <c:pt idx="27">
                    <c:v>10</c:v>
                  </c:pt>
                  <c:pt idx="28">
                    <c:v>10</c:v>
                  </c:pt>
                  <c:pt idx="29">
                    <c:v>10</c:v>
                  </c:pt>
                  <c:pt idx="30">
                    <c:v>10</c:v>
                  </c:pt>
                  <c:pt idx="31">
                    <c:v>10</c:v>
                  </c:pt>
                  <c:pt idx="32">
                    <c:v>10</c:v>
                  </c:pt>
                  <c:pt idx="33">
                    <c:v>10</c:v>
                  </c:pt>
                  <c:pt idx="34">
                    <c:v>10</c:v>
                  </c:pt>
                  <c:pt idx="35">
                    <c:v>10</c:v>
                  </c:pt>
                  <c:pt idx="36">
                    <c:v>10</c:v>
                  </c:pt>
                  <c:pt idx="37">
                    <c:v>10</c:v>
                  </c:pt>
                  <c:pt idx="38">
                    <c:v>10</c:v>
                  </c:pt>
                  <c:pt idx="39">
                    <c:v>10</c:v>
                  </c:pt>
                  <c:pt idx="40">
                    <c:v>10</c:v>
                  </c:pt>
                  <c:pt idx="41">
                    <c:v>10</c:v>
                  </c:pt>
                  <c:pt idx="42">
                    <c:v>10</c:v>
                  </c:pt>
                  <c:pt idx="43">
                    <c:v>10</c:v>
                  </c:pt>
                  <c:pt idx="44">
                    <c:v>10</c:v>
                  </c:pt>
                  <c:pt idx="45">
                    <c:v>10</c:v>
                  </c:pt>
                  <c:pt idx="46">
                    <c:v>10</c:v>
                  </c:pt>
                  <c:pt idx="47">
                    <c:v>10</c:v>
                  </c:pt>
                  <c:pt idx="48">
                    <c:v>10</c:v>
                  </c:pt>
                  <c:pt idx="49">
                    <c:v>10</c:v>
                  </c:pt>
                  <c:pt idx="50">
                    <c:v>10</c:v>
                  </c:pt>
                  <c:pt idx="51">
                    <c:v>10</c:v>
                  </c:pt>
                  <c:pt idx="52">
                    <c:v>10</c:v>
                  </c:pt>
                  <c:pt idx="53">
                    <c:v>10</c:v>
                  </c:pt>
                  <c:pt idx="54">
                    <c:v>10</c:v>
                  </c:pt>
                  <c:pt idx="55">
                    <c:v>10</c:v>
                  </c:pt>
                  <c:pt idx="56">
                    <c:v>10</c:v>
                  </c:pt>
                  <c:pt idx="57">
                    <c:v>10</c:v>
                  </c:pt>
                  <c:pt idx="58">
                    <c:v>10</c:v>
                  </c:pt>
                  <c:pt idx="59">
                    <c:v>10</c:v>
                  </c:pt>
                  <c:pt idx="60">
                    <c:v>10</c:v>
                  </c:pt>
                  <c:pt idx="61">
                    <c:v>10</c:v>
                  </c:pt>
                  <c:pt idx="62">
                    <c:v>10</c:v>
                  </c:pt>
                  <c:pt idx="63">
                    <c:v>10</c:v>
                  </c:pt>
                  <c:pt idx="64">
                    <c:v>10</c:v>
                  </c:pt>
                  <c:pt idx="65">
                    <c:v>10</c:v>
                  </c:pt>
                  <c:pt idx="66">
                    <c:v>10</c:v>
                  </c:pt>
                  <c:pt idx="67">
                    <c:v>10</c:v>
                  </c:pt>
                  <c:pt idx="68">
                    <c:v>10</c:v>
                  </c:pt>
                  <c:pt idx="69">
                    <c:v>10</c:v>
                  </c:pt>
                  <c:pt idx="70">
                    <c:v>10</c:v>
                  </c:pt>
                  <c:pt idx="71">
                    <c:v>10</c:v>
                  </c:pt>
                  <c:pt idx="72">
                    <c:v>10</c:v>
                  </c:pt>
                  <c:pt idx="73">
                    <c:v>10</c:v>
                  </c:pt>
                  <c:pt idx="74">
                    <c:v>10</c:v>
                  </c:pt>
                  <c:pt idx="75">
                    <c:v>10</c:v>
                  </c:pt>
                  <c:pt idx="76">
                    <c:v>10</c:v>
                  </c:pt>
                  <c:pt idx="77">
                    <c:v>10</c:v>
                  </c:pt>
                  <c:pt idx="78">
                    <c:v>10</c:v>
                  </c:pt>
                  <c:pt idx="79">
                    <c:v>10</c:v>
                  </c:pt>
                  <c:pt idx="80">
                    <c:v>10</c:v>
                  </c:pt>
                </c:numCache>
              </c:numRef>
            </c:minus>
            <c:spPr>
              <a:ln w="3175">
                <a:solidFill>
                  <a:srgbClr val="339966"/>
                </a:solidFill>
                <a:prstDash val="sysDash"/>
              </a:ln>
            </c:spPr>
          </c:errBars>
          <c:xVal>
            <c:numRef>
              <c:f>'Average data'!$I$6:$I$86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data'!$X$6:$X$86</c:f>
              <c:numCache>
                <c:formatCode>0.0</c:formatCode>
                <c:ptCount val="81"/>
                <c:pt idx="0">
                  <c:v>35.597999999999999</c:v>
                </c:pt>
                <c:pt idx="1">
                  <c:v>35.660000000000004</c:v>
                </c:pt>
                <c:pt idx="2">
                  <c:v>35.753999999999998</c:v>
                </c:pt>
                <c:pt idx="3">
                  <c:v>35.827999999999996</c:v>
                </c:pt>
                <c:pt idx="4">
                  <c:v>35.910000000000004</c:v>
                </c:pt>
                <c:pt idx="5">
                  <c:v>35.957999999999998</c:v>
                </c:pt>
                <c:pt idx="6">
                  <c:v>36.077999999999996</c:v>
                </c:pt>
                <c:pt idx="7">
                  <c:v>36.22</c:v>
                </c:pt>
                <c:pt idx="8">
                  <c:v>36.253999999999998</c:v>
                </c:pt>
                <c:pt idx="9">
                  <c:v>36.396000000000001</c:v>
                </c:pt>
                <c:pt idx="10">
                  <c:v>36.47</c:v>
                </c:pt>
                <c:pt idx="11">
                  <c:v>36.519999999999996</c:v>
                </c:pt>
                <c:pt idx="12">
                  <c:v>36.595999999999997</c:v>
                </c:pt>
                <c:pt idx="13">
                  <c:v>36.660000000000004</c:v>
                </c:pt>
                <c:pt idx="14">
                  <c:v>36.72</c:v>
                </c:pt>
                <c:pt idx="15">
                  <c:v>36.757999999999996</c:v>
                </c:pt>
                <c:pt idx="16">
                  <c:v>36.832000000000001</c:v>
                </c:pt>
                <c:pt idx="17">
                  <c:v>36.9</c:v>
                </c:pt>
                <c:pt idx="18">
                  <c:v>36.981999999999999</c:v>
                </c:pt>
                <c:pt idx="19">
                  <c:v>37.064</c:v>
                </c:pt>
                <c:pt idx="20">
                  <c:v>37.164000000000001</c:v>
                </c:pt>
                <c:pt idx="21">
                  <c:v>37.245999999999995</c:v>
                </c:pt>
                <c:pt idx="22">
                  <c:v>37.326000000000001</c:v>
                </c:pt>
                <c:pt idx="23">
                  <c:v>37.402000000000001</c:v>
                </c:pt>
                <c:pt idx="24">
                  <c:v>37.462000000000003</c:v>
                </c:pt>
                <c:pt idx="25">
                  <c:v>37.519999999999996</c:v>
                </c:pt>
                <c:pt idx="26">
                  <c:v>37.572000000000003</c:v>
                </c:pt>
                <c:pt idx="27">
                  <c:v>37.618000000000002</c:v>
                </c:pt>
                <c:pt idx="28">
                  <c:v>37.688000000000002</c:v>
                </c:pt>
                <c:pt idx="29">
                  <c:v>37.727999999999994</c:v>
                </c:pt>
                <c:pt idx="30">
                  <c:v>37.739999999999995</c:v>
                </c:pt>
                <c:pt idx="31">
                  <c:v>37.772000000000006</c:v>
                </c:pt>
                <c:pt idx="32">
                  <c:v>37.815999999999995</c:v>
                </c:pt>
                <c:pt idx="33">
                  <c:v>37.94</c:v>
                </c:pt>
                <c:pt idx="34">
                  <c:v>37.994</c:v>
                </c:pt>
                <c:pt idx="35">
                  <c:v>38.072000000000003</c:v>
                </c:pt>
                <c:pt idx="36">
                  <c:v>38.311999999999998</c:v>
                </c:pt>
                <c:pt idx="37">
                  <c:v>38.618000000000002</c:v>
                </c:pt>
                <c:pt idx="38">
                  <c:v>38.948</c:v>
                </c:pt>
                <c:pt idx="39">
                  <c:v>39.236000000000004</c:v>
                </c:pt>
                <c:pt idx="40">
                  <c:v>39.384</c:v>
                </c:pt>
                <c:pt idx="41">
                  <c:v>39.426000000000002</c:v>
                </c:pt>
                <c:pt idx="42">
                  <c:v>39.372</c:v>
                </c:pt>
                <c:pt idx="43">
                  <c:v>39.207999999999998</c:v>
                </c:pt>
                <c:pt idx="44">
                  <c:v>39.15</c:v>
                </c:pt>
                <c:pt idx="45">
                  <c:v>39.112000000000002</c:v>
                </c:pt>
                <c:pt idx="46">
                  <c:v>39.03</c:v>
                </c:pt>
                <c:pt idx="47">
                  <c:v>38.875999999999998</c:v>
                </c:pt>
                <c:pt idx="48">
                  <c:v>38.845999999999997</c:v>
                </c:pt>
                <c:pt idx="49">
                  <c:v>38.851999999999997</c:v>
                </c:pt>
                <c:pt idx="50">
                  <c:v>38.923999999999999</c:v>
                </c:pt>
                <c:pt idx="51">
                  <c:v>39.176000000000002</c:v>
                </c:pt>
                <c:pt idx="52">
                  <c:v>39.597999999999999</c:v>
                </c:pt>
                <c:pt idx="53">
                  <c:v>40.238</c:v>
                </c:pt>
                <c:pt idx="54">
                  <c:v>40.832000000000001</c:v>
                </c:pt>
                <c:pt idx="55">
                  <c:v>40.841999999999999</c:v>
                </c:pt>
                <c:pt idx="56">
                  <c:v>40.245999999999995</c:v>
                </c:pt>
                <c:pt idx="57">
                  <c:v>39.787999999999997</c:v>
                </c:pt>
                <c:pt idx="58">
                  <c:v>39.527999999999999</c:v>
                </c:pt>
                <c:pt idx="59">
                  <c:v>39.286000000000001</c:v>
                </c:pt>
                <c:pt idx="60">
                  <c:v>39.224000000000004</c:v>
                </c:pt>
                <c:pt idx="61">
                  <c:v>39.434000000000005</c:v>
                </c:pt>
                <c:pt idx="62">
                  <c:v>39.908000000000001</c:v>
                </c:pt>
                <c:pt idx="63">
                  <c:v>39.981999999999999</c:v>
                </c:pt>
                <c:pt idx="64">
                  <c:v>39.076000000000001</c:v>
                </c:pt>
                <c:pt idx="65">
                  <c:v>38.760000000000005</c:v>
                </c:pt>
                <c:pt idx="66">
                  <c:v>39.088000000000001</c:v>
                </c:pt>
                <c:pt idx="67">
                  <c:v>39.492000000000004</c:v>
                </c:pt>
                <c:pt idx="68">
                  <c:v>38.576000000000001</c:v>
                </c:pt>
                <c:pt idx="69">
                  <c:v>37.823999999999998</c:v>
                </c:pt>
                <c:pt idx="70">
                  <c:v>37.844000000000001</c:v>
                </c:pt>
                <c:pt idx="71">
                  <c:v>38.893999999999998</c:v>
                </c:pt>
                <c:pt idx="72">
                  <c:v>37.315999999999995</c:v>
                </c:pt>
                <c:pt idx="73">
                  <c:v>36.006</c:v>
                </c:pt>
                <c:pt idx="74">
                  <c:v>34.488</c:v>
                </c:pt>
                <c:pt idx="75">
                  <c:v>23.45</c:v>
                </c:pt>
                <c:pt idx="76">
                  <c:v>23.648</c:v>
                </c:pt>
                <c:pt idx="77">
                  <c:v>20.084</c:v>
                </c:pt>
                <c:pt idx="78">
                  <c:v>20.108000000000001</c:v>
                </c:pt>
                <c:pt idx="79">
                  <c:v>22.248000000000001</c:v>
                </c:pt>
                <c:pt idx="80">
                  <c:v>22.874000000000002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'Average data'!$S$5</c:f>
              <c:strCache>
                <c:ptCount val="1"/>
                <c:pt idx="0">
                  <c:v>Max(MSG)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data'!$S$6:$S$86</c:f>
              <c:numCache>
                <c:formatCode>0.0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'Average data'!$T$5</c:f>
              <c:strCache>
                <c:ptCount val="1"/>
                <c:pt idx="0">
                  <c:v>Min(MSG)</c:v>
                </c:pt>
              </c:strCache>
            </c:strRef>
          </c:tx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'Average data'!$B$6:$B$86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data'!$T$6:$T$86</c:f>
              <c:numCache>
                <c:formatCode>0.0</c:formatCode>
                <c:ptCount val="81"/>
                <c:pt idx="0">
                  <c:v>110.47</c:v>
                </c:pt>
                <c:pt idx="1">
                  <c:v>121.7</c:v>
                </c:pt>
                <c:pt idx="2">
                  <c:v>117.47999999999999</c:v>
                </c:pt>
                <c:pt idx="3">
                  <c:v>111.32</c:v>
                </c:pt>
                <c:pt idx="4">
                  <c:v>112.21</c:v>
                </c:pt>
                <c:pt idx="5">
                  <c:v>108.93</c:v>
                </c:pt>
                <c:pt idx="6">
                  <c:v>118.42</c:v>
                </c:pt>
                <c:pt idx="7">
                  <c:v>117.12</c:v>
                </c:pt>
                <c:pt idx="8">
                  <c:v>115.86999999999999</c:v>
                </c:pt>
                <c:pt idx="9">
                  <c:v>110.94</c:v>
                </c:pt>
                <c:pt idx="10">
                  <c:v>121.83000000000001</c:v>
                </c:pt>
                <c:pt idx="11">
                  <c:v>118.87</c:v>
                </c:pt>
                <c:pt idx="12">
                  <c:v>123.07999999999998</c:v>
                </c:pt>
                <c:pt idx="13">
                  <c:v>122.42999999999999</c:v>
                </c:pt>
                <c:pt idx="14">
                  <c:v>119.72999999999999</c:v>
                </c:pt>
                <c:pt idx="15">
                  <c:v>120.15</c:v>
                </c:pt>
                <c:pt idx="16">
                  <c:v>116.63999999999999</c:v>
                </c:pt>
                <c:pt idx="17">
                  <c:v>118.95</c:v>
                </c:pt>
                <c:pt idx="18">
                  <c:v>114.77</c:v>
                </c:pt>
                <c:pt idx="19">
                  <c:v>120.69</c:v>
                </c:pt>
                <c:pt idx="20">
                  <c:v>107.50999999999999</c:v>
                </c:pt>
                <c:pt idx="21">
                  <c:v>105.66</c:v>
                </c:pt>
                <c:pt idx="22">
                  <c:v>106.84</c:v>
                </c:pt>
                <c:pt idx="23">
                  <c:v>101.44</c:v>
                </c:pt>
                <c:pt idx="24">
                  <c:v>99.59</c:v>
                </c:pt>
                <c:pt idx="25">
                  <c:v>103.44</c:v>
                </c:pt>
                <c:pt idx="26">
                  <c:v>98.5</c:v>
                </c:pt>
                <c:pt idx="27">
                  <c:v>97</c:v>
                </c:pt>
                <c:pt idx="28">
                  <c:v>95.49</c:v>
                </c:pt>
                <c:pt idx="29">
                  <c:v>96.22</c:v>
                </c:pt>
                <c:pt idx="30">
                  <c:v>96.32</c:v>
                </c:pt>
                <c:pt idx="31">
                  <c:v>99.27</c:v>
                </c:pt>
                <c:pt idx="32">
                  <c:v>98.59</c:v>
                </c:pt>
                <c:pt idx="33">
                  <c:v>97.61</c:v>
                </c:pt>
                <c:pt idx="34">
                  <c:v>97.02</c:v>
                </c:pt>
                <c:pt idx="35">
                  <c:v>95.11</c:v>
                </c:pt>
                <c:pt idx="36">
                  <c:v>94.47</c:v>
                </c:pt>
                <c:pt idx="37">
                  <c:v>95.26</c:v>
                </c:pt>
                <c:pt idx="38">
                  <c:v>95.56</c:v>
                </c:pt>
                <c:pt idx="39">
                  <c:v>94.600000000000009</c:v>
                </c:pt>
                <c:pt idx="40">
                  <c:v>93.84</c:v>
                </c:pt>
                <c:pt idx="41">
                  <c:v>94.06</c:v>
                </c:pt>
                <c:pt idx="42">
                  <c:v>95</c:v>
                </c:pt>
                <c:pt idx="43">
                  <c:v>95.46</c:v>
                </c:pt>
                <c:pt idx="44">
                  <c:v>96.02</c:v>
                </c:pt>
                <c:pt idx="45">
                  <c:v>96.54</c:v>
                </c:pt>
                <c:pt idx="46">
                  <c:v>96.070000000000007</c:v>
                </c:pt>
                <c:pt idx="47">
                  <c:v>95.509999999999991</c:v>
                </c:pt>
                <c:pt idx="48">
                  <c:v>96.329999999999984</c:v>
                </c:pt>
                <c:pt idx="49">
                  <c:v>96.5</c:v>
                </c:pt>
                <c:pt idx="50">
                  <c:v>95.44</c:v>
                </c:pt>
                <c:pt idx="51">
                  <c:v>97.679999999999993</c:v>
                </c:pt>
                <c:pt idx="52">
                  <c:v>101.34</c:v>
                </c:pt>
                <c:pt idx="53">
                  <c:v>106.43</c:v>
                </c:pt>
                <c:pt idx="54">
                  <c:v>99.97999999999999</c:v>
                </c:pt>
                <c:pt idx="55">
                  <c:v>95.15</c:v>
                </c:pt>
                <c:pt idx="56">
                  <c:v>89.86999999999999</c:v>
                </c:pt>
                <c:pt idx="57">
                  <c:v>87.12</c:v>
                </c:pt>
                <c:pt idx="58">
                  <c:v>85.78</c:v>
                </c:pt>
                <c:pt idx="59">
                  <c:v>83.640000000000015</c:v>
                </c:pt>
                <c:pt idx="60">
                  <c:v>82.960000000000008</c:v>
                </c:pt>
                <c:pt idx="61">
                  <c:v>81.2</c:v>
                </c:pt>
                <c:pt idx="62">
                  <c:v>80.22</c:v>
                </c:pt>
                <c:pt idx="63">
                  <c:v>82.539999999999992</c:v>
                </c:pt>
                <c:pt idx="64">
                  <c:v>82.75</c:v>
                </c:pt>
                <c:pt idx="65">
                  <c:v>88.4</c:v>
                </c:pt>
                <c:pt idx="66">
                  <c:v>89.64</c:v>
                </c:pt>
                <c:pt idx="67">
                  <c:v>96.03</c:v>
                </c:pt>
                <c:pt idx="68">
                  <c:v>89.61</c:v>
                </c:pt>
                <c:pt idx="69">
                  <c:v>83.27</c:v>
                </c:pt>
                <c:pt idx="70">
                  <c:v>80.81</c:v>
                </c:pt>
                <c:pt idx="71">
                  <c:v>78.84</c:v>
                </c:pt>
                <c:pt idx="72">
                  <c:v>77.819999999999993</c:v>
                </c:pt>
                <c:pt idx="73">
                  <c:v>83.15</c:v>
                </c:pt>
                <c:pt idx="74">
                  <c:v>87.61</c:v>
                </c:pt>
                <c:pt idx="75">
                  <c:v>74.040000000000006</c:v>
                </c:pt>
                <c:pt idx="76">
                  <c:v>73.97999999999999</c:v>
                </c:pt>
                <c:pt idx="77">
                  <c:v>65.13</c:v>
                </c:pt>
                <c:pt idx="78">
                  <c:v>53.690000000000005</c:v>
                </c:pt>
                <c:pt idx="79">
                  <c:v>70.050000000000011</c:v>
                </c:pt>
                <c:pt idx="80">
                  <c:v>72.139999999999986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8024"/>
        <c:axId val="214138416"/>
      </c:scatterChart>
      <c:valAx>
        <c:axId val="214138024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549222916101005"/>
              <c:y val="0.90540538372275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138416"/>
        <c:crossesAt val="60"/>
        <c:crossBetween val="midCat"/>
        <c:majorUnit val="10"/>
        <c:minorUnit val="10"/>
      </c:valAx>
      <c:valAx>
        <c:axId val="2141384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Max Stable Gain [dB]</a:t>
                </a:r>
              </a:p>
            </c:rich>
          </c:tx>
          <c:layout>
            <c:manualLayout>
              <c:xMode val="edge"/>
              <c:yMode val="edge"/>
              <c:x val="3.6269454249253326E-2"/>
              <c:y val="0.391891879845973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1380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6683898995384192E-2"/>
          <c:y val="0.92905417150175784"/>
          <c:w val="0.84041455335324466"/>
          <c:h val="6.92568076507616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MSG_Front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'MSG&amp;Probability'!$B$3</c:f>
              <c:strCache>
                <c:ptCount val="1"/>
                <c:pt idx="0">
                  <c:v>MSG_Front_I_320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'MSG&amp;Probability'!$B$4:$B$84</c:f>
              <c:numCache>
                <c:formatCode>0.00_ </c:formatCode>
                <c:ptCount val="81"/>
                <c:pt idx="0">
                  <c:v>104.77666666666669</c:v>
                </c:pt>
                <c:pt idx="1">
                  <c:v>107.74000000000001</c:v>
                </c:pt>
                <c:pt idx="2">
                  <c:v>111.61</c:v>
                </c:pt>
                <c:pt idx="3">
                  <c:v>115.62333333333333</c:v>
                </c:pt>
                <c:pt idx="4">
                  <c:v>106.98666666666668</c:v>
                </c:pt>
                <c:pt idx="5">
                  <c:v>107.58999999999999</c:v>
                </c:pt>
                <c:pt idx="6">
                  <c:v>108.06</c:v>
                </c:pt>
                <c:pt idx="7">
                  <c:v>104.56333333333333</c:v>
                </c:pt>
                <c:pt idx="8">
                  <c:v>114.72666666666665</c:v>
                </c:pt>
                <c:pt idx="9">
                  <c:v>114.64999999999999</c:v>
                </c:pt>
                <c:pt idx="10">
                  <c:v>106.66666666666667</c:v>
                </c:pt>
                <c:pt idx="11">
                  <c:v>107.14666666666669</c:v>
                </c:pt>
                <c:pt idx="12">
                  <c:v>110.95666666666666</c:v>
                </c:pt>
                <c:pt idx="13">
                  <c:v>107.99000000000001</c:v>
                </c:pt>
                <c:pt idx="14">
                  <c:v>113.24666666666667</c:v>
                </c:pt>
                <c:pt idx="15">
                  <c:v>108.22333333333331</c:v>
                </c:pt>
                <c:pt idx="16">
                  <c:v>104.02</c:v>
                </c:pt>
                <c:pt idx="17">
                  <c:v>109.48333333333333</c:v>
                </c:pt>
                <c:pt idx="18">
                  <c:v>105.00666666666666</c:v>
                </c:pt>
                <c:pt idx="19">
                  <c:v>106.58333333333333</c:v>
                </c:pt>
                <c:pt idx="20">
                  <c:v>99.88</c:v>
                </c:pt>
                <c:pt idx="21">
                  <c:v>104.32333333333334</c:v>
                </c:pt>
                <c:pt idx="22">
                  <c:v>101.24666666666667</c:v>
                </c:pt>
                <c:pt idx="23">
                  <c:v>100.95333333333333</c:v>
                </c:pt>
                <c:pt idx="24">
                  <c:v>101.70333333333333</c:v>
                </c:pt>
                <c:pt idx="25">
                  <c:v>100.17</c:v>
                </c:pt>
                <c:pt idx="26">
                  <c:v>101.88</c:v>
                </c:pt>
                <c:pt idx="27">
                  <c:v>101.24666666666667</c:v>
                </c:pt>
                <c:pt idx="28">
                  <c:v>101.17</c:v>
                </c:pt>
                <c:pt idx="29">
                  <c:v>100.37666666666667</c:v>
                </c:pt>
                <c:pt idx="30">
                  <c:v>101.44333333333333</c:v>
                </c:pt>
                <c:pt idx="31">
                  <c:v>102.73666666666668</c:v>
                </c:pt>
                <c:pt idx="32">
                  <c:v>103.92</c:v>
                </c:pt>
                <c:pt idx="33">
                  <c:v>105.41333333333334</c:v>
                </c:pt>
                <c:pt idx="34">
                  <c:v>103.81</c:v>
                </c:pt>
                <c:pt idx="35">
                  <c:v>103.69</c:v>
                </c:pt>
                <c:pt idx="36">
                  <c:v>102.93</c:v>
                </c:pt>
                <c:pt idx="37">
                  <c:v>103.68333333333334</c:v>
                </c:pt>
                <c:pt idx="38">
                  <c:v>106.29</c:v>
                </c:pt>
                <c:pt idx="39">
                  <c:v>108.92333333333335</c:v>
                </c:pt>
                <c:pt idx="40">
                  <c:v>109.36333333333334</c:v>
                </c:pt>
                <c:pt idx="41">
                  <c:v>108.21</c:v>
                </c:pt>
                <c:pt idx="42">
                  <c:v>108.56333333333333</c:v>
                </c:pt>
                <c:pt idx="43">
                  <c:v>111.00333333333333</c:v>
                </c:pt>
                <c:pt idx="44">
                  <c:v>108.52333333333331</c:v>
                </c:pt>
                <c:pt idx="45">
                  <c:v>107.33</c:v>
                </c:pt>
                <c:pt idx="46">
                  <c:v>110.47666666666665</c:v>
                </c:pt>
                <c:pt idx="47">
                  <c:v>109.76666666666667</c:v>
                </c:pt>
                <c:pt idx="48">
                  <c:v>109.06666666666666</c:v>
                </c:pt>
                <c:pt idx="49">
                  <c:v>105.79</c:v>
                </c:pt>
                <c:pt idx="50">
                  <c:v>102.97333333333331</c:v>
                </c:pt>
                <c:pt idx="51">
                  <c:v>102.09666666666668</c:v>
                </c:pt>
                <c:pt idx="52">
                  <c:v>100.32666666666667</c:v>
                </c:pt>
                <c:pt idx="53">
                  <c:v>99.75333333333333</c:v>
                </c:pt>
                <c:pt idx="54">
                  <c:v>98.839999999999989</c:v>
                </c:pt>
                <c:pt idx="55">
                  <c:v>97.913333333333341</c:v>
                </c:pt>
                <c:pt idx="56">
                  <c:v>96.34333333333332</c:v>
                </c:pt>
                <c:pt idx="57">
                  <c:v>94.856666666666641</c:v>
                </c:pt>
                <c:pt idx="58">
                  <c:v>92.196666666666673</c:v>
                </c:pt>
                <c:pt idx="59">
                  <c:v>88.456666666666663</c:v>
                </c:pt>
                <c:pt idx="60">
                  <c:v>85.473333333333315</c:v>
                </c:pt>
                <c:pt idx="61">
                  <c:v>82.406666666666666</c:v>
                </c:pt>
                <c:pt idx="62">
                  <c:v>80.633333333333326</c:v>
                </c:pt>
                <c:pt idx="63">
                  <c:v>80.563333333333333</c:v>
                </c:pt>
                <c:pt idx="64">
                  <c:v>81.053333333333342</c:v>
                </c:pt>
                <c:pt idx="65">
                  <c:v>78.693333333333328</c:v>
                </c:pt>
                <c:pt idx="66">
                  <c:v>79.556666666666658</c:v>
                </c:pt>
                <c:pt idx="67">
                  <c:v>79.676666666666662</c:v>
                </c:pt>
                <c:pt idx="68">
                  <c:v>79.646666666666661</c:v>
                </c:pt>
                <c:pt idx="69">
                  <c:v>80.75333333333333</c:v>
                </c:pt>
                <c:pt idx="70">
                  <c:v>81.656666666666666</c:v>
                </c:pt>
                <c:pt idx="71">
                  <c:v>81.016666666666652</c:v>
                </c:pt>
                <c:pt idx="72">
                  <c:v>81.23</c:v>
                </c:pt>
                <c:pt idx="73">
                  <c:v>79.089999999999989</c:v>
                </c:pt>
                <c:pt idx="74">
                  <c:v>73.339999999999989</c:v>
                </c:pt>
                <c:pt idx="75">
                  <c:v>63.54</c:v>
                </c:pt>
                <c:pt idx="76">
                  <c:v>70.523333333333326</c:v>
                </c:pt>
                <c:pt idx="77">
                  <c:v>75.75</c:v>
                </c:pt>
                <c:pt idx="78">
                  <c:v>64.973333333333329</c:v>
                </c:pt>
                <c:pt idx="79">
                  <c:v>54.330000000000005</c:v>
                </c:pt>
                <c:pt idx="80">
                  <c:v>75.913333333333341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'MSG&amp;Probability'!$C$3</c:f>
              <c:strCache>
                <c:ptCount val="1"/>
                <c:pt idx="0">
                  <c:v>MSG_Front _0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'MSG&amp;Probability'!$C$4:$C$84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'MSG&amp;Probability'!$D$3</c:f>
              <c:strCache>
                <c:ptCount val="1"/>
                <c:pt idx="0">
                  <c:v>MSG_Front _0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'MSG&amp;Probability'!$D$4:$D$84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'MSG&amp;Probability'!$E$3</c:f>
              <c:strCache>
                <c:ptCount val="1"/>
                <c:pt idx="0">
                  <c:v>MSG_Front _0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'MSG&amp;Probability'!$E$4:$E$84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'MSG&amp;Probability'!$F$3</c:f>
              <c:strCache>
                <c:ptCount val="1"/>
                <c:pt idx="0">
                  <c:v>MSG_Front _0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'MSG&amp;Probability'!$F$4:$F$84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'Average data'!$X$5</c:f>
              <c:strCache>
                <c:ptCount val="1"/>
                <c:pt idx="0">
                  <c:v>FOG+Stability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data'!$X$6:$X$86</c:f>
              <c:numCache>
                <c:formatCode>0.0</c:formatCode>
                <c:ptCount val="81"/>
                <c:pt idx="0">
                  <c:v>35.597999999999999</c:v>
                </c:pt>
                <c:pt idx="1">
                  <c:v>35.660000000000004</c:v>
                </c:pt>
                <c:pt idx="2">
                  <c:v>35.753999999999998</c:v>
                </c:pt>
                <c:pt idx="3">
                  <c:v>35.827999999999996</c:v>
                </c:pt>
                <c:pt idx="4">
                  <c:v>35.910000000000004</c:v>
                </c:pt>
                <c:pt idx="5">
                  <c:v>35.957999999999998</c:v>
                </c:pt>
                <c:pt idx="6">
                  <c:v>36.077999999999996</c:v>
                </c:pt>
                <c:pt idx="7">
                  <c:v>36.22</c:v>
                </c:pt>
                <c:pt idx="8">
                  <c:v>36.253999999999998</c:v>
                </c:pt>
                <c:pt idx="9">
                  <c:v>36.396000000000001</c:v>
                </c:pt>
                <c:pt idx="10">
                  <c:v>36.47</c:v>
                </c:pt>
                <c:pt idx="11">
                  <c:v>36.519999999999996</c:v>
                </c:pt>
                <c:pt idx="12">
                  <c:v>36.595999999999997</c:v>
                </c:pt>
                <c:pt idx="13">
                  <c:v>36.660000000000004</c:v>
                </c:pt>
                <c:pt idx="14">
                  <c:v>36.72</c:v>
                </c:pt>
                <c:pt idx="15">
                  <c:v>36.757999999999996</c:v>
                </c:pt>
                <c:pt idx="16">
                  <c:v>36.832000000000001</c:v>
                </c:pt>
                <c:pt idx="17">
                  <c:v>36.9</c:v>
                </c:pt>
                <c:pt idx="18">
                  <c:v>36.981999999999999</c:v>
                </c:pt>
                <c:pt idx="19">
                  <c:v>37.064</c:v>
                </c:pt>
                <c:pt idx="20">
                  <c:v>37.164000000000001</c:v>
                </c:pt>
                <c:pt idx="21">
                  <c:v>37.245999999999995</c:v>
                </c:pt>
                <c:pt idx="22">
                  <c:v>37.326000000000001</c:v>
                </c:pt>
                <c:pt idx="23">
                  <c:v>37.402000000000001</c:v>
                </c:pt>
                <c:pt idx="24">
                  <c:v>37.462000000000003</c:v>
                </c:pt>
                <c:pt idx="25">
                  <c:v>37.519999999999996</c:v>
                </c:pt>
                <c:pt idx="26">
                  <c:v>37.572000000000003</c:v>
                </c:pt>
                <c:pt idx="27">
                  <c:v>37.618000000000002</c:v>
                </c:pt>
                <c:pt idx="28">
                  <c:v>37.688000000000002</c:v>
                </c:pt>
                <c:pt idx="29">
                  <c:v>37.727999999999994</c:v>
                </c:pt>
                <c:pt idx="30">
                  <c:v>37.739999999999995</c:v>
                </c:pt>
                <c:pt idx="31">
                  <c:v>37.772000000000006</c:v>
                </c:pt>
                <c:pt idx="32">
                  <c:v>37.815999999999995</c:v>
                </c:pt>
                <c:pt idx="33">
                  <c:v>37.94</c:v>
                </c:pt>
                <c:pt idx="34">
                  <c:v>37.994</c:v>
                </c:pt>
                <c:pt idx="35">
                  <c:v>38.072000000000003</c:v>
                </c:pt>
                <c:pt idx="36">
                  <c:v>38.311999999999998</c:v>
                </c:pt>
                <c:pt idx="37">
                  <c:v>38.618000000000002</c:v>
                </c:pt>
                <c:pt idx="38">
                  <c:v>38.948</c:v>
                </c:pt>
                <c:pt idx="39">
                  <c:v>39.236000000000004</c:v>
                </c:pt>
                <c:pt idx="40">
                  <c:v>39.384</c:v>
                </c:pt>
                <c:pt idx="41">
                  <c:v>39.426000000000002</c:v>
                </c:pt>
                <c:pt idx="42">
                  <c:v>39.372</c:v>
                </c:pt>
                <c:pt idx="43">
                  <c:v>39.207999999999998</c:v>
                </c:pt>
                <c:pt idx="44">
                  <c:v>39.15</c:v>
                </c:pt>
                <c:pt idx="45">
                  <c:v>39.112000000000002</c:v>
                </c:pt>
                <c:pt idx="46">
                  <c:v>39.03</c:v>
                </c:pt>
                <c:pt idx="47">
                  <c:v>38.875999999999998</c:v>
                </c:pt>
                <c:pt idx="48">
                  <c:v>38.845999999999997</c:v>
                </c:pt>
                <c:pt idx="49">
                  <c:v>38.851999999999997</c:v>
                </c:pt>
                <c:pt idx="50">
                  <c:v>38.923999999999999</c:v>
                </c:pt>
                <c:pt idx="51">
                  <c:v>39.176000000000002</c:v>
                </c:pt>
                <c:pt idx="52">
                  <c:v>39.597999999999999</c:v>
                </c:pt>
                <c:pt idx="53">
                  <c:v>40.238</c:v>
                </c:pt>
                <c:pt idx="54">
                  <c:v>40.832000000000001</c:v>
                </c:pt>
                <c:pt idx="55">
                  <c:v>40.841999999999999</c:v>
                </c:pt>
                <c:pt idx="56">
                  <c:v>40.245999999999995</c:v>
                </c:pt>
                <c:pt idx="57">
                  <c:v>39.787999999999997</c:v>
                </c:pt>
                <c:pt idx="58">
                  <c:v>39.527999999999999</c:v>
                </c:pt>
                <c:pt idx="59">
                  <c:v>39.286000000000001</c:v>
                </c:pt>
                <c:pt idx="60">
                  <c:v>39.224000000000004</c:v>
                </c:pt>
                <c:pt idx="61">
                  <c:v>39.434000000000005</c:v>
                </c:pt>
                <c:pt idx="62">
                  <c:v>39.908000000000001</c:v>
                </c:pt>
                <c:pt idx="63">
                  <c:v>39.981999999999999</c:v>
                </c:pt>
                <c:pt idx="64">
                  <c:v>39.076000000000001</c:v>
                </c:pt>
                <c:pt idx="65">
                  <c:v>38.760000000000005</c:v>
                </c:pt>
                <c:pt idx="66">
                  <c:v>39.088000000000001</c:v>
                </c:pt>
                <c:pt idx="67">
                  <c:v>39.492000000000004</c:v>
                </c:pt>
                <c:pt idx="68">
                  <c:v>38.576000000000001</c:v>
                </c:pt>
                <c:pt idx="69">
                  <c:v>37.823999999999998</c:v>
                </c:pt>
                <c:pt idx="70">
                  <c:v>37.844000000000001</c:v>
                </c:pt>
                <c:pt idx="71">
                  <c:v>38.893999999999998</c:v>
                </c:pt>
                <c:pt idx="72">
                  <c:v>37.315999999999995</c:v>
                </c:pt>
                <c:pt idx="73">
                  <c:v>36.006</c:v>
                </c:pt>
                <c:pt idx="74">
                  <c:v>34.488</c:v>
                </c:pt>
                <c:pt idx="75">
                  <c:v>23.45</c:v>
                </c:pt>
                <c:pt idx="76">
                  <c:v>23.648</c:v>
                </c:pt>
                <c:pt idx="77">
                  <c:v>20.084</c:v>
                </c:pt>
                <c:pt idx="78">
                  <c:v>20.108000000000001</c:v>
                </c:pt>
                <c:pt idx="79">
                  <c:v>22.248000000000001</c:v>
                </c:pt>
                <c:pt idx="80">
                  <c:v>22.874000000000002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9200"/>
        <c:axId val="214139592"/>
      </c:scatterChart>
      <c:valAx>
        <c:axId val="214139200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39592"/>
        <c:crosses val="autoZero"/>
        <c:crossBetween val="midCat"/>
      </c:valAx>
      <c:valAx>
        <c:axId val="21413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3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'MSG&amp;Probability'!$I$3</c:f>
              <c:strCache>
                <c:ptCount val="1"/>
                <c:pt idx="0">
                  <c:v>MSG_Rear_I_320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'MSG&amp;Probability'!$I$4:$I$84</c:f>
              <c:numCache>
                <c:formatCode>0.00_ </c:formatCode>
                <c:ptCount val="81"/>
                <c:pt idx="0">
                  <c:v>108.36</c:v>
                </c:pt>
                <c:pt idx="1">
                  <c:v>114.27666666666669</c:v>
                </c:pt>
                <c:pt idx="2">
                  <c:v>114.05</c:v>
                </c:pt>
                <c:pt idx="3">
                  <c:v>108.81666666666666</c:v>
                </c:pt>
                <c:pt idx="4">
                  <c:v>107.65333333333332</c:v>
                </c:pt>
                <c:pt idx="5">
                  <c:v>107.54666666666667</c:v>
                </c:pt>
                <c:pt idx="6">
                  <c:v>111.28333333333335</c:v>
                </c:pt>
                <c:pt idx="7">
                  <c:v>113.94333333333334</c:v>
                </c:pt>
                <c:pt idx="8">
                  <c:v>113.11333333333333</c:v>
                </c:pt>
                <c:pt idx="9">
                  <c:v>109.06666666666666</c:v>
                </c:pt>
                <c:pt idx="10">
                  <c:v>117.25666666666666</c:v>
                </c:pt>
                <c:pt idx="11">
                  <c:v>113.62333333333333</c:v>
                </c:pt>
                <c:pt idx="12">
                  <c:v>115.21999999999998</c:v>
                </c:pt>
                <c:pt idx="13">
                  <c:v>117.88333333333333</c:v>
                </c:pt>
                <c:pt idx="14">
                  <c:v>112.25</c:v>
                </c:pt>
                <c:pt idx="15">
                  <c:v>114.79333333333334</c:v>
                </c:pt>
                <c:pt idx="16">
                  <c:v>114.04333333333334</c:v>
                </c:pt>
                <c:pt idx="17">
                  <c:v>114.23666666666666</c:v>
                </c:pt>
                <c:pt idx="18">
                  <c:v>109.21</c:v>
                </c:pt>
                <c:pt idx="19">
                  <c:v>115.25</c:v>
                </c:pt>
                <c:pt idx="20">
                  <c:v>106.08</c:v>
                </c:pt>
                <c:pt idx="21">
                  <c:v>103.85333333333334</c:v>
                </c:pt>
                <c:pt idx="22">
                  <c:v>105.85000000000001</c:v>
                </c:pt>
                <c:pt idx="23">
                  <c:v>99.67</c:v>
                </c:pt>
                <c:pt idx="24">
                  <c:v>98.146666666666661</c:v>
                </c:pt>
                <c:pt idx="25">
                  <c:v>99.423333333333332</c:v>
                </c:pt>
                <c:pt idx="26">
                  <c:v>96.279999999999987</c:v>
                </c:pt>
                <c:pt idx="27">
                  <c:v>95.643333333333331</c:v>
                </c:pt>
                <c:pt idx="28">
                  <c:v>94.566666666666649</c:v>
                </c:pt>
                <c:pt idx="29">
                  <c:v>94.976666666666674</c:v>
                </c:pt>
                <c:pt idx="30">
                  <c:v>95.67</c:v>
                </c:pt>
                <c:pt idx="31">
                  <c:v>96.673333333333332</c:v>
                </c:pt>
                <c:pt idx="32">
                  <c:v>97.52</c:v>
                </c:pt>
                <c:pt idx="33">
                  <c:v>97.190000000000012</c:v>
                </c:pt>
                <c:pt idx="34">
                  <c:v>96.516666666666666</c:v>
                </c:pt>
                <c:pt idx="35">
                  <c:v>94.353333333333339</c:v>
                </c:pt>
                <c:pt idx="36">
                  <c:v>93.839999999999989</c:v>
                </c:pt>
                <c:pt idx="37">
                  <c:v>93.916666666666671</c:v>
                </c:pt>
                <c:pt idx="38">
                  <c:v>93.806666666666686</c:v>
                </c:pt>
                <c:pt idx="39">
                  <c:v>93.270000000000024</c:v>
                </c:pt>
                <c:pt idx="40">
                  <c:v>92.453333333333333</c:v>
                </c:pt>
                <c:pt idx="41">
                  <c:v>92.096666666666678</c:v>
                </c:pt>
                <c:pt idx="42">
                  <c:v>92.71</c:v>
                </c:pt>
                <c:pt idx="43">
                  <c:v>92.756666666666661</c:v>
                </c:pt>
                <c:pt idx="44">
                  <c:v>93.233333333333334</c:v>
                </c:pt>
                <c:pt idx="45">
                  <c:v>93.766666666666666</c:v>
                </c:pt>
                <c:pt idx="46">
                  <c:v>94.036666666666676</c:v>
                </c:pt>
                <c:pt idx="47">
                  <c:v>93.286666666666676</c:v>
                </c:pt>
                <c:pt idx="48">
                  <c:v>93.373333333333335</c:v>
                </c:pt>
                <c:pt idx="49">
                  <c:v>93.410000000000011</c:v>
                </c:pt>
                <c:pt idx="50">
                  <c:v>93.533333333333346</c:v>
                </c:pt>
                <c:pt idx="51">
                  <c:v>94.27</c:v>
                </c:pt>
                <c:pt idx="52">
                  <c:v>95.65333333333335</c:v>
                </c:pt>
                <c:pt idx="53">
                  <c:v>98.589999999999989</c:v>
                </c:pt>
                <c:pt idx="54">
                  <c:v>98.143333333333317</c:v>
                </c:pt>
                <c:pt idx="55">
                  <c:v>94.366666666666674</c:v>
                </c:pt>
                <c:pt idx="56">
                  <c:v>89.403333333333322</c:v>
                </c:pt>
                <c:pt idx="57">
                  <c:v>86.313333333333333</c:v>
                </c:pt>
                <c:pt idx="58">
                  <c:v>84.39</c:v>
                </c:pt>
                <c:pt idx="59">
                  <c:v>82.220000000000013</c:v>
                </c:pt>
                <c:pt idx="60">
                  <c:v>81.13333333333334</c:v>
                </c:pt>
                <c:pt idx="61">
                  <c:v>79.87</c:v>
                </c:pt>
                <c:pt idx="62">
                  <c:v>79.646666666666661</c:v>
                </c:pt>
                <c:pt idx="63">
                  <c:v>81.256666666666661</c:v>
                </c:pt>
                <c:pt idx="64">
                  <c:v>82.23</c:v>
                </c:pt>
                <c:pt idx="65">
                  <c:v>82.823333333333338</c:v>
                </c:pt>
                <c:pt idx="66">
                  <c:v>87.033333333333317</c:v>
                </c:pt>
                <c:pt idx="67">
                  <c:v>93.613333333333344</c:v>
                </c:pt>
                <c:pt idx="68">
                  <c:v>89.043333333333337</c:v>
                </c:pt>
                <c:pt idx="69">
                  <c:v>82.493333333333325</c:v>
                </c:pt>
                <c:pt idx="70">
                  <c:v>79.326666666666668</c:v>
                </c:pt>
                <c:pt idx="71">
                  <c:v>78.293333333333337</c:v>
                </c:pt>
                <c:pt idx="72">
                  <c:v>77.233333333333334</c:v>
                </c:pt>
                <c:pt idx="73">
                  <c:v>82.596666666666678</c:v>
                </c:pt>
                <c:pt idx="74">
                  <c:v>85.99</c:v>
                </c:pt>
                <c:pt idx="75">
                  <c:v>64.376666666666665</c:v>
                </c:pt>
                <c:pt idx="76">
                  <c:v>67.399999999999991</c:v>
                </c:pt>
                <c:pt idx="77">
                  <c:v>55.153333333333329</c:v>
                </c:pt>
                <c:pt idx="78">
                  <c:v>51.390000000000008</c:v>
                </c:pt>
                <c:pt idx="79">
                  <c:v>59.686666666666667</c:v>
                </c:pt>
                <c:pt idx="80">
                  <c:v>63.743333333333332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'MSG&amp;Probability'!$J$3</c:f>
              <c:strCache>
                <c:ptCount val="1"/>
                <c:pt idx="0">
                  <c:v>MSG_Rear_0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'MSG&amp;Probability'!$J$4:$J$84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'MSG&amp;Probability'!$K$3</c:f>
              <c:strCache>
                <c:ptCount val="1"/>
                <c:pt idx="0">
                  <c:v>MSG_Rear_0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'MSG&amp;Probability'!$K$4:$K$84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'MSG&amp;Probability'!$L$3</c:f>
              <c:strCache>
                <c:ptCount val="1"/>
                <c:pt idx="0">
                  <c:v>MSG_Rear_0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'MSG&amp;Probability'!$L$4:$L$84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'MSG&amp;Probability'!$M$3</c:f>
              <c:strCache>
                <c:ptCount val="1"/>
                <c:pt idx="0">
                  <c:v>MSG_Rear_0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'MSG&amp;Probability'!$M$4:$M$84</c:f>
              <c:numCache>
                <c:formatCode>0.00_ 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'Average data'!$X$5</c:f>
              <c:strCache>
                <c:ptCount val="1"/>
                <c:pt idx="0">
                  <c:v>FOG+Stability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'MSG&amp;Probability'!$A$4:$A$84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data'!$X$6:$X$86</c:f>
              <c:numCache>
                <c:formatCode>0.0</c:formatCode>
                <c:ptCount val="81"/>
                <c:pt idx="0">
                  <c:v>35.597999999999999</c:v>
                </c:pt>
                <c:pt idx="1">
                  <c:v>35.660000000000004</c:v>
                </c:pt>
                <c:pt idx="2">
                  <c:v>35.753999999999998</c:v>
                </c:pt>
                <c:pt idx="3">
                  <c:v>35.827999999999996</c:v>
                </c:pt>
                <c:pt idx="4">
                  <c:v>35.910000000000004</c:v>
                </c:pt>
                <c:pt idx="5">
                  <c:v>35.957999999999998</c:v>
                </c:pt>
                <c:pt idx="6">
                  <c:v>36.077999999999996</c:v>
                </c:pt>
                <c:pt idx="7">
                  <c:v>36.22</c:v>
                </c:pt>
                <c:pt idx="8">
                  <c:v>36.253999999999998</c:v>
                </c:pt>
                <c:pt idx="9">
                  <c:v>36.396000000000001</c:v>
                </c:pt>
                <c:pt idx="10">
                  <c:v>36.47</c:v>
                </c:pt>
                <c:pt idx="11">
                  <c:v>36.519999999999996</c:v>
                </c:pt>
                <c:pt idx="12">
                  <c:v>36.595999999999997</c:v>
                </c:pt>
                <c:pt idx="13">
                  <c:v>36.660000000000004</c:v>
                </c:pt>
                <c:pt idx="14">
                  <c:v>36.72</c:v>
                </c:pt>
                <c:pt idx="15">
                  <c:v>36.757999999999996</c:v>
                </c:pt>
                <c:pt idx="16">
                  <c:v>36.832000000000001</c:v>
                </c:pt>
                <c:pt idx="17">
                  <c:v>36.9</c:v>
                </c:pt>
                <c:pt idx="18">
                  <c:v>36.981999999999999</c:v>
                </c:pt>
                <c:pt idx="19">
                  <c:v>37.064</c:v>
                </c:pt>
                <c:pt idx="20">
                  <c:v>37.164000000000001</c:v>
                </c:pt>
                <c:pt idx="21">
                  <c:v>37.245999999999995</c:v>
                </c:pt>
                <c:pt idx="22">
                  <c:v>37.326000000000001</c:v>
                </c:pt>
                <c:pt idx="23">
                  <c:v>37.402000000000001</c:v>
                </c:pt>
                <c:pt idx="24">
                  <c:v>37.462000000000003</c:v>
                </c:pt>
                <c:pt idx="25">
                  <c:v>37.519999999999996</c:v>
                </c:pt>
                <c:pt idx="26">
                  <c:v>37.572000000000003</c:v>
                </c:pt>
                <c:pt idx="27">
                  <c:v>37.618000000000002</c:v>
                </c:pt>
                <c:pt idx="28">
                  <c:v>37.688000000000002</c:v>
                </c:pt>
                <c:pt idx="29">
                  <c:v>37.727999999999994</c:v>
                </c:pt>
                <c:pt idx="30">
                  <c:v>37.739999999999995</c:v>
                </c:pt>
                <c:pt idx="31">
                  <c:v>37.772000000000006</c:v>
                </c:pt>
                <c:pt idx="32">
                  <c:v>37.815999999999995</c:v>
                </c:pt>
                <c:pt idx="33">
                  <c:v>37.94</c:v>
                </c:pt>
                <c:pt idx="34">
                  <c:v>37.994</c:v>
                </c:pt>
                <c:pt idx="35">
                  <c:v>38.072000000000003</c:v>
                </c:pt>
                <c:pt idx="36">
                  <c:v>38.311999999999998</c:v>
                </c:pt>
                <c:pt idx="37">
                  <c:v>38.618000000000002</c:v>
                </c:pt>
                <c:pt idx="38">
                  <c:v>38.948</c:v>
                </c:pt>
                <c:pt idx="39">
                  <c:v>39.236000000000004</c:v>
                </c:pt>
                <c:pt idx="40">
                  <c:v>39.384</c:v>
                </c:pt>
                <c:pt idx="41">
                  <c:v>39.426000000000002</c:v>
                </c:pt>
                <c:pt idx="42">
                  <c:v>39.372</c:v>
                </c:pt>
                <c:pt idx="43">
                  <c:v>39.207999999999998</c:v>
                </c:pt>
                <c:pt idx="44">
                  <c:v>39.15</c:v>
                </c:pt>
                <c:pt idx="45">
                  <c:v>39.112000000000002</c:v>
                </c:pt>
                <c:pt idx="46">
                  <c:v>39.03</c:v>
                </c:pt>
                <c:pt idx="47">
                  <c:v>38.875999999999998</c:v>
                </c:pt>
                <c:pt idx="48">
                  <c:v>38.845999999999997</c:v>
                </c:pt>
                <c:pt idx="49">
                  <c:v>38.851999999999997</c:v>
                </c:pt>
                <c:pt idx="50">
                  <c:v>38.923999999999999</c:v>
                </c:pt>
                <c:pt idx="51">
                  <c:v>39.176000000000002</c:v>
                </c:pt>
                <c:pt idx="52">
                  <c:v>39.597999999999999</c:v>
                </c:pt>
                <c:pt idx="53">
                  <c:v>40.238</c:v>
                </c:pt>
                <c:pt idx="54">
                  <c:v>40.832000000000001</c:v>
                </c:pt>
                <c:pt idx="55">
                  <c:v>40.841999999999999</c:v>
                </c:pt>
                <c:pt idx="56">
                  <c:v>40.245999999999995</c:v>
                </c:pt>
                <c:pt idx="57">
                  <c:v>39.787999999999997</c:v>
                </c:pt>
                <c:pt idx="58">
                  <c:v>39.527999999999999</c:v>
                </c:pt>
                <c:pt idx="59">
                  <c:v>39.286000000000001</c:v>
                </c:pt>
                <c:pt idx="60">
                  <c:v>39.224000000000004</c:v>
                </c:pt>
                <c:pt idx="61">
                  <c:v>39.434000000000005</c:v>
                </c:pt>
                <c:pt idx="62">
                  <c:v>39.908000000000001</c:v>
                </c:pt>
                <c:pt idx="63">
                  <c:v>39.981999999999999</c:v>
                </c:pt>
                <c:pt idx="64">
                  <c:v>39.076000000000001</c:v>
                </c:pt>
                <c:pt idx="65">
                  <c:v>38.760000000000005</c:v>
                </c:pt>
                <c:pt idx="66">
                  <c:v>39.088000000000001</c:v>
                </c:pt>
                <c:pt idx="67">
                  <c:v>39.492000000000004</c:v>
                </c:pt>
                <c:pt idx="68">
                  <c:v>38.576000000000001</c:v>
                </c:pt>
                <c:pt idx="69">
                  <c:v>37.823999999999998</c:v>
                </c:pt>
                <c:pt idx="70">
                  <c:v>37.844000000000001</c:v>
                </c:pt>
                <c:pt idx="71">
                  <c:v>38.893999999999998</c:v>
                </c:pt>
                <c:pt idx="72">
                  <c:v>37.315999999999995</c:v>
                </c:pt>
                <c:pt idx="73">
                  <c:v>36.006</c:v>
                </c:pt>
                <c:pt idx="74">
                  <c:v>34.488</c:v>
                </c:pt>
                <c:pt idx="75">
                  <c:v>23.45</c:v>
                </c:pt>
                <c:pt idx="76">
                  <c:v>23.648</c:v>
                </c:pt>
                <c:pt idx="77">
                  <c:v>20.084</c:v>
                </c:pt>
                <c:pt idx="78">
                  <c:v>20.108000000000001</c:v>
                </c:pt>
                <c:pt idx="79">
                  <c:v>22.248000000000001</c:v>
                </c:pt>
                <c:pt idx="80">
                  <c:v>22.874000000000002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41944"/>
        <c:axId val="214142336"/>
      </c:scatterChart>
      <c:valAx>
        <c:axId val="214141944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42336"/>
        <c:crosses val="autoZero"/>
        <c:crossBetween val="midCat"/>
      </c:valAx>
      <c:valAx>
        <c:axId val="2141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41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altLang="zh-CN"/>
              <a:t>Front Mic Stability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'MSG&amp;Probability'!$X$1</c:f>
              <c:strCache>
                <c:ptCount val="1"/>
                <c:pt idx="0">
                  <c:v>Front&gt;10 Probability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'MSG&amp;Probability'!$X$4:$X$84</c:f>
              <c:numCache>
                <c:formatCode>0.0%</c:formatCode>
                <c:ptCount val="81"/>
                <c:pt idx="0">
                  <c:v>0.51544507700866382</c:v>
                </c:pt>
                <c:pt idx="1">
                  <c:v>0.52456653935362296</c:v>
                </c:pt>
                <c:pt idx="2">
                  <c:v>0.53112720285626858</c:v>
                </c:pt>
                <c:pt idx="3">
                  <c:v>0.53723147113965786</c:v>
                </c:pt>
                <c:pt idx="4">
                  <c:v>0.51870951186303604</c:v>
                </c:pt>
                <c:pt idx="5">
                  <c:v>0.51779036818169433</c:v>
                </c:pt>
                <c:pt idx="6">
                  <c:v>0.5189376394785834</c:v>
                </c:pt>
                <c:pt idx="7">
                  <c:v>0.50705936201852997</c:v>
                </c:pt>
                <c:pt idx="8">
                  <c:v>0.5205999481613961</c:v>
                </c:pt>
                <c:pt idx="9">
                  <c:v>0.51758787898303216</c:v>
                </c:pt>
                <c:pt idx="10">
                  <c:v>0.50253265129146896</c:v>
                </c:pt>
                <c:pt idx="11">
                  <c:v>0.50078157517815636</c:v>
                </c:pt>
                <c:pt idx="12">
                  <c:v>0.51198112156902864</c:v>
                </c:pt>
                <c:pt idx="13">
                  <c:v>0.50448717407109633</c:v>
                </c:pt>
                <c:pt idx="14">
                  <c:v>0.50936435461459517</c:v>
                </c:pt>
                <c:pt idx="15">
                  <c:v>0.50441933154850727</c:v>
                </c:pt>
                <c:pt idx="16">
                  <c:v>0.49425446448532251</c:v>
                </c:pt>
                <c:pt idx="17">
                  <c:v>0.50418146433219424</c:v>
                </c:pt>
                <c:pt idx="18">
                  <c:v>0.49237282249658521</c:v>
                </c:pt>
                <c:pt idx="19">
                  <c:v>0.4981978605572312</c:v>
                </c:pt>
                <c:pt idx="20">
                  <c:v>0.45217331364959418</c:v>
                </c:pt>
                <c:pt idx="21">
                  <c:v>0.46701088041709843</c:v>
                </c:pt>
                <c:pt idx="22">
                  <c:v>0.46236808944652774</c:v>
                </c:pt>
                <c:pt idx="23">
                  <c:v>0.44870094453191323</c:v>
                </c:pt>
                <c:pt idx="24">
                  <c:v>0.46402331933814167</c:v>
                </c:pt>
                <c:pt idx="25">
                  <c:v>0.46304353484504779</c:v>
                </c:pt>
                <c:pt idx="26">
                  <c:v>0.47227298336380052</c:v>
                </c:pt>
                <c:pt idx="27">
                  <c:v>0.45476708717817255</c:v>
                </c:pt>
                <c:pt idx="28">
                  <c:v>0.45903520585192958</c:v>
                </c:pt>
                <c:pt idx="29">
                  <c:v>0.45245807718205133</c:v>
                </c:pt>
                <c:pt idx="30">
                  <c:v>0.4477574393260767</c:v>
                </c:pt>
                <c:pt idx="31">
                  <c:v>0.45876638332421532</c:v>
                </c:pt>
                <c:pt idx="32">
                  <c:v>0.46835099169221406</c:v>
                </c:pt>
                <c:pt idx="33">
                  <c:v>0.47406368570346757</c:v>
                </c:pt>
                <c:pt idx="34">
                  <c:v>0.46345714243226199</c:v>
                </c:pt>
                <c:pt idx="35">
                  <c:v>0.45795604287160724</c:v>
                </c:pt>
                <c:pt idx="36">
                  <c:v>0.44317128457793764</c:v>
                </c:pt>
                <c:pt idx="37">
                  <c:v>0.44740168424353366</c:v>
                </c:pt>
                <c:pt idx="38">
                  <c:v>0.44347842071006977</c:v>
                </c:pt>
                <c:pt idx="39">
                  <c:v>0.43666722331756069</c:v>
                </c:pt>
                <c:pt idx="40">
                  <c:v>0.41048371650712984</c:v>
                </c:pt>
                <c:pt idx="41">
                  <c:v>0.39545202902627291</c:v>
                </c:pt>
                <c:pt idx="42">
                  <c:v>0.399505136172984</c:v>
                </c:pt>
                <c:pt idx="43">
                  <c:v>0.40136518026539214</c:v>
                </c:pt>
                <c:pt idx="44">
                  <c:v>0.40793671376581192</c:v>
                </c:pt>
                <c:pt idx="45">
                  <c:v>0.41665688715254512</c:v>
                </c:pt>
                <c:pt idx="46">
                  <c:v>0.42634176283053221</c:v>
                </c:pt>
                <c:pt idx="47">
                  <c:v>0.4233580857399647</c:v>
                </c:pt>
                <c:pt idx="48">
                  <c:v>0.42089293801685496</c:v>
                </c:pt>
                <c:pt idx="49">
                  <c:v>0.41574816825260347</c:v>
                </c:pt>
                <c:pt idx="50">
                  <c:v>0.40542538948126128</c:v>
                </c:pt>
                <c:pt idx="51">
                  <c:v>0.38691507900065031</c:v>
                </c:pt>
                <c:pt idx="52">
                  <c:v>0.36232964045251254</c:v>
                </c:pt>
                <c:pt idx="53">
                  <c:v>0.32606480628249623</c:v>
                </c:pt>
                <c:pt idx="54">
                  <c:v>0.26624374940483342</c:v>
                </c:pt>
                <c:pt idx="55">
                  <c:v>0.26573760178586942</c:v>
                </c:pt>
                <c:pt idx="56">
                  <c:v>0.30008877171386128</c:v>
                </c:pt>
                <c:pt idx="57">
                  <c:v>0.31388436606527614</c:v>
                </c:pt>
                <c:pt idx="58">
                  <c:v>0.30213375017069166</c:v>
                </c:pt>
                <c:pt idx="59">
                  <c:v>0.26302175098680974</c:v>
                </c:pt>
                <c:pt idx="60">
                  <c:v>0.21026977035845165</c:v>
                </c:pt>
                <c:pt idx="61">
                  <c:v>9.0785306978223887E-2</c:v>
                </c:pt>
                <c:pt idx="62">
                  <c:v>6.2297196608084955E-3</c:v>
                </c:pt>
                <c:pt idx="63">
                  <c:v>1.0165104172010732E-2</c:v>
                </c:pt>
                <c:pt idx="64">
                  <c:v>0.11165640019009898</c:v>
                </c:pt>
                <c:pt idx="65">
                  <c:v>0.11024275304677165</c:v>
                </c:pt>
                <c:pt idx="66">
                  <c:v>0.10412238673235807</c:v>
                </c:pt>
                <c:pt idx="67">
                  <c:v>5.6837775625459455E-2</c:v>
                </c:pt>
                <c:pt idx="68">
                  <c:v>0.15591042968562366</c:v>
                </c:pt>
                <c:pt idx="69">
                  <c:v>0.26353308160759703</c:v>
                </c:pt>
                <c:pt idx="70">
                  <c:v>0.27158272453856513</c:v>
                </c:pt>
                <c:pt idx="71">
                  <c:v>0.17473028738072599</c:v>
                </c:pt>
                <c:pt idx="72">
                  <c:v>0.31319419869364196</c:v>
                </c:pt>
                <c:pt idx="73">
                  <c:v>0.36307821162073395</c:v>
                </c:pt>
                <c:pt idx="74">
                  <c:v>0.37039030214404167</c:v>
                </c:pt>
                <c:pt idx="75">
                  <c:v>0.55871554749086383</c:v>
                </c:pt>
                <c:pt idx="76">
                  <c:v>0.56018465879671697</c:v>
                </c:pt>
                <c:pt idx="77">
                  <c:v>0.56021551085349375</c:v>
                </c:pt>
                <c:pt idx="78">
                  <c:v>0.55434571968674629</c:v>
                </c:pt>
                <c:pt idx="79">
                  <c:v>0.55546045581821424</c:v>
                </c:pt>
                <c:pt idx="80">
                  <c:v>0.56406017562355859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'MSG&amp;Probability'!$Z$1</c:f>
              <c:strCache>
                <c:ptCount val="1"/>
                <c:pt idx="0">
                  <c:v>Front&gt;15 Probability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'MSG&amp;Probability'!$Z$4:$Z$84</c:f>
              <c:numCache>
                <c:formatCode>0.0%</c:formatCode>
                <c:ptCount val="81"/>
                <c:pt idx="0">
                  <c:v>0.43426747937287086</c:v>
                </c:pt>
                <c:pt idx="1">
                  <c:v>0.44781662856676419</c:v>
                </c:pt>
                <c:pt idx="2">
                  <c:v>0.45761214445510889</c:v>
                </c:pt>
                <c:pt idx="3">
                  <c:v>0.46676086806745598</c:v>
                </c:pt>
                <c:pt idx="4">
                  <c:v>0.43910675324105364</c:v>
                </c:pt>
                <c:pt idx="5">
                  <c:v>0.43774306610866132</c:v>
                </c:pt>
                <c:pt idx="6">
                  <c:v>0.43944534989333567</c:v>
                </c:pt>
                <c:pt idx="7">
                  <c:v>0.42188926823747219</c:v>
                </c:pt>
                <c:pt idx="8">
                  <c:v>0.44191422623275461</c:v>
                </c:pt>
                <c:pt idx="9">
                  <c:v>0.43744276098299395</c:v>
                </c:pt>
                <c:pt idx="10">
                  <c:v>0.41524073315927629</c:v>
                </c:pt>
                <c:pt idx="11">
                  <c:v>0.41267542874852525</c:v>
                </c:pt>
                <c:pt idx="12">
                  <c:v>0.42914486264791141</c:v>
                </c:pt>
                <c:pt idx="13">
                  <c:v>0.4181084398271136</c:v>
                </c:pt>
                <c:pt idx="14">
                  <c:v>0.4252838505372194</c:v>
                </c:pt>
                <c:pt idx="15">
                  <c:v>0.41800882405118511</c:v>
                </c:pt>
                <c:pt idx="16">
                  <c:v>0.40314675151549118</c:v>
                </c:pt>
                <c:pt idx="17">
                  <c:v>0.41765959755702153</c:v>
                </c:pt>
                <c:pt idx="18">
                  <c:v>0.4004098910039291</c:v>
                </c:pt>
                <c:pt idx="19">
                  <c:v>0.4088971776939882</c:v>
                </c:pt>
                <c:pt idx="20">
                  <c:v>0.34315588357456528</c:v>
                </c:pt>
                <c:pt idx="21">
                  <c:v>0.36400057037306094</c:v>
                </c:pt>
                <c:pt idx="22">
                  <c:v>0.35743959467354125</c:v>
                </c:pt>
                <c:pt idx="23">
                  <c:v>0.33833081688612915</c:v>
                </c:pt>
                <c:pt idx="24">
                  <c:v>0.35977475970087303</c:v>
                </c:pt>
                <c:pt idx="25">
                  <c:v>0.35839196942166923</c:v>
                </c:pt>
                <c:pt idx="26">
                  <c:v>0.3714774347130666</c:v>
                </c:pt>
                <c:pt idx="27">
                  <c:v>0.34677354274155348</c:v>
                </c:pt>
                <c:pt idx="28">
                  <c:v>0.35275105223593739</c:v>
                </c:pt>
                <c:pt idx="29">
                  <c:v>0.34355249848146513</c:v>
                </c:pt>
                <c:pt idx="30">
                  <c:v>0.33702336825821966</c:v>
                </c:pt>
                <c:pt idx="31">
                  <c:v>0.3523736754133695</c:v>
                </c:pt>
                <c:pt idx="32">
                  <c:v>0.36590066637922347</c:v>
                </c:pt>
                <c:pt idx="33">
                  <c:v>0.37403144530801069</c:v>
                </c:pt>
                <c:pt idx="34">
                  <c:v>0.35897551529359484</c:v>
                </c:pt>
                <c:pt idx="35">
                  <c:v>0.35123682784589938</c:v>
                </c:pt>
                <c:pt idx="36">
                  <c:v>0.3306904964624009</c:v>
                </c:pt>
                <c:pt idx="37">
                  <c:v>0.33653078966565153</c:v>
                </c:pt>
                <c:pt idx="38">
                  <c:v>0.33111344300634893</c:v>
                </c:pt>
                <c:pt idx="39">
                  <c:v>0.32177410609272217</c:v>
                </c:pt>
                <c:pt idx="40">
                  <c:v>0.2866976673243784</c:v>
                </c:pt>
                <c:pt idx="41">
                  <c:v>0.26719716706567681</c:v>
                </c:pt>
                <c:pt idx="42">
                  <c:v>0.27240710348871655</c:v>
                </c:pt>
                <c:pt idx="43">
                  <c:v>0.27481007779068667</c:v>
                </c:pt>
                <c:pt idx="44">
                  <c:v>0.28335944951801678</c:v>
                </c:pt>
                <c:pt idx="45">
                  <c:v>0.29484442469567945</c:v>
                </c:pt>
                <c:pt idx="46">
                  <c:v>0.30778096740614336</c:v>
                </c:pt>
                <c:pt idx="47">
                  <c:v>0.30377568483010742</c:v>
                </c:pt>
                <c:pt idx="48">
                  <c:v>0.30047972217163632</c:v>
                </c:pt>
                <c:pt idx="49">
                  <c:v>0.29364027014778926</c:v>
                </c:pt>
                <c:pt idx="50">
                  <c:v>0.28008139721568004</c:v>
                </c:pt>
                <c:pt idx="51">
                  <c:v>0.25634347526311668</c:v>
                </c:pt>
                <c:pt idx="52">
                  <c:v>0.22603611430352311</c:v>
                </c:pt>
                <c:pt idx="53">
                  <c:v>0.18410927361845139</c:v>
                </c:pt>
                <c:pt idx="54">
                  <c:v>0.12303930892959397</c:v>
                </c:pt>
                <c:pt idx="55">
                  <c:v>0.12256892985237475</c:v>
                </c:pt>
                <c:pt idx="56">
                  <c:v>0.15628966182060947</c:v>
                </c:pt>
                <c:pt idx="57">
                  <c:v>0.17082466633129659</c:v>
                </c:pt>
                <c:pt idx="58">
                  <c:v>0.15840930453749638</c:v>
                </c:pt>
                <c:pt idx="59">
                  <c:v>0.12005886495046025</c:v>
                </c:pt>
                <c:pt idx="60">
                  <c:v>7.6095506125008539E-2</c:v>
                </c:pt>
                <c:pt idx="61">
                  <c:v>1.2956641977792402E-2</c:v>
                </c:pt>
                <c:pt idx="62">
                  <c:v>3.5651862107120326E-5</c:v>
                </c:pt>
                <c:pt idx="63">
                  <c:v>1.0615385977573043E-4</c:v>
                </c:pt>
                <c:pt idx="64">
                  <c:v>2.0169717051023155E-2</c:v>
                </c:pt>
                <c:pt idx="65">
                  <c:v>1.9629396521909877E-2</c:v>
                </c:pt>
                <c:pt idx="66">
                  <c:v>1.7376849980157122E-2</c:v>
                </c:pt>
                <c:pt idx="67">
                  <c:v>4.7098212156678303E-3</c:v>
                </c:pt>
                <c:pt idx="68">
                  <c:v>4.0866348872679127E-2</c:v>
                </c:pt>
                <c:pt idx="69">
                  <c:v>0.12052966221882443</c:v>
                </c:pt>
                <c:pt idx="70">
                  <c:v>0.12805015325116725</c:v>
                </c:pt>
                <c:pt idx="71">
                  <c:v>5.1862075072406887E-2</c:v>
                </c:pt>
                <c:pt idx="72">
                  <c:v>0.17008447005642133</c:v>
                </c:pt>
                <c:pt idx="73">
                  <c:v>0.22693730359930955</c:v>
                </c:pt>
                <c:pt idx="74">
                  <c:v>0.2358128353031666</c:v>
                </c:pt>
                <c:pt idx="75">
                  <c:v>0.49918751435821879</c:v>
                </c:pt>
                <c:pt idx="76">
                  <c:v>0.50141596854778048</c:v>
                </c:pt>
                <c:pt idx="77">
                  <c:v>0.50146278031397107</c:v>
                </c:pt>
                <c:pt idx="78">
                  <c:v>0.49256657969330558</c:v>
                </c:pt>
                <c:pt idx="79">
                  <c:v>0.49425446448532251</c:v>
                </c:pt>
                <c:pt idx="80">
                  <c:v>0.50730035616162183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'MSG&amp;Probability'!$AY$1</c:f>
              <c:strCache>
                <c:ptCount val="1"/>
                <c:pt idx="0">
                  <c:v>Front&gt;10 Probability</c:v>
                </c:pt>
              </c:strCache>
            </c:strRef>
          </c:tx>
          <c:spPr>
            <a:ln w="19050" cap="rnd">
              <a:solidFill>
                <a:srgbClr val="1F497D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'MSG&amp;Probability'!$AY$4:$AY$84</c:f>
              <c:numCache>
                <c:formatCode>0.0%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'MSG&amp;Probability'!$BA$1</c:f>
              <c:strCache>
                <c:ptCount val="1"/>
                <c:pt idx="0">
                  <c:v>Front&gt;15 Probability</c:v>
                </c:pt>
              </c:strCache>
            </c:strRef>
          </c:tx>
          <c:spPr>
            <a:ln w="19050" cap="flat" cmpd="sng" algn="ctr">
              <a:solidFill>
                <a:srgbClr val="F79646"/>
              </a:solidFill>
              <a:prstDash val="sysDash"/>
              <a:miter lim="800000"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'MSG&amp;Probability'!$BA$4:$BA$84</c:f>
              <c:numCache>
                <c:formatCode>0.0%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41552"/>
        <c:axId val="214141160"/>
      </c:scatterChart>
      <c:valAx>
        <c:axId val="214141552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41160"/>
        <c:crosses val="autoZero"/>
        <c:crossBetween val="midCat"/>
      </c:valAx>
      <c:valAx>
        <c:axId val="2141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4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altLang="zh-CN"/>
              <a:t>Rear Mic Stability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'MSG&amp;Probability'!$AK$1</c:f>
              <c:strCache>
                <c:ptCount val="1"/>
                <c:pt idx="0">
                  <c:v>Rear&gt;10 Probability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'MSG&amp;Probability'!$AK$4:$AK$84</c:f>
              <c:numCache>
                <c:formatCode>0.0%</c:formatCode>
                <c:ptCount val="81"/>
                <c:pt idx="0">
                  <c:v>0.52639753942187884</c:v>
                </c:pt>
                <c:pt idx="1">
                  <c:v>0.53474222431278839</c:v>
                </c:pt>
                <c:pt idx="2">
                  <c:v>0.53780702739698227</c:v>
                </c:pt>
                <c:pt idx="3">
                  <c:v>0.5253567044764742</c:v>
                </c:pt>
                <c:pt idx="4">
                  <c:v>0.51665561040650421</c:v>
                </c:pt>
                <c:pt idx="5">
                  <c:v>0.52093376517334522</c:v>
                </c:pt>
                <c:pt idx="6">
                  <c:v>0.51902301761306591</c:v>
                </c:pt>
                <c:pt idx="7">
                  <c:v>0.52250007533201992</c:v>
                </c:pt>
                <c:pt idx="8">
                  <c:v>0.52729655595820202</c:v>
                </c:pt>
                <c:pt idx="9">
                  <c:v>0.51182579440044562</c:v>
                </c:pt>
                <c:pt idx="10">
                  <c:v>0.52126615635553686</c:v>
                </c:pt>
                <c:pt idx="11">
                  <c:v>0.51633261793395868</c:v>
                </c:pt>
                <c:pt idx="12">
                  <c:v>0.51244535826410453</c:v>
                </c:pt>
                <c:pt idx="13">
                  <c:v>0.52279872172655684</c:v>
                </c:pt>
                <c:pt idx="14">
                  <c:v>0.51318273654954638</c:v>
                </c:pt>
                <c:pt idx="15">
                  <c:v>0.51553427216444692</c:v>
                </c:pt>
                <c:pt idx="16">
                  <c:v>0.51744292787575152</c:v>
                </c:pt>
                <c:pt idx="17">
                  <c:v>0.51913671149886542</c:v>
                </c:pt>
                <c:pt idx="18">
                  <c:v>0.49167195354571713</c:v>
                </c:pt>
                <c:pt idx="19">
                  <c:v>0.50366954731732683</c:v>
                </c:pt>
                <c:pt idx="20">
                  <c:v>0.49808857456287026</c:v>
                </c:pt>
                <c:pt idx="21">
                  <c:v>0.48188591098030831</c:v>
                </c:pt>
                <c:pt idx="22">
                  <c:v>0.49104453164286288</c:v>
                </c:pt>
                <c:pt idx="23">
                  <c:v>0.46210719753611595</c:v>
                </c:pt>
                <c:pt idx="24">
                  <c:v>0.45177347019548397</c:v>
                </c:pt>
                <c:pt idx="25">
                  <c:v>0.45142965207440389</c:v>
                </c:pt>
                <c:pt idx="26">
                  <c:v>0.43859711998086881</c:v>
                </c:pt>
                <c:pt idx="27">
                  <c:v>0.43371568161610191</c:v>
                </c:pt>
                <c:pt idx="28">
                  <c:v>0.42648217947344541</c:v>
                </c:pt>
                <c:pt idx="29">
                  <c:v>0.42870866351353831</c:v>
                </c:pt>
                <c:pt idx="30">
                  <c:v>0.43130413170967713</c:v>
                </c:pt>
                <c:pt idx="31">
                  <c:v>0.43049011645027302</c:v>
                </c:pt>
                <c:pt idx="32">
                  <c:v>0.44261647864912318</c:v>
                </c:pt>
                <c:pt idx="33">
                  <c:v>0.43724932619843526</c:v>
                </c:pt>
                <c:pt idx="34">
                  <c:v>0.430422049674412</c:v>
                </c:pt>
                <c:pt idx="35">
                  <c:v>0.41048371650712984</c:v>
                </c:pt>
                <c:pt idx="36">
                  <c:v>0.39431145879444629</c:v>
                </c:pt>
                <c:pt idx="37">
                  <c:v>0.37403144530801069</c:v>
                </c:pt>
                <c:pt idx="38">
                  <c:v>0.35331565034083856</c:v>
                </c:pt>
                <c:pt idx="39">
                  <c:v>0.3320828136891012</c:v>
                </c:pt>
                <c:pt idx="40">
                  <c:v>0.30659649398126754</c:v>
                </c:pt>
                <c:pt idx="41">
                  <c:v>0.28927380083446952</c:v>
                </c:pt>
                <c:pt idx="42">
                  <c:v>0.30052854352291147</c:v>
                </c:pt>
                <c:pt idx="43">
                  <c:v>0.31222421441340975</c:v>
                </c:pt>
                <c:pt idx="44">
                  <c:v>0.32593478765273215</c:v>
                </c:pt>
                <c:pt idx="45">
                  <c:v>0.33483833988008421</c:v>
                </c:pt>
                <c:pt idx="46">
                  <c:v>0.3426390365982549</c:v>
                </c:pt>
                <c:pt idx="47">
                  <c:v>0.34793822225783388</c:v>
                </c:pt>
                <c:pt idx="48">
                  <c:v>0.35533372492473592</c:v>
                </c:pt>
                <c:pt idx="49">
                  <c:v>0.34095953123400558</c:v>
                </c:pt>
                <c:pt idx="50">
                  <c:v>0.33841223923748831</c:v>
                </c:pt>
                <c:pt idx="51">
                  <c:v>0.33396576409514989</c:v>
                </c:pt>
                <c:pt idx="52">
                  <c:v>0.31959476300724948</c:v>
                </c:pt>
                <c:pt idx="53">
                  <c:v>0.30125960052773371</c:v>
                </c:pt>
                <c:pt idx="54">
                  <c:v>0.28649037451815068</c:v>
                </c:pt>
                <c:pt idx="55">
                  <c:v>0.23749606868104439</c:v>
                </c:pt>
                <c:pt idx="56">
                  <c:v>0.20373535051094707</c:v>
                </c:pt>
                <c:pt idx="57">
                  <c:v>0.19096667459172989</c:v>
                </c:pt>
                <c:pt idx="58">
                  <c:v>0.16919487997924151</c:v>
                </c:pt>
                <c:pt idx="59">
                  <c:v>0.13887458116505261</c:v>
                </c:pt>
                <c:pt idx="60">
                  <c:v>0.11519098688656387</c:v>
                </c:pt>
                <c:pt idx="61">
                  <c:v>6.0657732913669542E-2</c:v>
                </c:pt>
                <c:pt idx="62">
                  <c:v>3.107929382913073E-2</c:v>
                </c:pt>
                <c:pt idx="63">
                  <c:v>3.107929382913073E-2</c:v>
                </c:pt>
                <c:pt idx="64">
                  <c:v>0.17428963057486019</c:v>
                </c:pt>
                <c:pt idx="65">
                  <c:v>0.15294509129796441</c:v>
                </c:pt>
                <c:pt idx="66">
                  <c:v>0.2387989003223111</c:v>
                </c:pt>
                <c:pt idx="67">
                  <c:v>0.27535305821294953</c:v>
                </c:pt>
                <c:pt idx="68">
                  <c:v>0.33731012889143636</c:v>
                </c:pt>
                <c:pt idx="69">
                  <c:v>0.29338861843887948</c:v>
                </c:pt>
                <c:pt idx="70">
                  <c:v>0.23805510500551338</c:v>
                </c:pt>
                <c:pt idx="71">
                  <c:v>0.10835839984925413</c:v>
                </c:pt>
                <c:pt idx="72">
                  <c:v>0.25576008621755392</c:v>
                </c:pt>
                <c:pt idx="73">
                  <c:v>0.4017008719357536</c:v>
                </c:pt>
                <c:pt idx="74">
                  <c:v>0.46800515972558399</c:v>
                </c:pt>
                <c:pt idx="75">
                  <c:v>0.55352180341002932</c:v>
                </c:pt>
                <c:pt idx="76">
                  <c:v>0.5563901977075687</c:v>
                </c:pt>
                <c:pt idx="77">
                  <c:v>0.56401696150753544</c:v>
                </c:pt>
                <c:pt idx="78">
                  <c:v>0.56541129057361639</c:v>
                </c:pt>
                <c:pt idx="79">
                  <c:v>0.55589393590042313</c:v>
                </c:pt>
                <c:pt idx="80">
                  <c:v>0.54650075311296908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'MSG&amp;Probability'!$AM$1</c:f>
              <c:strCache>
                <c:ptCount val="1"/>
                <c:pt idx="0">
                  <c:v>Rear&gt;15 Probability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'MSG&amp;Probability'!$AM$4:$AM$84</c:f>
              <c:numCache>
                <c:formatCode>0.0%</c:formatCode>
                <c:ptCount val="81"/>
                <c:pt idx="0">
                  <c:v>0.45054638273609676</c:v>
                </c:pt>
                <c:pt idx="1">
                  <c:v>0.46302626737751273</c:v>
                </c:pt>
                <c:pt idx="2">
                  <c:v>0.46762510635262589</c:v>
                </c:pt>
                <c:pt idx="3">
                  <c:v>0.44899425592667602</c:v>
                </c:pt>
                <c:pt idx="4">
                  <c:v>0.43606069689763244</c:v>
                </c:pt>
                <c:pt idx="5">
                  <c:v>0.44241035254384981</c:v>
                </c:pt>
                <c:pt idx="6">
                  <c:v>0.43957208549888482</c:v>
                </c:pt>
                <c:pt idx="7">
                  <c:v>0.44473972895215746</c:v>
                </c:pt>
                <c:pt idx="8">
                  <c:v>0.45188785132801201</c:v>
                </c:pt>
                <c:pt idx="9">
                  <c:v>0.42891546625726096</c:v>
                </c:pt>
                <c:pt idx="10">
                  <c:v>0.44290447120395798</c:v>
                </c:pt>
                <c:pt idx="11">
                  <c:v>0.43558208191379222</c:v>
                </c:pt>
                <c:pt idx="12">
                  <c:v>0.42983063348006822</c:v>
                </c:pt>
                <c:pt idx="13">
                  <c:v>0.44518414506984988</c:v>
                </c:pt>
                <c:pt idx="14">
                  <c:v>0.43092037542049855</c:v>
                </c:pt>
                <c:pt idx="15">
                  <c:v>0.43439955508791739</c:v>
                </c:pt>
                <c:pt idx="16">
                  <c:v>0.43722781497973606</c:v>
                </c:pt>
                <c:pt idx="17">
                  <c:v>0.4397408647310207</c:v>
                </c:pt>
                <c:pt idx="18">
                  <c:v>0.39939165366041351</c:v>
                </c:pt>
                <c:pt idx="19">
                  <c:v>0.4169082506566108</c:v>
                </c:pt>
                <c:pt idx="20">
                  <c:v>0.40873754768076265</c:v>
                </c:pt>
                <c:pt idx="21">
                  <c:v>0.38524341952817864</c:v>
                </c:pt>
                <c:pt idx="22">
                  <c:v>0.39848067017444011</c:v>
                </c:pt>
                <c:pt idx="23">
                  <c:v>0.35707193474580601</c:v>
                </c:pt>
                <c:pt idx="24">
                  <c:v>0.34259922060328452</c:v>
                </c:pt>
                <c:pt idx="25">
                  <c:v>0.34212077497075322</c:v>
                </c:pt>
                <c:pt idx="26">
                  <c:v>0.32441173043652738</c:v>
                </c:pt>
                <c:pt idx="27">
                  <c:v>0.31775355095923208</c:v>
                </c:pt>
                <c:pt idx="28">
                  <c:v>0.30796989139714587</c:v>
                </c:pt>
                <c:pt idx="29">
                  <c:v>0.31097063156361487</c:v>
                </c:pt>
                <c:pt idx="30">
                  <c:v>0.31448071250455578</c:v>
                </c:pt>
                <c:pt idx="31">
                  <c:v>0.31337846115082357</c:v>
                </c:pt>
                <c:pt idx="32">
                  <c:v>0.32992692115268296</c:v>
                </c:pt>
                <c:pt idx="33">
                  <c:v>0.32256895275989694</c:v>
                </c:pt>
                <c:pt idx="34">
                  <c:v>0.31328634974465813</c:v>
                </c:pt>
                <c:pt idx="35">
                  <c:v>0.2866976673243784</c:v>
                </c:pt>
                <c:pt idx="36">
                  <c:v>0.26573760178586942</c:v>
                </c:pt>
                <c:pt idx="37">
                  <c:v>0.24028105647953757</c:v>
                </c:pt>
                <c:pt idx="38">
                  <c:v>0.21529481315876214</c:v>
                </c:pt>
                <c:pt idx="39">
                  <c:v>0.1908249083460809</c:v>
                </c:pt>
                <c:pt idx="40">
                  <c:v>0.16307745935330076</c:v>
                </c:pt>
                <c:pt idx="41">
                  <c:v>0.14528591646044425</c:v>
                </c:pt>
                <c:pt idx="42">
                  <c:v>0.15674445296157336</c:v>
                </c:pt>
                <c:pt idx="43">
                  <c:v>0.16904647210297288</c:v>
                </c:pt>
                <c:pt idx="44">
                  <c:v>0.18396528132830073</c:v>
                </c:pt>
                <c:pt idx="45">
                  <c:v>0.19393282643763909</c:v>
                </c:pt>
                <c:pt idx="46">
                  <c:v>0.20284171697182479</c:v>
                </c:pt>
                <c:pt idx="47">
                  <c:v>0.20898558830947644</c:v>
                </c:pt>
                <c:pt idx="48">
                  <c:v>0.21768173916306874</c:v>
                </c:pt>
                <c:pt idx="49">
                  <c:v>0.20090992071823119</c:v>
                </c:pt>
                <c:pt idx="50">
                  <c:v>0.19799427570533137</c:v>
                </c:pt>
                <c:pt idx="51">
                  <c:v>0.19294643654219476</c:v>
                </c:pt>
                <c:pt idx="52">
                  <c:v>0.1770008562546462</c:v>
                </c:pt>
                <c:pt idx="53">
                  <c:v>0.1575017358779601</c:v>
                </c:pt>
                <c:pt idx="54">
                  <c:v>0.14251064650977524</c:v>
                </c:pt>
                <c:pt idx="55">
                  <c:v>9.7629582316354213E-2</c:v>
                </c:pt>
                <c:pt idx="56">
                  <c:v>7.1305610220495044E-2</c:v>
                </c:pt>
                <c:pt idx="57">
                  <c:v>6.237764729526251E-2</c:v>
                </c:pt>
                <c:pt idx="58">
                  <c:v>4.8494014495903542E-2</c:v>
                </c:pt>
                <c:pt idx="59">
                  <c:v>3.2035095617545556E-2</c:v>
                </c:pt>
                <c:pt idx="60">
                  <c:v>2.1553589284199651E-2</c:v>
                </c:pt>
                <c:pt idx="61">
                  <c:v>5.4245769915016355E-3</c:v>
                </c:pt>
                <c:pt idx="62">
                  <c:v>1.2582472852838724E-3</c:v>
                </c:pt>
                <c:pt idx="63">
                  <c:v>1.2582472852838724E-3</c:v>
                </c:pt>
                <c:pt idx="64">
                  <c:v>5.1589888809138361E-2</c:v>
                </c:pt>
                <c:pt idx="65">
                  <c:v>3.9252043426492807E-2</c:v>
                </c:pt>
                <c:pt idx="66">
                  <c:v>9.87226810754782E-2</c:v>
                </c:pt>
                <c:pt idx="67">
                  <c:v>0.13164253577531565</c:v>
                </c:pt>
                <c:pt idx="68">
                  <c:v>0.19673816041031519</c:v>
                </c:pt>
                <c:pt idx="69">
                  <c:v>0.14943143670673542</c:v>
                </c:pt>
                <c:pt idx="70">
                  <c:v>9.8097932925109599E-2</c:v>
                </c:pt>
                <c:pt idx="71">
                  <c:v>1.892085563637138E-2</c:v>
                </c:pt>
                <c:pt idx="72">
                  <c:v>0.11346296253319096</c:v>
                </c:pt>
                <c:pt idx="73">
                  <c:v>0.27524455518295693</c:v>
                </c:pt>
                <c:pt idx="74">
                  <c:v>0.36541005597197507</c:v>
                </c:pt>
                <c:pt idx="75">
                  <c:v>0.49131954422568785</c:v>
                </c:pt>
                <c:pt idx="76">
                  <c:v>0.49566282659551697</c:v>
                </c:pt>
                <c:pt idx="77">
                  <c:v>0.50723469801097054</c:v>
                </c:pt>
                <c:pt idx="78">
                  <c:v>0.50935367864004932</c:v>
                </c:pt>
                <c:pt idx="79">
                  <c:v>0.49491102918659718</c:v>
                </c:pt>
                <c:pt idx="80">
                  <c:v>0.48071114363327444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'MSG&amp;Probability'!$BL$1</c:f>
              <c:strCache>
                <c:ptCount val="1"/>
                <c:pt idx="0">
                  <c:v>Rear&gt;10 Probability</c:v>
                </c:pt>
              </c:strCache>
            </c:strRef>
          </c:tx>
          <c:spPr>
            <a:ln w="19050" cap="flat" cmpd="sng" algn="ctr">
              <a:solidFill>
                <a:srgbClr val="4F81BD"/>
              </a:solidFill>
              <a:prstDash val="sysDash"/>
              <a:miter lim="800000"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'MSG&amp;Probability'!$BL$2:$BL$84</c:f>
              <c:numCache>
                <c:formatCode>0.0%</c:formatCode>
                <c:ptCount val="83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'MSG&amp;Probability'!$BN$1</c:f>
              <c:strCache>
                <c:ptCount val="1"/>
                <c:pt idx="0">
                  <c:v>Rear&gt;15 Probability</c:v>
                </c:pt>
              </c:strCache>
            </c:strRef>
          </c:tx>
          <c:spPr>
            <a:ln w="19050" cap="flat" cmpd="sng" algn="ctr">
              <a:solidFill>
                <a:srgbClr val="F79646"/>
              </a:solidFill>
              <a:prstDash val="sysDash"/>
              <a:miter lim="800000"/>
            </a:ln>
            <a:effectLst/>
          </c:spPr>
          <c:marker>
            <c:symbol val="none"/>
          </c:marker>
          <c:xVal>
            <c:numRef>
              <c:f>'MSG&amp;Probability'!$O$4:$O$84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'MSG&amp;Probability'!$BN$2:$BN$84</c:f>
              <c:numCache>
                <c:formatCode>0.0%</c:formatCode>
                <c:ptCount val="83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40376"/>
        <c:axId val="214143120"/>
      </c:scatterChart>
      <c:valAx>
        <c:axId val="214140376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43120"/>
        <c:crosses val="autoZero"/>
        <c:crossBetween val="midCat"/>
      </c:valAx>
      <c:valAx>
        <c:axId val="21414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4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Max Stable Gain Device  Delhi80#D80_B1</a:t>
            </a:r>
          </a:p>
        </c:rich>
      </c:tx>
      <c:layout>
        <c:manualLayout>
          <c:xMode val="edge"/>
          <c:yMode val="edge"/>
          <c:x val="0.16787564485473799"/>
          <c:y val="6.756618228695989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88082901554404"/>
          <c:y val="0.17567567567567569"/>
          <c:w val="0.81554404145077719"/>
          <c:h val="0.70777027027027029"/>
        </c:manualLayout>
      </c:layout>
      <c:scatterChart>
        <c:scatterStyle val="lineMarker"/>
        <c:varyColors val="0"/>
        <c:ser>
          <c:idx val="5"/>
          <c:order val="0"/>
          <c:tx>
            <c:strRef>
              <c:f>'Data #1'!$W$5</c:f>
              <c:strCache>
                <c:ptCount val="1"/>
                <c:pt idx="0">
                  <c:v>MSG_Front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#1'!$V$6:$V$86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#1'!$W$6:$W$86</c:f>
              <c:numCache>
                <c:formatCode>General</c:formatCode>
                <c:ptCount val="81"/>
                <c:pt idx="0">
                  <c:v>104.77666666666669</c:v>
                </c:pt>
                <c:pt idx="1">
                  <c:v>107.74000000000001</c:v>
                </c:pt>
                <c:pt idx="2">
                  <c:v>111.61</c:v>
                </c:pt>
                <c:pt idx="3">
                  <c:v>115.62333333333333</c:v>
                </c:pt>
                <c:pt idx="4">
                  <c:v>106.98666666666668</c:v>
                </c:pt>
                <c:pt idx="5">
                  <c:v>107.58999999999999</c:v>
                </c:pt>
                <c:pt idx="6">
                  <c:v>108.06</c:v>
                </c:pt>
                <c:pt idx="7">
                  <c:v>104.56333333333333</c:v>
                </c:pt>
                <c:pt idx="8">
                  <c:v>114.72666666666665</c:v>
                </c:pt>
                <c:pt idx="9">
                  <c:v>114.64999999999999</c:v>
                </c:pt>
                <c:pt idx="10">
                  <c:v>106.66666666666667</c:v>
                </c:pt>
                <c:pt idx="11">
                  <c:v>107.14666666666669</c:v>
                </c:pt>
                <c:pt idx="12">
                  <c:v>110.95666666666666</c:v>
                </c:pt>
                <c:pt idx="13">
                  <c:v>107.99000000000001</c:v>
                </c:pt>
                <c:pt idx="14">
                  <c:v>113.24666666666667</c:v>
                </c:pt>
                <c:pt idx="15">
                  <c:v>108.22333333333331</c:v>
                </c:pt>
                <c:pt idx="16">
                  <c:v>104.02</c:v>
                </c:pt>
                <c:pt idx="17">
                  <c:v>109.48333333333333</c:v>
                </c:pt>
                <c:pt idx="18">
                  <c:v>105.00666666666666</c:v>
                </c:pt>
                <c:pt idx="19">
                  <c:v>106.58333333333333</c:v>
                </c:pt>
                <c:pt idx="20">
                  <c:v>99.88</c:v>
                </c:pt>
                <c:pt idx="21">
                  <c:v>104.32333333333334</c:v>
                </c:pt>
                <c:pt idx="22">
                  <c:v>101.24666666666667</c:v>
                </c:pt>
                <c:pt idx="23">
                  <c:v>100.95333333333333</c:v>
                </c:pt>
                <c:pt idx="24">
                  <c:v>101.70333333333333</c:v>
                </c:pt>
                <c:pt idx="25">
                  <c:v>100.17</c:v>
                </c:pt>
                <c:pt idx="26">
                  <c:v>101.88</c:v>
                </c:pt>
                <c:pt idx="27">
                  <c:v>101.24666666666667</c:v>
                </c:pt>
                <c:pt idx="28">
                  <c:v>101.17</c:v>
                </c:pt>
                <c:pt idx="29">
                  <c:v>100.37666666666667</c:v>
                </c:pt>
                <c:pt idx="30">
                  <c:v>101.44333333333333</c:v>
                </c:pt>
                <c:pt idx="31">
                  <c:v>102.73666666666668</c:v>
                </c:pt>
                <c:pt idx="32">
                  <c:v>103.92</c:v>
                </c:pt>
                <c:pt idx="33">
                  <c:v>105.41333333333334</c:v>
                </c:pt>
                <c:pt idx="34">
                  <c:v>103.81</c:v>
                </c:pt>
                <c:pt idx="35">
                  <c:v>103.69</c:v>
                </c:pt>
                <c:pt idx="36">
                  <c:v>102.93</c:v>
                </c:pt>
                <c:pt idx="37">
                  <c:v>103.68333333333334</c:v>
                </c:pt>
                <c:pt idx="38">
                  <c:v>106.29</c:v>
                </c:pt>
                <c:pt idx="39">
                  <c:v>108.92333333333335</c:v>
                </c:pt>
                <c:pt idx="40">
                  <c:v>109.36333333333334</c:v>
                </c:pt>
                <c:pt idx="41">
                  <c:v>108.21</c:v>
                </c:pt>
                <c:pt idx="42">
                  <c:v>108.56333333333333</c:v>
                </c:pt>
                <c:pt idx="43">
                  <c:v>111.00333333333333</c:v>
                </c:pt>
                <c:pt idx="44">
                  <c:v>108.52333333333331</c:v>
                </c:pt>
                <c:pt idx="45">
                  <c:v>107.33</c:v>
                </c:pt>
                <c:pt idx="46">
                  <c:v>110.47666666666665</c:v>
                </c:pt>
                <c:pt idx="47">
                  <c:v>109.76666666666667</c:v>
                </c:pt>
                <c:pt idx="48">
                  <c:v>109.06666666666666</c:v>
                </c:pt>
                <c:pt idx="49">
                  <c:v>105.79</c:v>
                </c:pt>
                <c:pt idx="50">
                  <c:v>102.97333333333331</c:v>
                </c:pt>
                <c:pt idx="51">
                  <c:v>102.09666666666668</c:v>
                </c:pt>
                <c:pt idx="52">
                  <c:v>100.32666666666667</c:v>
                </c:pt>
                <c:pt idx="53">
                  <c:v>99.75333333333333</c:v>
                </c:pt>
                <c:pt idx="54">
                  <c:v>98.839999999999989</c:v>
                </c:pt>
                <c:pt idx="55">
                  <c:v>97.913333333333341</c:v>
                </c:pt>
                <c:pt idx="56">
                  <c:v>96.34333333333332</c:v>
                </c:pt>
                <c:pt idx="57">
                  <c:v>94.856666666666641</c:v>
                </c:pt>
                <c:pt idx="58">
                  <c:v>92.196666666666673</c:v>
                </c:pt>
                <c:pt idx="59">
                  <c:v>88.456666666666663</c:v>
                </c:pt>
                <c:pt idx="60">
                  <c:v>85.473333333333315</c:v>
                </c:pt>
                <c:pt idx="61">
                  <c:v>82.406666666666666</c:v>
                </c:pt>
                <c:pt idx="62">
                  <c:v>80.633333333333326</c:v>
                </c:pt>
                <c:pt idx="63">
                  <c:v>80.563333333333333</c:v>
                </c:pt>
                <c:pt idx="64">
                  <c:v>81.053333333333342</c:v>
                </c:pt>
                <c:pt idx="65">
                  <c:v>78.693333333333328</c:v>
                </c:pt>
                <c:pt idx="66">
                  <c:v>79.556666666666658</c:v>
                </c:pt>
                <c:pt idx="67">
                  <c:v>79.676666666666662</c:v>
                </c:pt>
                <c:pt idx="68">
                  <c:v>79.646666666666661</c:v>
                </c:pt>
                <c:pt idx="69">
                  <c:v>80.75333333333333</c:v>
                </c:pt>
                <c:pt idx="70">
                  <c:v>81.656666666666666</c:v>
                </c:pt>
                <c:pt idx="71">
                  <c:v>81.016666666666652</c:v>
                </c:pt>
                <c:pt idx="72">
                  <c:v>81.23</c:v>
                </c:pt>
                <c:pt idx="73">
                  <c:v>79.089999999999989</c:v>
                </c:pt>
                <c:pt idx="74">
                  <c:v>73.339999999999989</c:v>
                </c:pt>
                <c:pt idx="75">
                  <c:v>63.54</c:v>
                </c:pt>
                <c:pt idx="76">
                  <c:v>70.523333333333326</c:v>
                </c:pt>
                <c:pt idx="77">
                  <c:v>75.75</c:v>
                </c:pt>
                <c:pt idx="78">
                  <c:v>64.973333333333329</c:v>
                </c:pt>
                <c:pt idx="79">
                  <c:v>54.330000000000005</c:v>
                </c:pt>
                <c:pt idx="80">
                  <c:v>75.913333333333341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'Data #1'!$AH$5</c:f>
              <c:strCache>
                <c:ptCount val="1"/>
                <c:pt idx="0">
                  <c:v>MSG_Rear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#1'!$V$6:$V$86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#1'!$AH$6:$AH$86</c:f>
              <c:numCache>
                <c:formatCode>General</c:formatCode>
                <c:ptCount val="81"/>
                <c:pt idx="0">
                  <c:v>108.36</c:v>
                </c:pt>
                <c:pt idx="1">
                  <c:v>114.27666666666669</c:v>
                </c:pt>
                <c:pt idx="2">
                  <c:v>114.05</c:v>
                </c:pt>
                <c:pt idx="3">
                  <c:v>108.81666666666666</c:v>
                </c:pt>
                <c:pt idx="4">
                  <c:v>107.65333333333332</c:v>
                </c:pt>
                <c:pt idx="5">
                  <c:v>107.54666666666667</c:v>
                </c:pt>
                <c:pt idx="6">
                  <c:v>111.28333333333335</c:v>
                </c:pt>
                <c:pt idx="7">
                  <c:v>113.94333333333334</c:v>
                </c:pt>
                <c:pt idx="8">
                  <c:v>113.11333333333333</c:v>
                </c:pt>
                <c:pt idx="9">
                  <c:v>109.06666666666666</c:v>
                </c:pt>
                <c:pt idx="10">
                  <c:v>117.25666666666666</c:v>
                </c:pt>
                <c:pt idx="11">
                  <c:v>113.62333333333333</c:v>
                </c:pt>
                <c:pt idx="12">
                  <c:v>115.21999999999998</c:v>
                </c:pt>
                <c:pt idx="13">
                  <c:v>117.88333333333333</c:v>
                </c:pt>
                <c:pt idx="14">
                  <c:v>112.25</c:v>
                </c:pt>
                <c:pt idx="15">
                  <c:v>114.79333333333334</c:v>
                </c:pt>
                <c:pt idx="16">
                  <c:v>114.04333333333334</c:v>
                </c:pt>
                <c:pt idx="17">
                  <c:v>114.23666666666666</c:v>
                </c:pt>
                <c:pt idx="18">
                  <c:v>109.21</c:v>
                </c:pt>
                <c:pt idx="19">
                  <c:v>115.25</c:v>
                </c:pt>
                <c:pt idx="20">
                  <c:v>106.08</c:v>
                </c:pt>
                <c:pt idx="21">
                  <c:v>103.85333333333334</c:v>
                </c:pt>
                <c:pt idx="22">
                  <c:v>105.85000000000001</c:v>
                </c:pt>
                <c:pt idx="23">
                  <c:v>99.67</c:v>
                </c:pt>
                <c:pt idx="24">
                  <c:v>98.146666666666661</c:v>
                </c:pt>
                <c:pt idx="25">
                  <c:v>99.423333333333332</c:v>
                </c:pt>
                <c:pt idx="26">
                  <c:v>96.279999999999987</c:v>
                </c:pt>
                <c:pt idx="27">
                  <c:v>95.643333333333331</c:v>
                </c:pt>
                <c:pt idx="28">
                  <c:v>94.566666666666649</c:v>
                </c:pt>
                <c:pt idx="29">
                  <c:v>94.976666666666674</c:v>
                </c:pt>
                <c:pt idx="30">
                  <c:v>95.67</c:v>
                </c:pt>
                <c:pt idx="31">
                  <c:v>96.673333333333332</c:v>
                </c:pt>
                <c:pt idx="32">
                  <c:v>97.52</c:v>
                </c:pt>
                <c:pt idx="33">
                  <c:v>97.190000000000012</c:v>
                </c:pt>
                <c:pt idx="34">
                  <c:v>96.516666666666666</c:v>
                </c:pt>
                <c:pt idx="35">
                  <c:v>94.353333333333339</c:v>
                </c:pt>
                <c:pt idx="36">
                  <c:v>93.839999999999989</c:v>
                </c:pt>
                <c:pt idx="37">
                  <c:v>93.916666666666671</c:v>
                </c:pt>
                <c:pt idx="38">
                  <c:v>93.806666666666686</c:v>
                </c:pt>
                <c:pt idx="39">
                  <c:v>93.270000000000024</c:v>
                </c:pt>
                <c:pt idx="40">
                  <c:v>92.453333333333333</c:v>
                </c:pt>
                <c:pt idx="41">
                  <c:v>92.096666666666678</c:v>
                </c:pt>
                <c:pt idx="42">
                  <c:v>92.71</c:v>
                </c:pt>
                <c:pt idx="43">
                  <c:v>92.756666666666661</c:v>
                </c:pt>
                <c:pt idx="44">
                  <c:v>93.233333333333334</c:v>
                </c:pt>
                <c:pt idx="45">
                  <c:v>93.766666666666666</c:v>
                </c:pt>
                <c:pt idx="46">
                  <c:v>94.036666666666676</c:v>
                </c:pt>
                <c:pt idx="47">
                  <c:v>93.286666666666676</c:v>
                </c:pt>
                <c:pt idx="48">
                  <c:v>93.373333333333335</c:v>
                </c:pt>
                <c:pt idx="49">
                  <c:v>93.410000000000011</c:v>
                </c:pt>
                <c:pt idx="50">
                  <c:v>93.533333333333346</c:v>
                </c:pt>
                <c:pt idx="51">
                  <c:v>94.27</c:v>
                </c:pt>
                <c:pt idx="52">
                  <c:v>95.65333333333335</c:v>
                </c:pt>
                <c:pt idx="53">
                  <c:v>98.589999999999989</c:v>
                </c:pt>
                <c:pt idx="54">
                  <c:v>98.143333333333317</c:v>
                </c:pt>
                <c:pt idx="55">
                  <c:v>94.366666666666674</c:v>
                </c:pt>
                <c:pt idx="56">
                  <c:v>89.403333333333322</c:v>
                </c:pt>
                <c:pt idx="57">
                  <c:v>86.313333333333333</c:v>
                </c:pt>
                <c:pt idx="58">
                  <c:v>84.39</c:v>
                </c:pt>
                <c:pt idx="59">
                  <c:v>82.220000000000013</c:v>
                </c:pt>
                <c:pt idx="60">
                  <c:v>81.13333333333334</c:v>
                </c:pt>
                <c:pt idx="61">
                  <c:v>79.87</c:v>
                </c:pt>
                <c:pt idx="62">
                  <c:v>79.646666666666661</c:v>
                </c:pt>
                <c:pt idx="63">
                  <c:v>81.256666666666661</c:v>
                </c:pt>
                <c:pt idx="64">
                  <c:v>82.23</c:v>
                </c:pt>
                <c:pt idx="65">
                  <c:v>82.823333333333338</c:v>
                </c:pt>
                <c:pt idx="66">
                  <c:v>87.033333333333317</c:v>
                </c:pt>
                <c:pt idx="67">
                  <c:v>93.613333333333344</c:v>
                </c:pt>
                <c:pt idx="68">
                  <c:v>89.043333333333337</c:v>
                </c:pt>
                <c:pt idx="69">
                  <c:v>82.493333333333325</c:v>
                </c:pt>
                <c:pt idx="70">
                  <c:v>79.326666666666668</c:v>
                </c:pt>
                <c:pt idx="71">
                  <c:v>78.293333333333337</c:v>
                </c:pt>
                <c:pt idx="72">
                  <c:v>77.233333333333334</c:v>
                </c:pt>
                <c:pt idx="73">
                  <c:v>82.596666666666678</c:v>
                </c:pt>
                <c:pt idx="74">
                  <c:v>85.99</c:v>
                </c:pt>
                <c:pt idx="75">
                  <c:v>64.376666666666665</c:v>
                </c:pt>
                <c:pt idx="76">
                  <c:v>67.399999999999991</c:v>
                </c:pt>
                <c:pt idx="77">
                  <c:v>55.153333333333329</c:v>
                </c:pt>
                <c:pt idx="78">
                  <c:v>51.390000000000008</c:v>
                </c:pt>
                <c:pt idx="79">
                  <c:v>59.686666666666667</c:v>
                </c:pt>
                <c:pt idx="80">
                  <c:v>63.743333333333332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'Data #1'!$AP$5</c:f>
              <c:strCache>
                <c:ptCount val="1"/>
                <c:pt idx="0">
                  <c:v>FOG_Average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#1'!$V$6:$V$86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#1'!$AP$6:$AP$86</c:f>
              <c:numCache>
                <c:formatCode>General</c:formatCode>
                <c:ptCount val="81"/>
                <c:pt idx="0">
                  <c:v>47.79</c:v>
                </c:pt>
                <c:pt idx="1">
                  <c:v>48.155000000000001</c:v>
                </c:pt>
                <c:pt idx="2">
                  <c:v>48.574999999999996</c:v>
                </c:pt>
                <c:pt idx="3">
                  <c:v>48.984999999999999</c:v>
                </c:pt>
                <c:pt idx="4">
                  <c:v>49.405000000000001</c:v>
                </c:pt>
                <c:pt idx="5">
                  <c:v>49.7</c:v>
                </c:pt>
                <c:pt idx="6">
                  <c:v>50.269999999999996</c:v>
                </c:pt>
                <c:pt idx="7">
                  <c:v>50.92</c:v>
                </c:pt>
                <c:pt idx="8">
                  <c:v>51.23</c:v>
                </c:pt>
                <c:pt idx="9">
                  <c:v>51.85</c:v>
                </c:pt>
                <c:pt idx="10">
                  <c:v>52.225000000000001</c:v>
                </c:pt>
                <c:pt idx="11">
                  <c:v>52.53</c:v>
                </c:pt>
                <c:pt idx="12">
                  <c:v>52.89</c:v>
                </c:pt>
                <c:pt idx="13">
                  <c:v>53.2</c:v>
                </c:pt>
                <c:pt idx="14">
                  <c:v>53.49</c:v>
                </c:pt>
                <c:pt idx="15">
                  <c:v>53.774999999999999</c:v>
                </c:pt>
                <c:pt idx="16">
                  <c:v>54.114999999999995</c:v>
                </c:pt>
                <c:pt idx="17">
                  <c:v>54.524999999999999</c:v>
                </c:pt>
                <c:pt idx="18">
                  <c:v>54.924999999999997</c:v>
                </c:pt>
                <c:pt idx="19">
                  <c:v>55.39</c:v>
                </c:pt>
                <c:pt idx="20">
                  <c:v>55.855000000000004</c:v>
                </c:pt>
                <c:pt idx="21">
                  <c:v>56.36</c:v>
                </c:pt>
                <c:pt idx="22">
                  <c:v>56.734999999999999</c:v>
                </c:pt>
                <c:pt idx="23">
                  <c:v>57.075000000000003</c:v>
                </c:pt>
                <c:pt idx="24">
                  <c:v>57.424999999999997</c:v>
                </c:pt>
                <c:pt idx="25">
                  <c:v>57.68</c:v>
                </c:pt>
                <c:pt idx="26">
                  <c:v>57.93</c:v>
                </c:pt>
                <c:pt idx="27">
                  <c:v>58.275000000000006</c:v>
                </c:pt>
                <c:pt idx="28">
                  <c:v>58.564999999999998</c:v>
                </c:pt>
                <c:pt idx="29">
                  <c:v>58.67</c:v>
                </c:pt>
                <c:pt idx="30">
                  <c:v>58.84</c:v>
                </c:pt>
                <c:pt idx="31">
                  <c:v>59.034999999999997</c:v>
                </c:pt>
                <c:pt idx="32">
                  <c:v>59.239999999999995</c:v>
                </c:pt>
                <c:pt idx="33">
                  <c:v>59.82</c:v>
                </c:pt>
                <c:pt idx="34">
                  <c:v>60.18</c:v>
                </c:pt>
                <c:pt idx="35">
                  <c:v>60.58</c:v>
                </c:pt>
                <c:pt idx="36">
                  <c:v>61.765000000000001</c:v>
                </c:pt>
                <c:pt idx="37">
                  <c:v>63.32</c:v>
                </c:pt>
                <c:pt idx="38">
                  <c:v>64.92</c:v>
                </c:pt>
                <c:pt idx="39">
                  <c:v>66.400000000000006</c:v>
                </c:pt>
                <c:pt idx="40">
                  <c:v>67.17</c:v>
                </c:pt>
                <c:pt idx="41">
                  <c:v>67.400000000000006</c:v>
                </c:pt>
                <c:pt idx="42">
                  <c:v>67.055000000000007</c:v>
                </c:pt>
                <c:pt idx="43">
                  <c:v>66.349999999999994</c:v>
                </c:pt>
                <c:pt idx="44">
                  <c:v>66.004999999999995</c:v>
                </c:pt>
                <c:pt idx="45">
                  <c:v>65.92</c:v>
                </c:pt>
                <c:pt idx="46">
                  <c:v>65.39</c:v>
                </c:pt>
                <c:pt idx="47">
                  <c:v>64.7</c:v>
                </c:pt>
                <c:pt idx="48">
                  <c:v>64.524999999999991</c:v>
                </c:pt>
                <c:pt idx="49">
                  <c:v>64.60499999999999</c:v>
                </c:pt>
                <c:pt idx="50">
                  <c:v>65.045000000000002</c:v>
                </c:pt>
                <c:pt idx="51">
                  <c:v>66.400000000000006</c:v>
                </c:pt>
                <c:pt idx="52">
                  <c:v>68.305000000000007</c:v>
                </c:pt>
                <c:pt idx="53">
                  <c:v>71.694999999999993</c:v>
                </c:pt>
                <c:pt idx="54">
                  <c:v>74.8</c:v>
                </c:pt>
                <c:pt idx="55">
                  <c:v>74.7</c:v>
                </c:pt>
                <c:pt idx="56">
                  <c:v>71.774999999999991</c:v>
                </c:pt>
                <c:pt idx="57">
                  <c:v>69.489999999999995</c:v>
                </c:pt>
                <c:pt idx="58">
                  <c:v>67.955000000000013</c:v>
                </c:pt>
                <c:pt idx="59">
                  <c:v>66.83</c:v>
                </c:pt>
                <c:pt idx="60">
                  <c:v>66.58</c:v>
                </c:pt>
                <c:pt idx="61">
                  <c:v>67.569999999999993</c:v>
                </c:pt>
                <c:pt idx="62">
                  <c:v>70.009999999999991</c:v>
                </c:pt>
                <c:pt idx="63">
                  <c:v>70.259999999999991</c:v>
                </c:pt>
                <c:pt idx="64">
                  <c:v>65.655000000000001</c:v>
                </c:pt>
                <c:pt idx="65">
                  <c:v>63.919999999999995</c:v>
                </c:pt>
                <c:pt idx="66">
                  <c:v>65.364999999999995</c:v>
                </c:pt>
                <c:pt idx="67">
                  <c:v>67.425000000000011</c:v>
                </c:pt>
                <c:pt idx="68">
                  <c:v>62.765000000000001</c:v>
                </c:pt>
                <c:pt idx="69">
                  <c:v>59.094999999999999</c:v>
                </c:pt>
                <c:pt idx="70">
                  <c:v>59.2</c:v>
                </c:pt>
                <c:pt idx="71">
                  <c:v>64.474999999999994</c:v>
                </c:pt>
                <c:pt idx="72">
                  <c:v>56.71</c:v>
                </c:pt>
                <c:pt idx="73">
                  <c:v>50.325000000000003</c:v>
                </c:pt>
                <c:pt idx="74">
                  <c:v>43.274999999999999</c:v>
                </c:pt>
                <c:pt idx="75">
                  <c:v>-13.045000000000002</c:v>
                </c:pt>
                <c:pt idx="76">
                  <c:v>-13.815</c:v>
                </c:pt>
                <c:pt idx="77">
                  <c:v>-23.474999999999998</c:v>
                </c:pt>
                <c:pt idx="78">
                  <c:v>-26.365000000000002</c:v>
                </c:pt>
                <c:pt idx="79">
                  <c:v>-23.594999999999999</c:v>
                </c:pt>
                <c:pt idx="80">
                  <c:v>-14.810000000000002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'Data #1'!$AQ$5</c:f>
              <c:strCache>
                <c:ptCount val="1"/>
                <c:pt idx="0">
                  <c:v>FOG_Stability limits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0"/>
            <c:minus>
              <c:numRef>
                <c:f>'Data #1'!$AO$6:$AO$86</c:f>
                <c:numCache>
                  <c:formatCode>General</c:formatCode>
                  <c:ptCount val="81"/>
                  <c:pt idx="1">
                    <c:v>10</c:v>
                  </c:pt>
                  <c:pt idx="4">
                    <c:v>10</c:v>
                  </c:pt>
                  <c:pt idx="7">
                    <c:v>10</c:v>
                  </c:pt>
                  <c:pt idx="10">
                    <c:v>10</c:v>
                  </c:pt>
                  <c:pt idx="13">
                    <c:v>10</c:v>
                  </c:pt>
                  <c:pt idx="16">
                    <c:v>10</c:v>
                  </c:pt>
                  <c:pt idx="19">
                    <c:v>10</c:v>
                  </c:pt>
                  <c:pt idx="22">
                    <c:v>10</c:v>
                  </c:pt>
                  <c:pt idx="25">
                    <c:v>10</c:v>
                  </c:pt>
                  <c:pt idx="28">
                    <c:v>10</c:v>
                  </c:pt>
                  <c:pt idx="31">
                    <c:v>10</c:v>
                  </c:pt>
                  <c:pt idx="34">
                    <c:v>10</c:v>
                  </c:pt>
                  <c:pt idx="37">
                    <c:v>10</c:v>
                  </c:pt>
                  <c:pt idx="40">
                    <c:v>10</c:v>
                  </c:pt>
                  <c:pt idx="43">
                    <c:v>10</c:v>
                  </c:pt>
                  <c:pt idx="46">
                    <c:v>10</c:v>
                  </c:pt>
                  <c:pt idx="49">
                    <c:v>10</c:v>
                  </c:pt>
                  <c:pt idx="52">
                    <c:v>10</c:v>
                  </c:pt>
                  <c:pt idx="55">
                    <c:v>10</c:v>
                  </c:pt>
                  <c:pt idx="58">
                    <c:v>10</c:v>
                  </c:pt>
                  <c:pt idx="61">
                    <c:v>10</c:v>
                  </c:pt>
                  <c:pt idx="64">
                    <c:v>10</c:v>
                  </c:pt>
                  <c:pt idx="67">
                    <c:v>10</c:v>
                  </c:pt>
                  <c:pt idx="70">
                    <c:v>10</c:v>
                  </c:pt>
                  <c:pt idx="73">
                    <c:v>10</c:v>
                  </c:pt>
                  <c:pt idx="76">
                    <c:v>10</c:v>
                  </c:pt>
                  <c:pt idx="79">
                    <c:v>10</c:v>
                  </c:pt>
                </c:numCache>
              </c:numRef>
            </c:minus>
            <c:spPr>
              <a:ln w="3175">
                <a:solidFill>
                  <a:srgbClr val="3366FF"/>
                </a:solidFill>
                <a:prstDash val="sysDash"/>
              </a:ln>
            </c:spPr>
          </c:errBars>
          <c:xVal>
            <c:numRef>
              <c:f>'Data #1'!$V$6:$V$86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#1'!$AQ$6:$AQ$86</c:f>
              <c:numCache>
                <c:formatCode>General</c:formatCode>
                <c:ptCount val="81"/>
                <c:pt idx="0">
                  <c:v>57.79</c:v>
                </c:pt>
                <c:pt idx="1">
                  <c:v>58.155000000000001</c:v>
                </c:pt>
                <c:pt idx="2">
                  <c:v>58.574999999999996</c:v>
                </c:pt>
                <c:pt idx="3">
                  <c:v>58.984999999999999</c:v>
                </c:pt>
                <c:pt idx="4">
                  <c:v>59.405000000000001</c:v>
                </c:pt>
                <c:pt idx="5">
                  <c:v>59.7</c:v>
                </c:pt>
                <c:pt idx="6">
                  <c:v>60.269999999999996</c:v>
                </c:pt>
                <c:pt idx="7">
                  <c:v>60.92</c:v>
                </c:pt>
                <c:pt idx="8">
                  <c:v>61.23</c:v>
                </c:pt>
                <c:pt idx="9">
                  <c:v>61.85</c:v>
                </c:pt>
                <c:pt idx="10">
                  <c:v>62.225000000000001</c:v>
                </c:pt>
                <c:pt idx="11">
                  <c:v>62.53</c:v>
                </c:pt>
                <c:pt idx="12">
                  <c:v>62.89</c:v>
                </c:pt>
                <c:pt idx="13">
                  <c:v>63.2</c:v>
                </c:pt>
                <c:pt idx="14">
                  <c:v>63.49</c:v>
                </c:pt>
                <c:pt idx="15">
                  <c:v>63.774999999999999</c:v>
                </c:pt>
                <c:pt idx="16">
                  <c:v>64.114999999999995</c:v>
                </c:pt>
                <c:pt idx="17">
                  <c:v>64.525000000000006</c:v>
                </c:pt>
                <c:pt idx="18">
                  <c:v>64.924999999999997</c:v>
                </c:pt>
                <c:pt idx="19">
                  <c:v>65.39</c:v>
                </c:pt>
                <c:pt idx="20">
                  <c:v>65.855000000000004</c:v>
                </c:pt>
                <c:pt idx="21">
                  <c:v>66.36</c:v>
                </c:pt>
                <c:pt idx="22">
                  <c:v>66.734999999999999</c:v>
                </c:pt>
                <c:pt idx="23">
                  <c:v>67.075000000000003</c:v>
                </c:pt>
                <c:pt idx="24">
                  <c:v>67.424999999999997</c:v>
                </c:pt>
                <c:pt idx="25">
                  <c:v>67.680000000000007</c:v>
                </c:pt>
                <c:pt idx="26">
                  <c:v>67.930000000000007</c:v>
                </c:pt>
                <c:pt idx="27">
                  <c:v>68.275000000000006</c:v>
                </c:pt>
                <c:pt idx="28">
                  <c:v>68.564999999999998</c:v>
                </c:pt>
                <c:pt idx="29">
                  <c:v>68.67</c:v>
                </c:pt>
                <c:pt idx="30">
                  <c:v>68.84</c:v>
                </c:pt>
                <c:pt idx="31">
                  <c:v>69.034999999999997</c:v>
                </c:pt>
                <c:pt idx="32">
                  <c:v>69.239999999999995</c:v>
                </c:pt>
                <c:pt idx="33">
                  <c:v>69.819999999999993</c:v>
                </c:pt>
                <c:pt idx="34">
                  <c:v>70.180000000000007</c:v>
                </c:pt>
                <c:pt idx="35">
                  <c:v>70.58</c:v>
                </c:pt>
                <c:pt idx="36">
                  <c:v>71.765000000000001</c:v>
                </c:pt>
                <c:pt idx="37">
                  <c:v>73.319999999999993</c:v>
                </c:pt>
                <c:pt idx="38">
                  <c:v>74.92</c:v>
                </c:pt>
                <c:pt idx="39">
                  <c:v>76.400000000000006</c:v>
                </c:pt>
                <c:pt idx="40">
                  <c:v>77.17</c:v>
                </c:pt>
                <c:pt idx="41">
                  <c:v>77.400000000000006</c:v>
                </c:pt>
                <c:pt idx="42">
                  <c:v>77.055000000000007</c:v>
                </c:pt>
                <c:pt idx="43">
                  <c:v>76.349999999999994</c:v>
                </c:pt>
                <c:pt idx="44">
                  <c:v>76.004999999999995</c:v>
                </c:pt>
                <c:pt idx="45">
                  <c:v>75.92</c:v>
                </c:pt>
                <c:pt idx="46">
                  <c:v>75.39</c:v>
                </c:pt>
                <c:pt idx="47">
                  <c:v>74.7</c:v>
                </c:pt>
                <c:pt idx="48">
                  <c:v>74.524999999999991</c:v>
                </c:pt>
                <c:pt idx="49">
                  <c:v>74.60499999999999</c:v>
                </c:pt>
                <c:pt idx="50">
                  <c:v>75.045000000000002</c:v>
                </c:pt>
                <c:pt idx="51">
                  <c:v>76.400000000000006</c:v>
                </c:pt>
                <c:pt idx="52">
                  <c:v>78.305000000000007</c:v>
                </c:pt>
                <c:pt idx="53">
                  <c:v>81.694999999999993</c:v>
                </c:pt>
                <c:pt idx="54">
                  <c:v>84.8</c:v>
                </c:pt>
                <c:pt idx="55">
                  <c:v>84.7</c:v>
                </c:pt>
                <c:pt idx="56">
                  <c:v>81.774999999999991</c:v>
                </c:pt>
                <c:pt idx="57">
                  <c:v>79.489999999999995</c:v>
                </c:pt>
                <c:pt idx="58">
                  <c:v>77.955000000000013</c:v>
                </c:pt>
                <c:pt idx="59">
                  <c:v>76.83</c:v>
                </c:pt>
                <c:pt idx="60">
                  <c:v>76.58</c:v>
                </c:pt>
                <c:pt idx="61">
                  <c:v>77.569999999999993</c:v>
                </c:pt>
                <c:pt idx="62">
                  <c:v>80.009999999999991</c:v>
                </c:pt>
                <c:pt idx="63">
                  <c:v>80.259999999999991</c:v>
                </c:pt>
                <c:pt idx="64">
                  <c:v>75.655000000000001</c:v>
                </c:pt>
                <c:pt idx="65">
                  <c:v>73.919999999999987</c:v>
                </c:pt>
                <c:pt idx="66">
                  <c:v>75.364999999999995</c:v>
                </c:pt>
                <c:pt idx="67">
                  <c:v>77.425000000000011</c:v>
                </c:pt>
                <c:pt idx="68">
                  <c:v>72.765000000000001</c:v>
                </c:pt>
                <c:pt idx="69">
                  <c:v>69.094999999999999</c:v>
                </c:pt>
                <c:pt idx="70">
                  <c:v>69.2</c:v>
                </c:pt>
                <c:pt idx="71">
                  <c:v>74.474999999999994</c:v>
                </c:pt>
                <c:pt idx="72">
                  <c:v>66.710000000000008</c:v>
                </c:pt>
                <c:pt idx="73">
                  <c:v>60.325000000000003</c:v>
                </c:pt>
                <c:pt idx="74">
                  <c:v>53.274999999999999</c:v>
                </c:pt>
                <c:pt idx="75">
                  <c:v>-3.0450000000000017</c:v>
                </c:pt>
                <c:pt idx="76">
                  <c:v>-3.8149999999999995</c:v>
                </c:pt>
                <c:pt idx="77">
                  <c:v>-13.474999999999998</c:v>
                </c:pt>
                <c:pt idx="78">
                  <c:v>-16.365000000000002</c:v>
                </c:pt>
                <c:pt idx="79">
                  <c:v>-13.594999999999999</c:v>
                </c:pt>
                <c:pt idx="80">
                  <c:v>-4.8100000000000023</c:v>
                </c:pt>
              </c:numCache>
            </c:numRef>
          </c:yVal>
          <c:smooth val="0"/>
        </c:ser>
        <c:ser>
          <c:idx val="1"/>
          <c:order val="4"/>
          <c:tx>
            <c:strRef>
              <c:f>'Data #1'!$M$5</c:f>
              <c:strCache>
                <c:ptCount val="1"/>
                <c:pt idx="0">
                  <c:v>FOG50_Front</c:v>
                </c:pt>
              </c:strCache>
            </c:strRef>
          </c:tx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#1'!$M$6:$M$86</c:f>
              <c:numCache>
                <c:formatCode>General</c:formatCode>
                <c:ptCount val="81"/>
                <c:pt idx="0">
                  <c:v>-15.99</c:v>
                </c:pt>
                <c:pt idx="1">
                  <c:v>-15.29</c:v>
                </c:pt>
                <c:pt idx="2">
                  <c:v>-14.56</c:v>
                </c:pt>
                <c:pt idx="3">
                  <c:v>-14.3</c:v>
                </c:pt>
                <c:pt idx="4">
                  <c:v>-14.13</c:v>
                </c:pt>
                <c:pt idx="5">
                  <c:v>-13.2</c:v>
                </c:pt>
                <c:pt idx="6">
                  <c:v>-13.37</c:v>
                </c:pt>
                <c:pt idx="7">
                  <c:v>-12.63</c:v>
                </c:pt>
                <c:pt idx="8">
                  <c:v>-12.26</c:v>
                </c:pt>
                <c:pt idx="9">
                  <c:v>-12.15</c:v>
                </c:pt>
                <c:pt idx="10">
                  <c:v>-11.83</c:v>
                </c:pt>
                <c:pt idx="11">
                  <c:v>-11.25</c:v>
                </c:pt>
                <c:pt idx="12">
                  <c:v>-10.34</c:v>
                </c:pt>
                <c:pt idx="13">
                  <c:v>-9.16</c:v>
                </c:pt>
                <c:pt idx="14">
                  <c:v>-9.17</c:v>
                </c:pt>
                <c:pt idx="15">
                  <c:v>-8.44</c:v>
                </c:pt>
                <c:pt idx="16">
                  <c:v>-7.93</c:v>
                </c:pt>
                <c:pt idx="17">
                  <c:v>-7.38</c:v>
                </c:pt>
                <c:pt idx="18">
                  <c:v>-7.14</c:v>
                </c:pt>
                <c:pt idx="19">
                  <c:v>-6.49</c:v>
                </c:pt>
                <c:pt idx="20">
                  <c:v>-6.35</c:v>
                </c:pt>
                <c:pt idx="21">
                  <c:v>-5.64</c:v>
                </c:pt>
                <c:pt idx="22">
                  <c:v>-5.14</c:v>
                </c:pt>
                <c:pt idx="23">
                  <c:v>-4.92</c:v>
                </c:pt>
                <c:pt idx="24">
                  <c:v>-4.34</c:v>
                </c:pt>
                <c:pt idx="25">
                  <c:v>-4.42</c:v>
                </c:pt>
                <c:pt idx="26">
                  <c:v>-4.18</c:v>
                </c:pt>
                <c:pt idx="27">
                  <c:v>-3.82</c:v>
                </c:pt>
                <c:pt idx="28">
                  <c:v>-3.82</c:v>
                </c:pt>
                <c:pt idx="29">
                  <c:v>-3.73</c:v>
                </c:pt>
                <c:pt idx="30">
                  <c:v>-3.65</c:v>
                </c:pt>
                <c:pt idx="31">
                  <c:v>-3.55</c:v>
                </c:pt>
                <c:pt idx="32">
                  <c:v>-3.71</c:v>
                </c:pt>
                <c:pt idx="33">
                  <c:v>-3.14</c:v>
                </c:pt>
                <c:pt idx="34">
                  <c:v>-2.89</c:v>
                </c:pt>
                <c:pt idx="35">
                  <c:v>-3.17</c:v>
                </c:pt>
                <c:pt idx="36">
                  <c:v>-1.71</c:v>
                </c:pt>
                <c:pt idx="37">
                  <c:v>-0.62</c:v>
                </c:pt>
                <c:pt idx="38">
                  <c:v>0.49</c:v>
                </c:pt>
                <c:pt idx="39">
                  <c:v>2.2400000000000002</c:v>
                </c:pt>
                <c:pt idx="40">
                  <c:v>2.33</c:v>
                </c:pt>
                <c:pt idx="41">
                  <c:v>1.78</c:v>
                </c:pt>
                <c:pt idx="42">
                  <c:v>2.0299999999999998</c:v>
                </c:pt>
                <c:pt idx="43">
                  <c:v>0.39</c:v>
                </c:pt>
                <c:pt idx="44">
                  <c:v>1.2</c:v>
                </c:pt>
                <c:pt idx="45">
                  <c:v>0.54</c:v>
                </c:pt>
                <c:pt idx="46">
                  <c:v>1.02</c:v>
                </c:pt>
                <c:pt idx="47">
                  <c:v>1.06</c:v>
                </c:pt>
                <c:pt idx="48">
                  <c:v>1.89</c:v>
                </c:pt>
                <c:pt idx="49">
                  <c:v>1.61</c:v>
                </c:pt>
                <c:pt idx="50">
                  <c:v>2.81</c:v>
                </c:pt>
                <c:pt idx="51">
                  <c:v>4.82</c:v>
                </c:pt>
                <c:pt idx="52">
                  <c:v>7.36</c:v>
                </c:pt>
                <c:pt idx="53">
                  <c:v>11.37</c:v>
                </c:pt>
                <c:pt idx="54">
                  <c:v>15.09</c:v>
                </c:pt>
                <c:pt idx="55">
                  <c:v>15.71</c:v>
                </c:pt>
                <c:pt idx="56">
                  <c:v>13.57</c:v>
                </c:pt>
                <c:pt idx="57">
                  <c:v>11.72</c:v>
                </c:pt>
                <c:pt idx="58">
                  <c:v>10.32</c:v>
                </c:pt>
                <c:pt idx="59">
                  <c:v>9.91</c:v>
                </c:pt>
                <c:pt idx="60">
                  <c:v>10.33</c:v>
                </c:pt>
                <c:pt idx="61">
                  <c:v>11.97</c:v>
                </c:pt>
                <c:pt idx="62">
                  <c:v>15.32</c:v>
                </c:pt>
                <c:pt idx="63">
                  <c:v>16.350000000000001</c:v>
                </c:pt>
                <c:pt idx="64">
                  <c:v>12.43</c:v>
                </c:pt>
                <c:pt idx="65">
                  <c:v>10.82</c:v>
                </c:pt>
                <c:pt idx="66">
                  <c:v>12.76</c:v>
                </c:pt>
                <c:pt idx="67">
                  <c:v>14.97</c:v>
                </c:pt>
                <c:pt idx="68">
                  <c:v>10.61</c:v>
                </c:pt>
                <c:pt idx="69">
                  <c:v>6.66</c:v>
                </c:pt>
                <c:pt idx="70">
                  <c:v>6.84</c:v>
                </c:pt>
                <c:pt idx="71">
                  <c:v>11.87</c:v>
                </c:pt>
                <c:pt idx="72">
                  <c:v>3.96</c:v>
                </c:pt>
                <c:pt idx="73">
                  <c:v>-3.37</c:v>
                </c:pt>
                <c:pt idx="74">
                  <c:v>-10.039999999999999</c:v>
                </c:pt>
                <c:pt idx="75">
                  <c:v>-36.159999999999997</c:v>
                </c:pt>
                <c:pt idx="76">
                  <c:v>-38.42</c:v>
                </c:pt>
                <c:pt idx="77">
                  <c:v>-33.22</c:v>
                </c:pt>
                <c:pt idx="78">
                  <c:v>-37.61</c:v>
                </c:pt>
                <c:pt idx="79">
                  <c:v>-33.29</c:v>
                </c:pt>
                <c:pt idx="80">
                  <c:v>-44.6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'Data #1'!$N$5</c:f>
              <c:strCache>
                <c:ptCount val="1"/>
                <c:pt idx="0">
                  <c:v>FOG50_Rear</c:v>
                </c:pt>
              </c:strCache>
            </c:strRef>
          </c:tx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#1'!$N$6:$N$86</c:f>
              <c:numCache>
                <c:formatCode>General</c:formatCode>
                <c:ptCount val="81"/>
                <c:pt idx="0">
                  <c:v>-16.84</c:v>
                </c:pt>
                <c:pt idx="1">
                  <c:v>-15.14</c:v>
                </c:pt>
                <c:pt idx="2">
                  <c:v>-14.13</c:v>
                </c:pt>
                <c:pt idx="3">
                  <c:v>-14.37</c:v>
                </c:pt>
                <c:pt idx="4">
                  <c:v>-13.79</c:v>
                </c:pt>
                <c:pt idx="5">
                  <c:v>-13.54</c:v>
                </c:pt>
                <c:pt idx="6">
                  <c:v>-13.27</c:v>
                </c:pt>
                <c:pt idx="7">
                  <c:v>-12.42</c:v>
                </c:pt>
                <c:pt idx="8">
                  <c:v>-12.04</c:v>
                </c:pt>
                <c:pt idx="9">
                  <c:v>-11.47</c:v>
                </c:pt>
                <c:pt idx="10">
                  <c:v>-11.11</c:v>
                </c:pt>
                <c:pt idx="11">
                  <c:v>-10.78</c:v>
                </c:pt>
                <c:pt idx="12">
                  <c:v>-9.9</c:v>
                </c:pt>
                <c:pt idx="13">
                  <c:v>-9.39</c:v>
                </c:pt>
                <c:pt idx="14">
                  <c:v>-9.06</c:v>
                </c:pt>
                <c:pt idx="15">
                  <c:v>-8.3000000000000007</c:v>
                </c:pt>
                <c:pt idx="16">
                  <c:v>-8.31</c:v>
                </c:pt>
                <c:pt idx="17">
                  <c:v>-7.69</c:v>
                </c:pt>
                <c:pt idx="18">
                  <c:v>-7.33</c:v>
                </c:pt>
                <c:pt idx="19">
                  <c:v>-6.91</c:v>
                </c:pt>
                <c:pt idx="20">
                  <c:v>-6.45</c:v>
                </c:pt>
                <c:pt idx="21">
                  <c:v>-6.34</c:v>
                </c:pt>
                <c:pt idx="22">
                  <c:v>-5.88</c:v>
                </c:pt>
                <c:pt idx="23">
                  <c:v>-5.16</c:v>
                </c:pt>
                <c:pt idx="24">
                  <c:v>-5.57</c:v>
                </c:pt>
                <c:pt idx="25">
                  <c:v>-5.19</c:v>
                </c:pt>
                <c:pt idx="26">
                  <c:v>-4.7699999999999996</c:v>
                </c:pt>
                <c:pt idx="27">
                  <c:v>-4.59</c:v>
                </c:pt>
                <c:pt idx="28">
                  <c:v>-4.5</c:v>
                </c:pt>
                <c:pt idx="29">
                  <c:v>-4.7699999999999996</c:v>
                </c:pt>
                <c:pt idx="30">
                  <c:v>-4.18</c:v>
                </c:pt>
                <c:pt idx="31">
                  <c:v>-4.59</c:v>
                </c:pt>
                <c:pt idx="32">
                  <c:v>-4.53</c:v>
                </c:pt>
                <c:pt idx="33">
                  <c:v>-4.03</c:v>
                </c:pt>
                <c:pt idx="34">
                  <c:v>-4.33</c:v>
                </c:pt>
                <c:pt idx="35">
                  <c:v>-3.89</c:v>
                </c:pt>
                <c:pt idx="36">
                  <c:v>-3.22</c:v>
                </c:pt>
                <c:pt idx="37">
                  <c:v>-1.87</c:v>
                </c:pt>
                <c:pt idx="38">
                  <c:v>-0.09</c:v>
                </c:pt>
                <c:pt idx="39">
                  <c:v>0.64</c:v>
                </c:pt>
                <c:pt idx="40">
                  <c:v>2.2000000000000002</c:v>
                </c:pt>
                <c:pt idx="41">
                  <c:v>1.75</c:v>
                </c:pt>
                <c:pt idx="42">
                  <c:v>0.37</c:v>
                </c:pt>
                <c:pt idx="43">
                  <c:v>-0.25</c:v>
                </c:pt>
                <c:pt idx="44">
                  <c:v>-0.56999999999999995</c:v>
                </c:pt>
                <c:pt idx="45">
                  <c:v>-0.82</c:v>
                </c:pt>
                <c:pt idx="46">
                  <c:v>-0.76</c:v>
                </c:pt>
                <c:pt idx="47">
                  <c:v>-0.26</c:v>
                </c:pt>
                <c:pt idx="48">
                  <c:v>-0.41</c:v>
                </c:pt>
                <c:pt idx="49">
                  <c:v>0.19</c:v>
                </c:pt>
                <c:pt idx="50">
                  <c:v>1.21</c:v>
                </c:pt>
                <c:pt idx="51">
                  <c:v>2.73</c:v>
                </c:pt>
                <c:pt idx="52">
                  <c:v>5.7</c:v>
                </c:pt>
                <c:pt idx="53">
                  <c:v>9.49</c:v>
                </c:pt>
                <c:pt idx="54">
                  <c:v>13.2</c:v>
                </c:pt>
                <c:pt idx="55">
                  <c:v>13.38</c:v>
                </c:pt>
                <c:pt idx="56">
                  <c:v>11.42</c:v>
                </c:pt>
                <c:pt idx="57">
                  <c:v>9.48</c:v>
                </c:pt>
                <c:pt idx="58">
                  <c:v>8.51</c:v>
                </c:pt>
                <c:pt idx="59">
                  <c:v>7.97</c:v>
                </c:pt>
                <c:pt idx="60">
                  <c:v>8.43</c:v>
                </c:pt>
                <c:pt idx="61">
                  <c:v>10.06</c:v>
                </c:pt>
                <c:pt idx="62">
                  <c:v>12.92</c:v>
                </c:pt>
                <c:pt idx="63">
                  <c:v>14.01</c:v>
                </c:pt>
                <c:pt idx="64">
                  <c:v>10.35</c:v>
                </c:pt>
                <c:pt idx="65">
                  <c:v>9.48</c:v>
                </c:pt>
                <c:pt idx="66">
                  <c:v>11.58</c:v>
                </c:pt>
                <c:pt idx="67">
                  <c:v>14.41</c:v>
                </c:pt>
                <c:pt idx="68">
                  <c:v>10.119999999999999</c:v>
                </c:pt>
                <c:pt idx="69">
                  <c:v>6.69</c:v>
                </c:pt>
                <c:pt idx="70">
                  <c:v>6.95</c:v>
                </c:pt>
                <c:pt idx="71">
                  <c:v>11.81</c:v>
                </c:pt>
                <c:pt idx="72">
                  <c:v>3.54</c:v>
                </c:pt>
                <c:pt idx="73">
                  <c:v>-3.8</c:v>
                </c:pt>
                <c:pt idx="74">
                  <c:v>-11.03</c:v>
                </c:pt>
                <c:pt idx="75">
                  <c:v>-37.35</c:v>
                </c:pt>
                <c:pt idx="76">
                  <c:v>-41.71</c:v>
                </c:pt>
                <c:pt idx="77">
                  <c:v>-35.49</c:v>
                </c:pt>
                <c:pt idx="78">
                  <c:v>-40.61</c:v>
                </c:pt>
                <c:pt idx="79">
                  <c:v>-46.67</c:v>
                </c:pt>
                <c:pt idx="80">
                  <c:v>-56.22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44296"/>
        <c:axId val="214144688"/>
      </c:scatterChart>
      <c:valAx>
        <c:axId val="214144296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549222916101005"/>
              <c:y val="0.90540538372275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144688"/>
        <c:crossesAt val="0"/>
        <c:crossBetween val="midCat"/>
        <c:majorUnit val="10"/>
        <c:minorUnit val="10"/>
      </c:valAx>
      <c:valAx>
        <c:axId val="214144688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Max Stable Gain [dB]</a:t>
                </a:r>
              </a:p>
            </c:rich>
          </c:tx>
          <c:layout>
            <c:manualLayout>
              <c:xMode val="edge"/>
              <c:yMode val="edge"/>
              <c:x val="3.6269454249253326E-2"/>
              <c:y val="0.39020268071890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1442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5647678522943254E-2"/>
          <c:y val="0.92905417150175784"/>
          <c:w val="0.1527802335052946"/>
          <c:h val="7.094582849824225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Max Stable Gain Device Delhi80#D80_B2</a:t>
            </a:r>
          </a:p>
        </c:rich>
      </c:tx>
      <c:layout>
        <c:manualLayout>
          <c:xMode val="edge"/>
          <c:yMode val="edge"/>
          <c:x val="0.16787564485473799"/>
          <c:y val="6.756618228695989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88082901554404"/>
          <c:y val="0.17567567567567569"/>
          <c:w val="0.81554404145077719"/>
          <c:h val="0.70777027027027029"/>
        </c:manualLayout>
      </c:layout>
      <c:scatterChart>
        <c:scatterStyle val="lineMarker"/>
        <c:varyColors val="0"/>
        <c:ser>
          <c:idx val="5"/>
          <c:order val="0"/>
          <c:tx>
            <c:strRef>
              <c:f>'Data #2'!$W$5</c:f>
              <c:strCache>
                <c:ptCount val="1"/>
                <c:pt idx="0">
                  <c:v>MSG_Front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#2'!$V$6:$V$86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#2'!$W$6:$W$86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'Data #2'!$AH$5</c:f>
              <c:strCache>
                <c:ptCount val="1"/>
                <c:pt idx="0">
                  <c:v>MSG_Rear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#2'!$V$6:$V$86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#2'!$AH$6:$AH$86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'Data #2'!$AP$5</c:f>
              <c:strCache>
                <c:ptCount val="1"/>
                <c:pt idx="0">
                  <c:v>FOG_Average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#2'!$V$6:$V$86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#2'!$AP$6:$AP$86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'Data #2'!$AQ$5</c:f>
              <c:strCache>
                <c:ptCount val="1"/>
                <c:pt idx="0">
                  <c:v>FOG_Stability limits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'Data #2'!$AO$6:$AO$86</c:f>
                <c:numCache>
                  <c:formatCode>General</c:formatCode>
                  <c:ptCount val="81"/>
                  <c:pt idx="1">
                    <c:v>10</c:v>
                  </c:pt>
                  <c:pt idx="4">
                    <c:v>10</c:v>
                  </c:pt>
                  <c:pt idx="7">
                    <c:v>10</c:v>
                  </c:pt>
                  <c:pt idx="10">
                    <c:v>10</c:v>
                  </c:pt>
                  <c:pt idx="13">
                    <c:v>10</c:v>
                  </c:pt>
                  <c:pt idx="16">
                    <c:v>10</c:v>
                  </c:pt>
                  <c:pt idx="19">
                    <c:v>10</c:v>
                  </c:pt>
                  <c:pt idx="22">
                    <c:v>10</c:v>
                  </c:pt>
                  <c:pt idx="25">
                    <c:v>10</c:v>
                  </c:pt>
                  <c:pt idx="28">
                    <c:v>10</c:v>
                  </c:pt>
                  <c:pt idx="31">
                    <c:v>10</c:v>
                  </c:pt>
                  <c:pt idx="34">
                    <c:v>10</c:v>
                  </c:pt>
                  <c:pt idx="37">
                    <c:v>10</c:v>
                  </c:pt>
                  <c:pt idx="40">
                    <c:v>10</c:v>
                  </c:pt>
                  <c:pt idx="43">
                    <c:v>10</c:v>
                  </c:pt>
                  <c:pt idx="46">
                    <c:v>10</c:v>
                  </c:pt>
                  <c:pt idx="49">
                    <c:v>10</c:v>
                  </c:pt>
                  <c:pt idx="52">
                    <c:v>10</c:v>
                  </c:pt>
                  <c:pt idx="55">
                    <c:v>10</c:v>
                  </c:pt>
                  <c:pt idx="58">
                    <c:v>10</c:v>
                  </c:pt>
                  <c:pt idx="61">
                    <c:v>10</c:v>
                  </c:pt>
                  <c:pt idx="64">
                    <c:v>10</c:v>
                  </c:pt>
                  <c:pt idx="67">
                    <c:v>10</c:v>
                  </c:pt>
                  <c:pt idx="70">
                    <c:v>10</c:v>
                  </c:pt>
                  <c:pt idx="73">
                    <c:v>10</c:v>
                  </c:pt>
                  <c:pt idx="76">
                    <c:v>10</c:v>
                  </c:pt>
                  <c:pt idx="79">
                    <c:v>10</c:v>
                  </c:pt>
                </c:numCache>
              </c:numRef>
            </c:minus>
            <c:spPr>
              <a:ln w="3175">
                <a:solidFill>
                  <a:srgbClr val="3366FF"/>
                </a:solidFill>
                <a:prstDash val="sysDash"/>
              </a:ln>
            </c:spPr>
          </c:errBars>
          <c:xVal>
            <c:numRef>
              <c:f>'Data #2'!$V$6:$V$86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#2'!$AQ$6:$AQ$86</c:f>
              <c:numCache>
                <c:formatCode>General</c:formatCode>
                <c:ptCount val="8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</c:numCache>
            </c:numRef>
          </c:yVal>
          <c:smooth val="0"/>
        </c:ser>
        <c:ser>
          <c:idx val="1"/>
          <c:order val="4"/>
          <c:tx>
            <c:strRef>
              <c:f>'Data #2'!$M$5</c:f>
              <c:strCache>
                <c:ptCount val="1"/>
                <c:pt idx="0">
                  <c:v>FOG50_Front</c:v>
                </c:pt>
              </c:strCache>
            </c:strRef>
          </c:tx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#2'!$M$6:$M$86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5"/>
          <c:tx>
            <c:strRef>
              <c:f>'Data #2'!$N$5</c:f>
              <c:strCache>
                <c:ptCount val="1"/>
                <c:pt idx="0">
                  <c:v>FOG50_Rear</c:v>
                </c:pt>
              </c:strCache>
            </c:strRef>
          </c:tx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#2'!$N$6:$N$86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87392"/>
        <c:axId val="215487784"/>
      </c:scatterChart>
      <c:valAx>
        <c:axId val="215487392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549222916101005"/>
              <c:y val="0.90540538372275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87784"/>
        <c:crossesAt val="60"/>
        <c:crossBetween val="midCat"/>
        <c:majorUnit val="10"/>
        <c:minorUnit val="10"/>
      </c:valAx>
      <c:valAx>
        <c:axId val="215487784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Max Stable Gain [dB]</a:t>
                </a:r>
              </a:p>
            </c:rich>
          </c:tx>
          <c:layout>
            <c:manualLayout>
              <c:xMode val="edge"/>
              <c:yMode val="edge"/>
              <c:x val="3.6269454249253326E-2"/>
              <c:y val="0.39020268071890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873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5647678522943254E-2"/>
          <c:y val="0.94261340409369165"/>
          <c:w val="0.1527802335052946"/>
          <c:h val="5.738659590630836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Max Stable Gain Device Delhi80#D80_B3</a:t>
            </a:r>
          </a:p>
        </c:rich>
      </c:tx>
      <c:layout>
        <c:manualLayout>
          <c:xMode val="edge"/>
          <c:yMode val="edge"/>
          <c:x val="0.16787564485473799"/>
          <c:y val="6.756618228695989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88082901554404"/>
          <c:y val="0.17567567567567569"/>
          <c:w val="0.81554404145077719"/>
          <c:h val="0.70777027027027029"/>
        </c:manualLayout>
      </c:layout>
      <c:scatterChart>
        <c:scatterStyle val="lineMarker"/>
        <c:varyColors val="0"/>
        <c:ser>
          <c:idx val="5"/>
          <c:order val="0"/>
          <c:tx>
            <c:strRef>
              <c:f>'Data #3'!$W$5</c:f>
              <c:strCache>
                <c:ptCount val="1"/>
                <c:pt idx="0">
                  <c:v>MSG_Front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#3'!$V$6:$V$86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#3'!$W$6:$W$86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'Data #3'!$AH$5</c:f>
              <c:strCache>
                <c:ptCount val="1"/>
                <c:pt idx="0">
                  <c:v>MSG_Rear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#3'!$V$6:$V$86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#3'!$AH$6:$AH$86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'Data #3'!$AP$5</c:f>
              <c:strCache>
                <c:ptCount val="1"/>
                <c:pt idx="0">
                  <c:v>FOG_Average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#3'!$V$6:$V$86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#3'!$AP$6:$AP$86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'Data #3'!$AQ$5</c:f>
              <c:strCache>
                <c:ptCount val="1"/>
                <c:pt idx="0">
                  <c:v>FOG_Stability limits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'Data #3'!$AO$6:$AO$86</c:f>
                <c:numCache>
                  <c:formatCode>General</c:formatCode>
                  <c:ptCount val="81"/>
                  <c:pt idx="1">
                    <c:v>10</c:v>
                  </c:pt>
                  <c:pt idx="4">
                    <c:v>10</c:v>
                  </c:pt>
                  <c:pt idx="7">
                    <c:v>10</c:v>
                  </c:pt>
                  <c:pt idx="10">
                    <c:v>10</c:v>
                  </c:pt>
                  <c:pt idx="13">
                    <c:v>10</c:v>
                  </c:pt>
                  <c:pt idx="16">
                    <c:v>10</c:v>
                  </c:pt>
                  <c:pt idx="19">
                    <c:v>10</c:v>
                  </c:pt>
                  <c:pt idx="22">
                    <c:v>10</c:v>
                  </c:pt>
                  <c:pt idx="25">
                    <c:v>10</c:v>
                  </c:pt>
                  <c:pt idx="28">
                    <c:v>10</c:v>
                  </c:pt>
                  <c:pt idx="31">
                    <c:v>10</c:v>
                  </c:pt>
                  <c:pt idx="34">
                    <c:v>10</c:v>
                  </c:pt>
                  <c:pt idx="37">
                    <c:v>10</c:v>
                  </c:pt>
                  <c:pt idx="40">
                    <c:v>10</c:v>
                  </c:pt>
                  <c:pt idx="43">
                    <c:v>10</c:v>
                  </c:pt>
                  <c:pt idx="46">
                    <c:v>10</c:v>
                  </c:pt>
                  <c:pt idx="49">
                    <c:v>10</c:v>
                  </c:pt>
                  <c:pt idx="52">
                    <c:v>10</c:v>
                  </c:pt>
                  <c:pt idx="55">
                    <c:v>10</c:v>
                  </c:pt>
                  <c:pt idx="58">
                    <c:v>10</c:v>
                  </c:pt>
                  <c:pt idx="61">
                    <c:v>10</c:v>
                  </c:pt>
                  <c:pt idx="64">
                    <c:v>10</c:v>
                  </c:pt>
                  <c:pt idx="67">
                    <c:v>10</c:v>
                  </c:pt>
                  <c:pt idx="70">
                    <c:v>10</c:v>
                  </c:pt>
                  <c:pt idx="73">
                    <c:v>10</c:v>
                  </c:pt>
                  <c:pt idx="76">
                    <c:v>10</c:v>
                  </c:pt>
                  <c:pt idx="79">
                    <c:v>10</c:v>
                  </c:pt>
                </c:numCache>
              </c:numRef>
            </c:minus>
            <c:spPr>
              <a:ln w="3175">
                <a:solidFill>
                  <a:srgbClr val="3366FF"/>
                </a:solidFill>
                <a:prstDash val="sysDash"/>
              </a:ln>
            </c:spPr>
          </c:errBars>
          <c:xVal>
            <c:numRef>
              <c:f>'Data #3'!$V$6:$V$86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#3'!$AQ$6:$AQ$86</c:f>
              <c:numCache>
                <c:formatCode>General</c:formatCode>
                <c:ptCount val="8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</c:numCache>
            </c:numRef>
          </c:yVal>
          <c:smooth val="0"/>
        </c:ser>
        <c:ser>
          <c:idx val="1"/>
          <c:order val="4"/>
          <c:tx>
            <c:strRef>
              <c:f>'Data #3'!$M$5</c:f>
              <c:strCache>
                <c:ptCount val="1"/>
                <c:pt idx="0">
                  <c:v>FOG50_Front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#3'!$M$6:$M$86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5"/>
          <c:tx>
            <c:strRef>
              <c:f>'Data #3'!$N$5</c:f>
              <c:strCache>
                <c:ptCount val="1"/>
                <c:pt idx="0">
                  <c:v>FOG50_Rear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#3'!$N$6:$N$86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88568"/>
        <c:axId val="215488960"/>
      </c:scatterChart>
      <c:valAx>
        <c:axId val="21548856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549222916101005"/>
              <c:y val="0.90540538372275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88960"/>
        <c:crossesAt val="60"/>
        <c:crossBetween val="midCat"/>
        <c:majorUnit val="10"/>
        <c:minorUnit val="10"/>
      </c:valAx>
      <c:valAx>
        <c:axId val="215488960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Max Stable Gain [dB]</a:t>
                </a:r>
              </a:p>
            </c:rich>
          </c:tx>
          <c:layout>
            <c:manualLayout>
              <c:xMode val="edge"/>
              <c:yMode val="edge"/>
              <c:x val="3.6269454249253326E-2"/>
              <c:y val="0.39020268071890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88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5647678522943254E-2"/>
          <c:y val="0.92905417150175784"/>
          <c:w val="0.1527802335052946"/>
          <c:h val="7.094582849824225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Max Stable Gain Device Delhi80#D80_B4</a:t>
            </a:r>
          </a:p>
        </c:rich>
      </c:tx>
      <c:layout>
        <c:manualLayout>
          <c:xMode val="edge"/>
          <c:yMode val="edge"/>
          <c:x val="0.16787564485473799"/>
          <c:y val="6.756618228695989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88082901554404"/>
          <c:y val="0.17567567567567569"/>
          <c:w val="0.81554404145077719"/>
          <c:h val="0.70777027027027029"/>
        </c:manualLayout>
      </c:layout>
      <c:scatterChart>
        <c:scatterStyle val="lineMarker"/>
        <c:varyColors val="0"/>
        <c:ser>
          <c:idx val="5"/>
          <c:order val="0"/>
          <c:tx>
            <c:strRef>
              <c:f>'Data #4'!$W$5</c:f>
              <c:strCache>
                <c:ptCount val="1"/>
                <c:pt idx="0">
                  <c:v>MSG_Front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#4'!$V$6:$V$86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#4'!$W$6:$W$86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'Data #4'!$AH$5</c:f>
              <c:strCache>
                <c:ptCount val="1"/>
                <c:pt idx="0">
                  <c:v>MSG_Rear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#4'!$V$6:$V$86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#4'!$AH$6:$AH$86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'Data #4'!$AP$5</c:f>
              <c:strCache>
                <c:ptCount val="1"/>
                <c:pt idx="0">
                  <c:v>FOG_Average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#4'!$V$6:$V$86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#4'!$AP$6:$AP$86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'Data #4'!$AQ$5</c:f>
              <c:strCache>
                <c:ptCount val="1"/>
                <c:pt idx="0">
                  <c:v>FOG_Stability limits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0"/>
            <c:minus>
              <c:numRef>
                <c:f>'Data #4'!$AO$6:$AO$86</c:f>
                <c:numCache>
                  <c:formatCode>General</c:formatCode>
                  <c:ptCount val="81"/>
                  <c:pt idx="1">
                    <c:v>10</c:v>
                  </c:pt>
                  <c:pt idx="4">
                    <c:v>10</c:v>
                  </c:pt>
                  <c:pt idx="7">
                    <c:v>10</c:v>
                  </c:pt>
                  <c:pt idx="10">
                    <c:v>10</c:v>
                  </c:pt>
                  <c:pt idx="13">
                    <c:v>10</c:v>
                  </c:pt>
                  <c:pt idx="16">
                    <c:v>10</c:v>
                  </c:pt>
                  <c:pt idx="19">
                    <c:v>10</c:v>
                  </c:pt>
                  <c:pt idx="22">
                    <c:v>10</c:v>
                  </c:pt>
                  <c:pt idx="25">
                    <c:v>10</c:v>
                  </c:pt>
                  <c:pt idx="28">
                    <c:v>10</c:v>
                  </c:pt>
                  <c:pt idx="31">
                    <c:v>10</c:v>
                  </c:pt>
                  <c:pt idx="34">
                    <c:v>10</c:v>
                  </c:pt>
                  <c:pt idx="37">
                    <c:v>10</c:v>
                  </c:pt>
                  <c:pt idx="40">
                    <c:v>10</c:v>
                  </c:pt>
                  <c:pt idx="43">
                    <c:v>10</c:v>
                  </c:pt>
                  <c:pt idx="46">
                    <c:v>10</c:v>
                  </c:pt>
                  <c:pt idx="49">
                    <c:v>10</c:v>
                  </c:pt>
                  <c:pt idx="52">
                    <c:v>10</c:v>
                  </c:pt>
                  <c:pt idx="55">
                    <c:v>10</c:v>
                  </c:pt>
                  <c:pt idx="58">
                    <c:v>10</c:v>
                  </c:pt>
                  <c:pt idx="61">
                    <c:v>10</c:v>
                  </c:pt>
                  <c:pt idx="64">
                    <c:v>10</c:v>
                  </c:pt>
                  <c:pt idx="67">
                    <c:v>10</c:v>
                  </c:pt>
                  <c:pt idx="70">
                    <c:v>10</c:v>
                  </c:pt>
                  <c:pt idx="73">
                    <c:v>10</c:v>
                  </c:pt>
                  <c:pt idx="76">
                    <c:v>10</c:v>
                  </c:pt>
                  <c:pt idx="79">
                    <c:v>10</c:v>
                  </c:pt>
                </c:numCache>
              </c:numRef>
            </c:minus>
            <c:spPr>
              <a:ln w="3175">
                <a:solidFill>
                  <a:srgbClr val="3366FF"/>
                </a:solidFill>
                <a:prstDash val="sysDash"/>
              </a:ln>
            </c:spPr>
          </c:errBars>
          <c:xVal>
            <c:numRef>
              <c:f>'Data #4'!$V$6:$V$86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#4'!$AQ$6:$AQ$86</c:f>
              <c:numCache>
                <c:formatCode>General</c:formatCode>
                <c:ptCount val="8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</c:numCache>
            </c:numRef>
          </c:yVal>
          <c:smooth val="0"/>
        </c:ser>
        <c:ser>
          <c:idx val="1"/>
          <c:order val="4"/>
          <c:tx>
            <c:strRef>
              <c:f>'Data #4'!$M$5</c:f>
              <c:strCache>
                <c:ptCount val="1"/>
                <c:pt idx="0">
                  <c:v>FOG50_Front</c:v>
                </c:pt>
              </c:strCache>
            </c:strRef>
          </c:tx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#4'!$M$6:$M$86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5"/>
          <c:tx>
            <c:strRef>
              <c:f>'Data #4'!$N$5</c:f>
              <c:strCache>
                <c:ptCount val="1"/>
                <c:pt idx="0">
                  <c:v>FOG50_Rear</c:v>
                </c:pt>
              </c:strCache>
            </c:strRef>
          </c:tx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#4'!$N$6:$N$86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89744"/>
        <c:axId val="215490136"/>
      </c:scatterChart>
      <c:valAx>
        <c:axId val="215489744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549222916101005"/>
              <c:y val="0.90540538372275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0136"/>
        <c:crossesAt val="60"/>
        <c:crossBetween val="midCat"/>
        <c:majorUnit val="10"/>
        <c:minorUnit val="10"/>
      </c:valAx>
      <c:valAx>
        <c:axId val="215490136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Max Stable Gain [dB]</a:t>
                </a:r>
              </a:p>
            </c:rich>
          </c:tx>
          <c:layout>
            <c:manualLayout>
              <c:xMode val="edge"/>
              <c:yMode val="edge"/>
              <c:x val="3.6269454249253326E-2"/>
              <c:y val="0.39020268071890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89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5647678522943254E-2"/>
          <c:y val="0.92905417150175784"/>
          <c:w val="0.1527802335052946"/>
          <c:h val="7.094582849824225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Max Stable Gain Device Delhi80#D80_B5</a:t>
            </a:r>
          </a:p>
        </c:rich>
      </c:tx>
      <c:layout>
        <c:manualLayout>
          <c:xMode val="edge"/>
          <c:yMode val="edge"/>
          <c:x val="0.16787564485473799"/>
          <c:y val="6.756618228695989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88082901554404"/>
          <c:y val="0.17567567567567569"/>
          <c:w val="0.81554404145077719"/>
          <c:h val="0.70777027027027029"/>
        </c:manualLayout>
      </c:layout>
      <c:scatterChart>
        <c:scatterStyle val="lineMarker"/>
        <c:varyColors val="0"/>
        <c:ser>
          <c:idx val="5"/>
          <c:order val="0"/>
          <c:tx>
            <c:strRef>
              <c:f>'Data #5'!$W$5</c:f>
              <c:strCache>
                <c:ptCount val="1"/>
                <c:pt idx="0">
                  <c:v>MSG_Front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#5'!$V$6:$V$86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#5'!$W$6:$W$86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'Data #5'!$AH$5</c:f>
              <c:strCache>
                <c:ptCount val="1"/>
                <c:pt idx="0">
                  <c:v>MSG_Rear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#5'!$V$6:$V$86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#5'!$AH$6:$AH$86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'Data #5'!$AP$5</c:f>
              <c:strCache>
                <c:ptCount val="1"/>
                <c:pt idx="0">
                  <c:v>FOG_Average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#5'!$V$6:$V$86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#5'!$AP$6:$AP$86</c:f>
              <c:numCache>
                <c:formatCode>General</c:formatCode>
                <c:ptCount val="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'Data #5'!$AQ$5</c:f>
              <c:strCache>
                <c:ptCount val="1"/>
                <c:pt idx="0">
                  <c:v>FOG_Stability limits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'Data #3'!$AO$6:$AO$86</c:f>
                <c:numCache>
                  <c:formatCode>General</c:formatCode>
                  <c:ptCount val="81"/>
                  <c:pt idx="1">
                    <c:v>10</c:v>
                  </c:pt>
                  <c:pt idx="4">
                    <c:v>10</c:v>
                  </c:pt>
                  <c:pt idx="7">
                    <c:v>10</c:v>
                  </c:pt>
                  <c:pt idx="10">
                    <c:v>10</c:v>
                  </c:pt>
                  <c:pt idx="13">
                    <c:v>10</c:v>
                  </c:pt>
                  <c:pt idx="16">
                    <c:v>10</c:v>
                  </c:pt>
                  <c:pt idx="19">
                    <c:v>10</c:v>
                  </c:pt>
                  <c:pt idx="22">
                    <c:v>10</c:v>
                  </c:pt>
                  <c:pt idx="25">
                    <c:v>10</c:v>
                  </c:pt>
                  <c:pt idx="28">
                    <c:v>10</c:v>
                  </c:pt>
                  <c:pt idx="31">
                    <c:v>10</c:v>
                  </c:pt>
                  <c:pt idx="34">
                    <c:v>10</c:v>
                  </c:pt>
                  <c:pt idx="37">
                    <c:v>10</c:v>
                  </c:pt>
                  <c:pt idx="40">
                    <c:v>10</c:v>
                  </c:pt>
                  <c:pt idx="43">
                    <c:v>10</c:v>
                  </c:pt>
                  <c:pt idx="46">
                    <c:v>10</c:v>
                  </c:pt>
                  <c:pt idx="49">
                    <c:v>10</c:v>
                  </c:pt>
                  <c:pt idx="52">
                    <c:v>10</c:v>
                  </c:pt>
                  <c:pt idx="55">
                    <c:v>10</c:v>
                  </c:pt>
                  <c:pt idx="58">
                    <c:v>10</c:v>
                  </c:pt>
                  <c:pt idx="61">
                    <c:v>10</c:v>
                  </c:pt>
                  <c:pt idx="64">
                    <c:v>10</c:v>
                  </c:pt>
                  <c:pt idx="67">
                    <c:v>10</c:v>
                  </c:pt>
                  <c:pt idx="70">
                    <c:v>10</c:v>
                  </c:pt>
                  <c:pt idx="73">
                    <c:v>10</c:v>
                  </c:pt>
                  <c:pt idx="76">
                    <c:v>10</c:v>
                  </c:pt>
                  <c:pt idx="79">
                    <c:v>10</c:v>
                  </c:pt>
                </c:numCache>
              </c:numRef>
            </c:minus>
            <c:spPr>
              <a:ln w="3175">
                <a:solidFill>
                  <a:srgbClr val="3366FF"/>
                </a:solidFill>
                <a:prstDash val="sysDash"/>
              </a:ln>
            </c:spPr>
          </c:errBars>
          <c:xVal>
            <c:numRef>
              <c:f>'Data #5'!$V$6:$V$86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#5'!$AQ$6:$AQ$86</c:f>
              <c:numCache>
                <c:formatCode>General</c:formatCode>
                <c:ptCount val="8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</c:numCache>
            </c:numRef>
          </c:yVal>
          <c:smooth val="0"/>
        </c:ser>
        <c:ser>
          <c:idx val="1"/>
          <c:order val="4"/>
          <c:tx>
            <c:strRef>
              <c:f>'Data #5'!$M$5</c:f>
              <c:strCache>
                <c:ptCount val="1"/>
                <c:pt idx="0">
                  <c:v>FOG50_Front</c:v>
                </c:pt>
              </c:strCache>
            </c:strRef>
          </c:tx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#5'!$M$6:$M$86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5"/>
          <c:tx>
            <c:strRef>
              <c:f>'Data #5'!$N$5</c:f>
              <c:strCache>
                <c:ptCount val="1"/>
                <c:pt idx="0">
                  <c:v>FOG50_Rear</c:v>
                </c:pt>
              </c:strCache>
            </c:strRef>
          </c:tx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#5'!$N$6:$N$86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90920"/>
        <c:axId val="215491312"/>
      </c:scatterChart>
      <c:valAx>
        <c:axId val="215490920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549222916101005"/>
              <c:y val="0.90540538372275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1312"/>
        <c:crossesAt val="60"/>
        <c:crossBetween val="midCat"/>
        <c:majorUnit val="10"/>
        <c:minorUnit val="10"/>
      </c:valAx>
      <c:valAx>
        <c:axId val="215491312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Max Stable Gain [dB]</a:t>
                </a:r>
              </a:p>
            </c:rich>
          </c:tx>
          <c:layout>
            <c:manualLayout>
              <c:xMode val="edge"/>
              <c:yMode val="edge"/>
              <c:x val="3.6269454249253326E-2"/>
              <c:y val="0.39020268071890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0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5647678522943254E-2"/>
          <c:y val="0.92905417150175784"/>
          <c:w val="0.1527802335052946"/>
          <c:h val="7.094582849824225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Front mic for Delhi80#D80_B1</a:t>
            </a:r>
          </a:p>
        </c:rich>
      </c:tx>
      <c:layout>
        <c:manualLayout>
          <c:xMode val="edge"/>
          <c:yMode val="edge"/>
          <c:x val="0.20103629755691085"/>
          <c:y val="2.02702967213844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51689189189189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#1'!$C$5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#1'!$C$6:$C$86</c:f>
              <c:numCache>
                <c:formatCode>General</c:formatCode>
                <c:ptCount val="81"/>
                <c:pt idx="0">
                  <c:v>-54.74</c:v>
                </c:pt>
                <c:pt idx="1">
                  <c:v>-61.16</c:v>
                </c:pt>
                <c:pt idx="2">
                  <c:v>-60.58</c:v>
                </c:pt>
                <c:pt idx="3">
                  <c:v>-63.21</c:v>
                </c:pt>
                <c:pt idx="4">
                  <c:v>-55.86</c:v>
                </c:pt>
                <c:pt idx="5">
                  <c:v>-55.54</c:v>
                </c:pt>
                <c:pt idx="6">
                  <c:v>-59.12</c:v>
                </c:pt>
                <c:pt idx="7">
                  <c:v>-52.06</c:v>
                </c:pt>
                <c:pt idx="8">
                  <c:v>-56.53</c:v>
                </c:pt>
                <c:pt idx="9">
                  <c:v>-64.66</c:v>
                </c:pt>
                <c:pt idx="10">
                  <c:v>-50.72</c:v>
                </c:pt>
                <c:pt idx="11">
                  <c:v>-50.22</c:v>
                </c:pt>
                <c:pt idx="12">
                  <c:v>-63.98</c:v>
                </c:pt>
                <c:pt idx="13">
                  <c:v>-54.42</c:v>
                </c:pt>
                <c:pt idx="14">
                  <c:v>-52.77</c:v>
                </c:pt>
                <c:pt idx="15">
                  <c:v>-58.55</c:v>
                </c:pt>
                <c:pt idx="16">
                  <c:v>-50.86</c:v>
                </c:pt>
                <c:pt idx="17">
                  <c:v>-55.92</c:v>
                </c:pt>
                <c:pt idx="18">
                  <c:v>-52.25</c:v>
                </c:pt>
                <c:pt idx="19">
                  <c:v>-53.26</c:v>
                </c:pt>
                <c:pt idx="20">
                  <c:v>-45.61</c:v>
                </c:pt>
                <c:pt idx="21">
                  <c:v>-47.58</c:v>
                </c:pt>
                <c:pt idx="22">
                  <c:v>-43.99</c:v>
                </c:pt>
                <c:pt idx="23">
                  <c:v>-44.83</c:v>
                </c:pt>
                <c:pt idx="24">
                  <c:v>-41.6</c:v>
                </c:pt>
                <c:pt idx="25">
                  <c:v>-44.2</c:v>
                </c:pt>
                <c:pt idx="26">
                  <c:v>-43.8</c:v>
                </c:pt>
                <c:pt idx="27">
                  <c:v>-43.21</c:v>
                </c:pt>
                <c:pt idx="28">
                  <c:v>-41.39</c:v>
                </c:pt>
                <c:pt idx="29">
                  <c:v>-42.98</c:v>
                </c:pt>
                <c:pt idx="30">
                  <c:v>-45.84</c:v>
                </c:pt>
                <c:pt idx="31">
                  <c:v>-45.67</c:v>
                </c:pt>
                <c:pt idx="32">
                  <c:v>-43.47</c:v>
                </c:pt>
                <c:pt idx="33">
                  <c:v>-46.89</c:v>
                </c:pt>
                <c:pt idx="34">
                  <c:v>-43.04</c:v>
                </c:pt>
                <c:pt idx="35">
                  <c:v>-45.31</c:v>
                </c:pt>
                <c:pt idx="36">
                  <c:v>-44.66</c:v>
                </c:pt>
                <c:pt idx="37">
                  <c:v>-42.01</c:v>
                </c:pt>
                <c:pt idx="38">
                  <c:v>-46.16</c:v>
                </c:pt>
                <c:pt idx="39">
                  <c:v>-49.05</c:v>
                </c:pt>
                <c:pt idx="40">
                  <c:v>-48.19</c:v>
                </c:pt>
                <c:pt idx="41">
                  <c:v>-44.19</c:v>
                </c:pt>
                <c:pt idx="42">
                  <c:v>-44.96</c:v>
                </c:pt>
                <c:pt idx="43">
                  <c:v>-45.02</c:v>
                </c:pt>
                <c:pt idx="44">
                  <c:v>-44.91</c:v>
                </c:pt>
                <c:pt idx="45">
                  <c:v>-41.42</c:v>
                </c:pt>
                <c:pt idx="46">
                  <c:v>-41.7</c:v>
                </c:pt>
                <c:pt idx="47">
                  <c:v>-45.29</c:v>
                </c:pt>
                <c:pt idx="48">
                  <c:v>-47.42</c:v>
                </c:pt>
                <c:pt idx="49">
                  <c:v>-42.57</c:v>
                </c:pt>
                <c:pt idx="50">
                  <c:v>-36.64</c:v>
                </c:pt>
                <c:pt idx="51">
                  <c:v>-32.450000000000003</c:v>
                </c:pt>
                <c:pt idx="52">
                  <c:v>-29.43</c:v>
                </c:pt>
                <c:pt idx="53">
                  <c:v>-26.13</c:v>
                </c:pt>
                <c:pt idx="54">
                  <c:v>-22.81</c:v>
                </c:pt>
                <c:pt idx="55">
                  <c:v>-22.56</c:v>
                </c:pt>
                <c:pt idx="56">
                  <c:v>-24.53</c:v>
                </c:pt>
                <c:pt idx="57">
                  <c:v>-25.17</c:v>
                </c:pt>
                <c:pt idx="58">
                  <c:v>-23.95</c:v>
                </c:pt>
                <c:pt idx="59">
                  <c:v>-21.69</c:v>
                </c:pt>
                <c:pt idx="60">
                  <c:v>-19.5</c:v>
                </c:pt>
                <c:pt idx="61">
                  <c:v>-15.2</c:v>
                </c:pt>
                <c:pt idx="62">
                  <c:v>-10.62</c:v>
                </c:pt>
                <c:pt idx="63">
                  <c:v>-8.08</c:v>
                </c:pt>
                <c:pt idx="64">
                  <c:v>-15.08</c:v>
                </c:pt>
                <c:pt idx="65">
                  <c:v>-16.37</c:v>
                </c:pt>
                <c:pt idx="66">
                  <c:v>-15.27</c:v>
                </c:pt>
                <c:pt idx="67">
                  <c:v>-11.89</c:v>
                </c:pt>
                <c:pt idx="68">
                  <c:v>-16.850000000000001</c:v>
                </c:pt>
                <c:pt idx="69">
                  <c:v>-22.4</c:v>
                </c:pt>
                <c:pt idx="70">
                  <c:v>-24.1</c:v>
                </c:pt>
                <c:pt idx="71">
                  <c:v>-16.72</c:v>
                </c:pt>
                <c:pt idx="72">
                  <c:v>-24.3</c:v>
                </c:pt>
                <c:pt idx="73">
                  <c:v>-28.57</c:v>
                </c:pt>
                <c:pt idx="74">
                  <c:v>-29.29</c:v>
                </c:pt>
                <c:pt idx="75">
                  <c:v>-79.290000000000006</c:v>
                </c:pt>
                <c:pt idx="76">
                  <c:v>-96.35</c:v>
                </c:pt>
                <c:pt idx="77">
                  <c:v>-106.08</c:v>
                </c:pt>
                <c:pt idx="78">
                  <c:v>-103.84</c:v>
                </c:pt>
                <c:pt idx="79">
                  <c:v>-84.23</c:v>
                </c:pt>
                <c:pt idx="80">
                  <c:v>-92.78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'Data #1'!$D$5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#1'!$D$6:$D$86</c:f>
              <c:numCache>
                <c:formatCode>General</c:formatCode>
                <c:ptCount val="81"/>
                <c:pt idx="0">
                  <c:v>-58.13</c:v>
                </c:pt>
                <c:pt idx="1">
                  <c:v>-60.04</c:v>
                </c:pt>
                <c:pt idx="2">
                  <c:v>-61.99</c:v>
                </c:pt>
                <c:pt idx="3">
                  <c:v>-67.73</c:v>
                </c:pt>
                <c:pt idx="4">
                  <c:v>-56.97</c:v>
                </c:pt>
                <c:pt idx="5">
                  <c:v>-57.18</c:v>
                </c:pt>
                <c:pt idx="6">
                  <c:v>-55.94</c:v>
                </c:pt>
                <c:pt idx="7">
                  <c:v>-53.38</c:v>
                </c:pt>
                <c:pt idx="8">
                  <c:v>-73.290000000000006</c:v>
                </c:pt>
                <c:pt idx="9">
                  <c:v>-68.66</c:v>
                </c:pt>
                <c:pt idx="10">
                  <c:v>-61.21</c:v>
                </c:pt>
                <c:pt idx="11">
                  <c:v>-54.28</c:v>
                </c:pt>
                <c:pt idx="12">
                  <c:v>-53.6</c:v>
                </c:pt>
                <c:pt idx="13">
                  <c:v>-58.96</c:v>
                </c:pt>
                <c:pt idx="14">
                  <c:v>-64.92</c:v>
                </c:pt>
                <c:pt idx="15">
                  <c:v>-53.57</c:v>
                </c:pt>
                <c:pt idx="16">
                  <c:v>-50.55</c:v>
                </c:pt>
                <c:pt idx="17">
                  <c:v>-51.2</c:v>
                </c:pt>
                <c:pt idx="18">
                  <c:v>-47.95</c:v>
                </c:pt>
                <c:pt idx="19">
                  <c:v>-49.5</c:v>
                </c:pt>
                <c:pt idx="20">
                  <c:v>-46.95</c:v>
                </c:pt>
                <c:pt idx="21">
                  <c:v>-53.73</c:v>
                </c:pt>
                <c:pt idx="22">
                  <c:v>-47.95</c:v>
                </c:pt>
                <c:pt idx="23">
                  <c:v>-47.8</c:v>
                </c:pt>
                <c:pt idx="24">
                  <c:v>-44.38</c:v>
                </c:pt>
                <c:pt idx="25">
                  <c:v>-41.62</c:v>
                </c:pt>
                <c:pt idx="26">
                  <c:v>-43.27</c:v>
                </c:pt>
                <c:pt idx="27">
                  <c:v>-45.28</c:v>
                </c:pt>
                <c:pt idx="28">
                  <c:v>-45.4</c:v>
                </c:pt>
                <c:pt idx="29">
                  <c:v>-42.59</c:v>
                </c:pt>
                <c:pt idx="30">
                  <c:v>-42.9</c:v>
                </c:pt>
                <c:pt idx="31">
                  <c:v>-44.31</c:v>
                </c:pt>
                <c:pt idx="32">
                  <c:v>-47.63</c:v>
                </c:pt>
                <c:pt idx="33">
                  <c:v>-43.65</c:v>
                </c:pt>
                <c:pt idx="34">
                  <c:v>-41.49</c:v>
                </c:pt>
                <c:pt idx="35">
                  <c:v>-40.450000000000003</c:v>
                </c:pt>
                <c:pt idx="36">
                  <c:v>-40.33</c:v>
                </c:pt>
                <c:pt idx="37">
                  <c:v>-39.799999999999997</c:v>
                </c:pt>
                <c:pt idx="38">
                  <c:v>-39.47</c:v>
                </c:pt>
                <c:pt idx="39">
                  <c:v>-41</c:v>
                </c:pt>
                <c:pt idx="40">
                  <c:v>-44.44</c:v>
                </c:pt>
                <c:pt idx="41">
                  <c:v>-46.04</c:v>
                </c:pt>
                <c:pt idx="42">
                  <c:v>-47.12</c:v>
                </c:pt>
                <c:pt idx="43">
                  <c:v>-55.93</c:v>
                </c:pt>
                <c:pt idx="44">
                  <c:v>-49</c:v>
                </c:pt>
                <c:pt idx="45">
                  <c:v>-47.73</c:v>
                </c:pt>
                <c:pt idx="46">
                  <c:v>-57.51</c:v>
                </c:pt>
                <c:pt idx="47">
                  <c:v>-54.04</c:v>
                </c:pt>
                <c:pt idx="48">
                  <c:v>-50.75</c:v>
                </c:pt>
                <c:pt idx="49">
                  <c:v>-46.07</c:v>
                </c:pt>
                <c:pt idx="50">
                  <c:v>-43.3</c:v>
                </c:pt>
                <c:pt idx="51">
                  <c:v>-42.64</c:v>
                </c:pt>
                <c:pt idx="52">
                  <c:v>-37.72</c:v>
                </c:pt>
                <c:pt idx="53">
                  <c:v>-31.63</c:v>
                </c:pt>
                <c:pt idx="54">
                  <c:v>-26.52</c:v>
                </c:pt>
                <c:pt idx="55">
                  <c:v>-24.77</c:v>
                </c:pt>
                <c:pt idx="56">
                  <c:v>-24.52</c:v>
                </c:pt>
                <c:pt idx="57">
                  <c:v>-23.99</c:v>
                </c:pt>
                <c:pt idx="58">
                  <c:v>-23.16</c:v>
                </c:pt>
                <c:pt idx="59">
                  <c:v>-20.68</c:v>
                </c:pt>
                <c:pt idx="60">
                  <c:v>-17.850000000000001</c:v>
                </c:pt>
                <c:pt idx="61">
                  <c:v>-12.54</c:v>
                </c:pt>
                <c:pt idx="62">
                  <c:v>-7.59</c:v>
                </c:pt>
                <c:pt idx="63">
                  <c:v>-8.2200000000000006</c:v>
                </c:pt>
                <c:pt idx="64">
                  <c:v>-13.43</c:v>
                </c:pt>
                <c:pt idx="65">
                  <c:v>-13.37</c:v>
                </c:pt>
                <c:pt idx="66">
                  <c:v>-13.11</c:v>
                </c:pt>
                <c:pt idx="67">
                  <c:v>-11.02</c:v>
                </c:pt>
                <c:pt idx="68">
                  <c:v>-15.33</c:v>
                </c:pt>
                <c:pt idx="69">
                  <c:v>-20.71</c:v>
                </c:pt>
                <c:pt idx="70">
                  <c:v>-21.19</c:v>
                </c:pt>
                <c:pt idx="71">
                  <c:v>-16.170000000000002</c:v>
                </c:pt>
                <c:pt idx="72">
                  <c:v>-23.94</c:v>
                </c:pt>
                <c:pt idx="73">
                  <c:v>-28.04</c:v>
                </c:pt>
                <c:pt idx="74">
                  <c:v>-28.74</c:v>
                </c:pt>
                <c:pt idx="75">
                  <c:v>-74.66</c:v>
                </c:pt>
                <c:pt idx="76">
                  <c:v>-75.599999999999994</c:v>
                </c:pt>
                <c:pt idx="77">
                  <c:v>-75.62</c:v>
                </c:pt>
                <c:pt idx="78">
                  <c:v>-72</c:v>
                </c:pt>
                <c:pt idx="79">
                  <c:v>-72.66</c:v>
                </c:pt>
                <c:pt idx="80">
                  <c:v>-78.2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'Data #1'!$E$5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#1'!$E$6:$E$86</c:f>
              <c:numCache>
                <c:formatCode>General</c:formatCode>
                <c:ptCount val="81"/>
                <c:pt idx="0">
                  <c:v>-58.69</c:v>
                </c:pt>
                <c:pt idx="1">
                  <c:v>-57.99</c:v>
                </c:pt>
                <c:pt idx="2">
                  <c:v>-67.12</c:v>
                </c:pt>
                <c:pt idx="3">
                  <c:v>-69.44</c:v>
                </c:pt>
                <c:pt idx="4">
                  <c:v>-60.35</c:v>
                </c:pt>
                <c:pt idx="5">
                  <c:v>-61.22</c:v>
                </c:pt>
                <c:pt idx="6">
                  <c:v>-58.67</c:v>
                </c:pt>
                <c:pt idx="7">
                  <c:v>-56.03</c:v>
                </c:pt>
                <c:pt idx="8">
                  <c:v>-60.79</c:v>
                </c:pt>
                <c:pt idx="9">
                  <c:v>-55.47</c:v>
                </c:pt>
                <c:pt idx="10">
                  <c:v>-51.77</c:v>
                </c:pt>
                <c:pt idx="11">
                  <c:v>-59.56</c:v>
                </c:pt>
                <c:pt idx="12">
                  <c:v>-56.89</c:v>
                </c:pt>
                <c:pt idx="13">
                  <c:v>-51.29</c:v>
                </c:pt>
                <c:pt idx="14">
                  <c:v>-61.91</c:v>
                </c:pt>
                <c:pt idx="15">
                  <c:v>-51.27</c:v>
                </c:pt>
                <c:pt idx="16">
                  <c:v>-48.44</c:v>
                </c:pt>
                <c:pt idx="17">
                  <c:v>-57.68</c:v>
                </c:pt>
                <c:pt idx="18">
                  <c:v>-50</c:v>
                </c:pt>
                <c:pt idx="19">
                  <c:v>-50.61</c:v>
                </c:pt>
                <c:pt idx="20">
                  <c:v>-39.409999999999997</c:v>
                </c:pt>
                <c:pt idx="21">
                  <c:v>-42.19</c:v>
                </c:pt>
                <c:pt idx="22">
                  <c:v>-41.28</c:v>
                </c:pt>
                <c:pt idx="23">
                  <c:v>-38.81</c:v>
                </c:pt>
                <c:pt idx="24">
                  <c:v>-46.51</c:v>
                </c:pt>
                <c:pt idx="25">
                  <c:v>-41.41</c:v>
                </c:pt>
                <c:pt idx="26">
                  <c:v>-44.57</c:v>
                </c:pt>
                <c:pt idx="27">
                  <c:v>-39.869999999999997</c:v>
                </c:pt>
                <c:pt idx="28">
                  <c:v>-40.65</c:v>
                </c:pt>
                <c:pt idx="29">
                  <c:v>-39.46</c:v>
                </c:pt>
                <c:pt idx="30">
                  <c:v>-38.65</c:v>
                </c:pt>
                <c:pt idx="31">
                  <c:v>-40.6</c:v>
                </c:pt>
                <c:pt idx="32">
                  <c:v>-42.46</c:v>
                </c:pt>
                <c:pt idx="33">
                  <c:v>-45.88</c:v>
                </c:pt>
                <c:pt idx="34">
                  <c:v>-45.73</c:v>
                </c:pt>
                <c:pt idx="35">
                  <c:v>-42.91</c:v>
                </c:pt>
                <c:pt idx="36">
                  <c:v>-37.89</c:v>
                </c:pt>
                <c:pt idx="37">
                  <c:v>-38.590000000000003</c:v>
                </c:pt>
                <c:pt idx="38">
                  <c:v>-37.94</c:v>
                </c:pt>
                <c:pt idx="39">
                  <c:v>-36.86</c:v>
                </c:pt>
                <c:pt idx="40">
                  <c:v>-33.200000000000003</c:v>
                </c:pt>
                <c:pt idx="41">
                  <c:v>-31.39</c:v>
                </c:pt>
                <c:pt idx="42">
                  <c:v>-31.86</c:v>
                </c:pt>
                <c:pt idx="43">
                  <c:v>-32.08</c:v>
                </c:pt>
                <c:pt idx="44">
                  <c:v>-32.880000000000003</c:v>
                </c:pt>
                <c:pt idx="45">
                  <c:v>-34</c:v>
                </c:pt>
                <c:pt idx="46">
                  <c:v>-35.33</c:v>
                </c:pt>
                <c:pt idx="47">
                  <c:v>-34.909999999999997</c:v>
                </c:pt>
                <c:pt idx="48">
                  <c:v>-34.57</c:v>
                </c:pt>
                <c:pt idx="49">
                  <c:v>-33.880000000000003</c:v>
                </c:pt>
                <c:pt idx="50">
                  <c:v>-32.57</c:v>
                </c:pt>
                <c:pt idx="51">
                  <c:v>-30.44</c:v>
                </c:pt>
                <c:pt idx="52">
                  <c:v>-27.97</c:v>
                </c:pt>
                <c:pt idx="53">
                  <c:v>-24.9</c:v>
                </c:pt>
                <c:pt idx="54">
                  <c:v>-20.87</c:v>
                </c:pt>
                <c:pt idx="55">
                  <c:v>-20.84</c:v>
                </c:pt>
                <c:pt idx="56">
                  <c:v>-23.02</c:v>
                </c:pt>
                <c:pt idx="57">
                  <c:v>-25.29</c:v>
                </c:pt>
                <c:pt idx="58">
                  <c:v>-24.67</c:v>
                </c:pt>
                <c:pt idx="59">
                  <c:v>-21.31</c:v>
                </c:pt>
                <c:pt idx="60">
                  <c:v>-17.95</c:v>
                </c:pt>
                <c:pt idx="61">
                  <c:v>-15.57</c:v>
                </c:pt>
                <c:pt idx="62">
                  <c:v>-12.25</c:v>
                </c:pt>
                <c:pt idx="63">
                  <c:v>-13.56</c:v>
                </c:pt>
                <c:pt idx="64">
                  <c:v>-16.86</c:v>
                </c:pt>
                <c:pt idx="65">
                  <c:v>-14.22</c:v>
                </c:pt>
                <c:pt idx="66">
                  <c:v>-14.42</c:v>
                </c:pt>
                <c:pt idx="67">
                  <c:v>-13.95</c:v>
                </c:pt>
                <c:pt idx="68">
                  <c:v>-18.809999999999999</c:v>
                </c:pt>
                <c:pt idx="69">
                  <c:v>-21.94</c:v>
                </c:pt>
                <c:pt idx="70">
                  <c:v>-22.14</c:v>
                </c:pt>
                <c:pt idx="71">
                  <c:v>-16.72</c:v>
                </c:pt>
                <c:pt idx="72">
                  <c:v>-24.93</c:v>
                </c:pt>
                <c:pt idx="73">
                  <c:v>-28.8</c:v>
                </c:pt>
                <c:pt idx="74">
                  <c:v>-29.66</c:v>
                </c:pt>
                <c:pt idx="75">
                  <c:v>-76.69</c:v>
                </c:pt>
                <c:pt idx="76">
                  <c:v>-87.23</c:v>
                </c:pt>
                <c:pt idx="77">
                  <c:v>-97.66</c:v>
                </c:pt>
                <c:pt idx="78">
                  <c:v>-88.89</c:v>
                </c:pt>
                <c:pt idx="79">
                  <c:v>-91.39</c:v>
                </c:pt>
                <c:pt idx="80">
                  <c:v>-98.73</c:v>
                </c:pt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'Data #1'!$AU$5</c:f>
              <c:strCache>
                <c:ptCount val="1"/>
                <c:pt idx="0">
                  <c:v>Front_HL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#1'!$AU$6:$AU$86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5"/>
          <c:tx>
            <c:strRef>
              <c:f>'Data #1'!$AV$5</c:f>
              <c:strCache>
                <c:ptCount val="1"/>
                <c:pt idx="0">
                  <c:v>Front_HR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#1'!$AV$6:$AV$86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6"/>
          <c:tx>
            <c:strRef>
              <c:f>'Data #1'!$AW$5</c:f>
              <c:strCache>
                <c:ptCount val="1"/>
                <c:pt idx="0">
                  <c:v>Front_L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#1'!$AW$6:$AW$86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92096"/>
        <c:axId val="215492488"/>
      </c:scatterChart>
      <c:valAx>
        <c:axId val="215492096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9551471523"/>
              <c:y val="0.952702700298056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2488"/>
        <c:crosses val="autoZero"/>
        <c:crossBetween val="midCat"/>
      </c:valAx>
      <c:valAx>
        <c:axId val="215492488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244973902563E-2"/>
              <c:y val="0.472972997019440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2096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9464561500650061E-2"/>
          <c:y val="9.4273944570488016E-2"/>
          <c:w val="0.24999590149473302"/>
          <c:h val="0.2536500734018417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Front mic for Delhi80#D80_B2</a:t>
            </a:r>
          </a:p>
        </c:rich>
      </c:tx>
      <c:layout>
        <c:manualLayout>
          <c:xMode val="edge"/>
          <c:yMode val="edge"/>
          <c:x val="0.20103629755691085"/>
          <c:y val="2.02702967213844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41554054054054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#2'!$C$5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#2'!$C$6:$C$86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1"/>
          <c:tx>
            <c:strRef>
              <c:f>'Data #2'!$D$5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#2'!$D$6:$D$86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2"/>
          <c:tx>
            <c:strRef>
              <c:f>'Data #2'!$E$5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#2'!$E$6:$E$86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'Data #2'!$AU$5</c:f>
              <c:strCache>
                <c:ptCount val="1"/>
                <c:pt idx="0">
                  <c:v>Front_HL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#2'!$AU$6:$AU$86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5"/>
          <c:tx>
            <c:strRef>
              <c:f>'Data #2'!$AV$5</c:f>
              <c:strCache>
                <c:ptCount val="1"/>
                <c:pt idx="0">
                  <c:v>Front_HR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#2'!$AV$6:$AV$86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6"/>
          <c:tx>
            <c:strRef>
              <c:f>'Data #2'!$AW$5</c:f>
              <c:strCache>
                <c:ptCount val="1"/>
                <c:pt idx="0">
                  <c:v>Front_L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#2'!$AW$6:$AW$86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93272"/>
        <c:axId val="215493664"/>
      </c:scatterChart>
      <c:valAx>
        <c:axId val="215493272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9551471523"/>
              <c:y val="0.9425675519373637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3664"/>
        <c:crosses val="autoZero"/>
        <c:crossBetween val="midCat"/>
      </c:valAx>
      <c:valAx>
        <c:axId val="215493664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244973902563E-2"/>
              <c:y val="0.467905333867164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3272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880831209439047"/>
          <c:y val="0.18749997775701766"/>
          <c:w val="0.19342078620730835"/>
          <c:h val="0.255909960407491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Front mic for Delhi80#D80_B3</a:t>
            </a:r>
          </a:p>
        </c:rich>
      </c:tx>
      <c:layout>
        <c:manualLayout>
          <c:xMode val="edge"/>
          <c:yMode val="edge"/>
          <c:x val="0.20103629755691085"/>
          <c:y val="2.02702967213844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41554054054054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#3'!$C$5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#3'!$C$6:$C$86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1"/>
          <c:tx>
            <c:strRef>
              <c:f>'Data #3'!$D$5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#3'!$D$6:$D$86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2"/>
          <c:tx>
            <c:strRef>
              <c:f>'Data #3'!$E$5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#3'!$E$6:$E$86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'Data #3'!$AU$5</c:f>
              <c:strCache>
                <c:ptCount val="1"/>
                <c:pt idx="0">
                  <c:v>Front_HL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#3'!$AU$6:$AU$86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5"/>
          <c:tx>
            <c:strRef>
              <c:f>'Data #3'!$AV$5</c:f>
              <c:strCache>
                <c:ptCount val="1"/>
                <c:pt idx="0">
                  <c:v>Front_HR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#3'!$AV$6:$AV$86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6"/>
          <c:tx>
            <c:strRef>
              <c:f>'Data #3'!$AW$5</c:f>
              <c:strCache>
                <c:ptCount val="1"/>
                <c:pt idx="0">
                  <c:v>Front_L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#3'!$AW$6:$AW$86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94448"/>
        <c:axId val="215494840"/>
      </c:scatterChart>
      <c:valAx>
        <c:axId val="21549444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9551471523"/>
              <c:y val="0.9425675519373637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4840"/>
        <c:crosses val="autoZero"/>
        <c:crossBetween val="midCat"/>
      </c:valAx>
      <c:valAx>
        <c:axId val="215494840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244973902563E-2"/>
              <c:y val="0.467905333867164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494448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7409364677398788E-2"/>
          <c:y val="0.19256764090929313"/>
          <c:w val="0.28580847766314632"/>
          <c:h val="0.255909960407491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Front mic for Delhi80#D80_B4</a:t>
            </a:r>
          </a:p>
        </c:rich>
      </c:tx>
      <c:layout>
        <c:manualLayout>
          <c:xMode val="edge"/>
          <c:yMode val="edge"/>
          <c:x val="0.20103622047244094"/>
          <c:y val="2.02703533365487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41554054054054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#4'!$C$5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#4'!$C$6:$C$86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1"/>
          <c:tx>
            <c:strRef>
              <c:f>'Data #4'!$D$5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#4'!$D$6:$D$86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2"/>
          <c:tx>
            <c:strRef>
              <c:f>'Data #4'!$E$5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#4'!$E$6:$E$86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'Data #4'!$AU$5</c:f>
              <c:strCache>
                <c:ptCount val="1"/>
                <c:pt idx="0">
                  <c:v>Front_HL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#4'!$AU$6:$AU$86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5"/>
          <c:tx>
            <c:strRef>
              <c:f>'Data #4'!$AV$5</c:f>
              <c:strCache>
                <c:ptCount val="1"/>
                <c:pt idx="0">
                  <c:v>Front_HR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#4'!$AV$6:$AV$86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6"/>
          <c:tx>
            <c:strRef>
              <c:f>'Data #4'!$AW$5</c:f>
              <c:strCache>
                <c:ptCount val="1"/>
                <c:pt idx="0">
                  <c:v>Front_L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#4'!$AW$6:$AW$86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72008"/>
        <c:axId val="471872400"/>
      </c:scatterChart>
      <c:valAx>
        <c:axId val="47187200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803149606"/>
              <c:y val="0.942567599469833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2400"/>
        <c:crosses val="autoZero"/>
        <c:crossBetween val="midCat"/>
      </c:valAx>
      <c:valAx>
        <c:axId val="471872400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188704860168E-2"/>
              <c:y val="0.467905407512158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2008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0120879717621501E-2"/>
          <c:y val="0.15586162587230368"/>
          <c:w val="0.1796752647298398"/>
          <c:h val="0.255909892436296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Front mic for Delhi80#D80_B5</a:t>
            </a:r>
          </a:p>
        </c:rich>
      </c:tx>
      <c:layout>
        <c:manualLayout>
          <c:xMode val="edge"/>
          <c:yMode val="edge"/>
          <c:x val="0.1823833831115938"/>
          <c:y val="1.85811126823826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41554054054054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#5'!$C$5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#5'!$C$6:$C$86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1"/>
          <c:tx>
            <c:strRef>
              <c:f>'Data #5'!$D$5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#5'!$D$6:$D$86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2"/>
          <c:tx>
            <c:strRef>
              <c:f>'Data #5'!$E$5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#5'!$E$6:$E$86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'Data #5'!$AU$5</c:f>
              <c:strCache>
                <c:ptCount val="1"/>
                <c:pt idx="0">
                  <c:v>Front_HL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#5'!$AU$6:$AU$86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5"/>
          <c:tx>
            <c:strRef>
              <c:f>'Data #5'!$AV$5</c:f>
              <c:strCache>
                <c:ptCount val="1"/>
                <c:pt idx="0">
                  <c:v>Front_HR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#5'!$AV$6:$AV$86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6"/>
          <c:tx>
            <c:strRef>
              <c:f>'Data #5'!$AW$5</c:f>
              <c:strCache>
                <c:ptCount val="1"/>
                <c:pt idx="0">
                  <c:v>Front_L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#5'!$AW$6:$AW$86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73184"/>
        <c:axId val="471873576"/>
      </c:scatterChart>
      <c:valAx>
        <c:axId val="471873184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803149606"/>
              <c:y val="0.942567599469833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3576"/>
        <c:crosses val="autoZero"/>
        <c:crossBetween val="midCat"/>
      </c:valAx>
      <c:valAx>
        <c:axId val="471873576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188704860168E-2"/>
              <c:y val="0.467905407512158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3184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7409285908226992E-2"/>
          <c:y val="0.19256755492704694"/>
          <c:w val="0.20033157751832747"/>
          <c:h val="0.255909892436296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Rear mic for Delhi80#D80_B1</a:t>
            </a:r>
          </a:p>
        </c:rich>
      </c:tx>
      <c:layout>
        <c:manualLayout>
          <c:xMode val="edge"/>
          <c:yMode val="edge"/>
          <c:x val="0.20932641868042356"/>
          <c:y val="2.02703533365487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3"/>
          <c:order val="0"/>
          <c:tx>
            <c:strRef>
              <c:f>'Data #1'!$F$5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#1'!$F$6:$F$86</c:f>
              <c:numCache>
                <c:formatCode>General</c:formatCode>
                <c:ptCount val="81"/>
                <c:pt idx="0">
                  <c:v>-58.69</c:v>
                </c:pt>
                <c:pt idx="1">
                  <c:v>-62.11</c:v>
                </c:pt>
                <c:pt idx="2">
                  <c:v>-63.66</c:v>
                </c:pt>
                <c:pt idx="3">
                  <c:v>-62.18</c:v>
                </c:pt>
                <c:pt idx="4">
                  <c:v>-62.66</c:v>
                </c:pt>
                <c:pt idx="5">
                  <c:v>-59.14</c:v>
                </c:pt>
                <c:pt idx="6">
                  <c:v>-55.97</c:v>
                </c:pt>
                <c:pt idx="7">
                  <c:v>-65.290000000000006</c:v>
                </c:pt>
                <c:pt idx="8">
                  <c:v>-61.89</c:v>
                </c:pt>
                <c:pt idx="9">
                  <c:v>-53.55</c:v>
                </c:pt>
                <c:pt idx="10">
                  <c:v>-68.47</c:v>
                </c:pt>
                <c:pt idx="11">
                  <c:v>-55.04</c:v>
                </c:pt>
                <c:pt idx="12">
                  <c:v>-62.87</c:v>
                </c:pt>
                <c:pt idx="13">
                  <c:v>-67.290000000000006</c:v>
                </c:pt>
                <c:pt idx="14">
                  <c:v>-66.13</c:v>
                </c:pt>
                <c:pt idx="15">
                  <c:v>-54.77</c:v>
                </c:pt>
                <c:pt idx="16">
                  <c:v>-61.75</c:v>
                </c:pt>
                <c:pt idx="17">
                  <c:v>-64.45</c:v>
                </c:pt>
                <c:pt idx="18">
                  <c:v>-47.77</c:v>
                </c:pt>
                <c:pt idx="19">
                  <c:v>-65.37</c:v>
                </c:pt>
                <c:pt idx="20">
                  <c:v>-51.69</c:v>
                </c:pt>
                <c:pt idx="21">
                  <c:v>-49.43</c:v>
                </c:pt>
                <c:pt idx="22">
                  <c:v>-47.61</c:v>
                </c:pt>
                <c:pt idx="23">
                  <c:v>-42.32</c:v>
                </c:pt>
                <c:pt idx="24">
                  <c:v>-39.340000000000003</c:v>
                </c:pt>
                <c:pt idx="25">
                  <c:v>-39.28</c:v>
                </c:pt>
                <c:pt idx="26">
                  <c:v>-37.159999999999997</c:v>
                </c:pt>
                <c:pt idx="27">
                  <c:v>-37.340000000000003</c:v>
                </c:pt>
                <c:pt idx="28">
                  <c:v>-35.979999999999997</c:v>
                </c:pt>
                <c:pt idx="29">
                  <c:v>-37.58</c:v>
                </c:pt>
                <c:pt idx="30">
                  <c:v>-37.24</c:v>
                </c:pt>
                <c:pt idx="31">
                  <c:v>-40.409999999999997</c:v>
                </c:pt>
                <c:pt idx="32">
                  <c:v>-39.51</c:v>
                </c:pt>
                <c:pt idx="33">
                  <c:v>-37.909999999999997</c:v>
                </c:pt>
                <c:pt idx="34">
                  <c:v>-36.67</c:v>
                </c:pt>
                <c:pt idx="35">
                  <c:v>-34.03</c:v>
                </c:pt>
                <c:pt idx="36">
                  <c:v>-32.67</c:v>
                </c:pt>
                <c:pt idx="37">
                  <c:v>-31.21</c:v>
                </c:pt>
                <c:pt idx="38">
                  <c:v>-29.23</c:v>
                </c:pt>
                <c:pt idx="39">
                  <c:v>-27.48</c:v>
                </c:pt>
                <c:pt idx="40">
                  <c:v>-26.21</c:v>
                </c:pt>
                <c:pt idx="41">
                  <c:v>-25.67</c:v>
                </c:pt>
                <c:pt idx="42">
                  <c:v>-26.36</c:v>
                </c:pt>
                <c:pt idx="43">
                  <c:v>-26.86</c:v>
                </c:pt>
                <c:pt idx="44">
                  <c:v>-27.29</c:v>
                </c:pt>
                <c:pt idx="45">
                  <c:v>-28.05</c:v>
                </c:pt>
                <c:pt idx="46">
                  <c:v>-29.51</c:v>
                </c:pt>
                <c:pt idx="47">
                  <c:v>-31.13</c:v>
                </c:pt>
                <c:pt idx="48">
                  <c:v>-32.1</c:v>
                </c:pt>
                <c:pt idx="49">
                  <c:v>-32.24</c:v>
                </c:pt>
                <c:pt idx="50">
                  <c:v>-30.82</c:v>
                </c:pt>
                <c:pt idx="51">
                  <c:v>-27.85</c:v>
                </c:pt>
                <c:pt idx="52">
                  <c:v>-25.23</c:v>
                </c:pt>
                <c:pt idx="53">
                  <c:v>-23.86</c:v>
                </c:pt>
                <c:pt idx="54">
                  <c:v>-24.01</c:v>
                </c:pt>
                <c:pt idx="55">
                  <c:v>-20.94</c:v>
                </c:pt>
                <c:pt idx="56">
                  <c:v>-18.350000000000001</c:v>
                </c:pt>
                <c:pt idx="57">
                  <c:v>-17.02</c:v>
                </c:pt>
                <c:pt idx="58">
                  <c:v>-16.190000000000001</c:v>
                </c:pt>
                <c:pt idx="59">
                  <c:v>-15.57</c:v>
                </c:pt>
                <c:pt idx="60">
                  <c:v>-14.62</c:v>
                </c:pt>
                <c:pt idx="61">
                  <c:v>-12.87</c:v>
                </c:pt>
                <c:pt idx="62">
                  <c:v>-10.68</c:v>
                </c:pt>
                <c:pt idx="63">
                  <c:v>-12.63</c:v>
                </c:pt>
                <c:pt idx="64">
                  <c:v>-17.03</c:v>
                </c:pt>
                <c:pt idx="65">
                  <c:v>-17.27</c:v>
                </c:pt>
                <c:pt idx="66">
                  <c:v>-24.2</c:v>
                </c:pt>
                <c:pt idx="67">
                  <c:v>-21.42</c:v>
                </c:pt>
                <c:pt idx="68">
                  <c:v>-25.97</c:v>
                </c:pt>
                <c:pt idx="69">
                  <c:v>-22.57</c:v>
                </c:pt>
                <c:pt idx="70">
                  <c:v>-19.28</c:v>
                </c:pt>
                <c:pt idx="71">
                  <c:v>-13.81</c:v>
                </c:pt>
                <c:pt idx="72">
                  <c:v>-20.46</c:v>
                </c:pt>
                <c:pt idx="73">
                  <c:v>-32.46</c:v>
                </c:pt>
                <c:pt idx="74">
                  <c:v>-43.09</c:v>
                </c:pt>
                <c:pt idx="75">
                  <c:v>-73.069999999999993</c:v>
                </c:pt>
                <c:pt idx="76">
                  <c:v>-73.22</c:v>
                </c:pt>
                <c:pt idx="77">
                  <c:v>-78.17</c:v>
                </c:pt>
                <c:pt idx="78">
                  <c:v>-79.150000000000006</c:v>
                </c:pt>
                <c:pt idx="79">
                  <c:v>-72.92</c:v>
                </c:pt>
                <c:pt idx="80">
                  <c:v>-82.67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'Data #1'!$G$5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#1'!$G$6:$G$86</c:f>
              <c:numCache>
                <c:formatCode>General</c:formatCode>
                <c:ptCount val="81"/>
                <c:pt idx="0">
                  <c:v>-62.48</c:v>
                </c:pt>
                <c:pt idx="1">
                  <c:v>-73.400000000000006</c:v>
                </c:pt>
                <c:pt idx="2">
                  <c:v>-63.47</c:v>
                </c:pt>
                <c:pt idx="3">
                  <c:v>-58.56</c:v>
                </c:pt>
                <c:pt idx="4">
                  <c:v>-55.15</c:v>
                </c:pt>
                <c:pt idx="5">
                  <c:v>-56.65</c:v>
                </c:pt>
                <c:pt idx="6">
                  <c:v>-68.03</c:v>
                </c:pt>
                <c:pt idx="7">
                  <c:v>-66.02</c:v>
                </c:pt>
                <c:pt idx="8">
                  <c:v>-64.599999999999994</c:v>
                </c:pt>
                <c:pt idx="9">
                  <c:v>-58.75</c:v>
                </c:pt>
                <c:pt idx="10">
                  <c:v>-69.48</c:v>
                </c:pt>
                <c:pt idx="11">
                  <c:v>-66.27</c:v>
                </c:pt>
                <c:pt idx="12">
                  <c:v>-70.099999999999994</c:v>
                </c:pt>
                <c:pt idx="13">
                  <c:v>-69.13</c:v>
                </c:pt>
                <c:pt idx="14">
                  <c:v>-55.83</c:v>
                </c:pt>
                <c:pt idx="15">
                  <c:v>-61.88</c:v>
                </c:pt>
                <c:pt idx="16">
                  <c:v>-62.48</c:v>
                </c:pt>
                <c:pt idx="17">
                  <c:v>-58.75</c:v>
                </c:pt>
                <c:pt idx="18">
                  <c:v>-55.27</c:v>
                </c:pt>
                <c:pt idx="19">
                  <c:v>-51.05</c:v>
                </c:pt>
                <c:pt idx="20">
                  <c:v>-49.62</c:v>
                </c:pt>
                <c:pt idx="21">
                  <c:v>-48.05</c:v>
                </c:pt>
                <c:pt idx="22">
                  <c:v>-49.84</c:v>
                </c:pt>
                <c:pt idx="23">
                  <c:v>-44.43</c:v>
                </c:pt>
                <c:pt idx="24">
                  <c:v>-42.28</c:v>
                </c:pt>
                <c:pt idx="25">
                  <c:v>-40.35</c:v>
                </c:pt>
                <c:pt idx="26">
                  <c:v>-37.46</c:v>
                </c:pt>
                <c:pt idx="27">
                  <c:v>-36.409999999999997</c:v>
                </c:pt>
                <c:pt idx="28">
                  <c:v>-37.049999999999997</c:v>
                </c:pt>
                <c:pt idx="29">
                  <c:v>-35.76</c:v>
                </c:pt>
                <c:pt idx="30">
                  <c:v>-37.619999999999997</c:v>
                </c:pt>
                <c:pt idx="31">
                  <c:v>-35.93</c:v>
                </c:pt>
                <c:pt idx="32">
                  <c:v>-38.01</c:v>
                </c:pt>
                <c:pt idx="33">
                  <c:v>-37.61</c:v>
                </c:pt>
                <c:pt idx="34">
                  <c:v>-35.92</c:v>
                </c:pt>
                <c:pt idx="35">
                  <c:v>-33.200000000000003</c:v>
                </c:pt>
                <c:pt idx="36">
                  <c:v>-32.909999999999997</c:v>
                </c:pt>
                <c:pt idx="37">
                  <c:v>-32.17</c:v>
                </c:pt>
                <c:pt idx="38">
                  <c:v>-30.82</c:v>
                </c:pt>
                <c:pt idx="39">
                  <c:v>-28.42</c:v>
                </c:pt>
                <c:pt idx="40">
                  <c:v>-26.92</c:v>
                </c:pt>
                <c:pt idx="41">
                  <c:v>-26.93</c:v>
                </c:pt>
                <c:pt idx="42">
                  <c:v>-28.14</c:v>
                </c:pt>
                <c:pt idx="43">
                  <c:v>-29.42</c:v>
                </c:pt>
                <c:pt idx="44">
                  <c:v>-30.27</c:v>
                </c:pt>
                <c:pt idx="45">
                  <c:v>-30.98</c:v>
                </c:pt>
                <c:pt idx="46">
                  <c:v>-30.92</c:v>
                </c:pt>
                <c:pt idx="47">
                  <c:v>-28.91</c:v>
                </c:pt>
                <c:pt idx="48">
                  <c:v>-27.33</c:v>
                </c:pt>
                <c:pt idx="49">
                  <c:v>-26.09</c:v>
                </c:pt>
                <c:pt idx="50">
                  <c:v>-25.88</c:v>
                </c:pt>
                <c:pt idx="51">
                  <c:v>-25.52</c:v>
                </c:pt>
                <c:pt idx="52">
                  <c:v>-24.41</c:v>
                </c:pt>
                <c:pt idx="53">
                  <c:v>-23.1</c:v>
                </c:pt>
                <c:pt idx="54">
                  <c:v>-22.12</c:v>
                </c:pt>
                <c:pt idx="55">
                  <c:v>-19.25</c:v>
                </c:pt>
                <c:pt idx="56">
                  <c:v>-17.53</c:v>
                </c:pt>
                <c:pt idx="57">
                  <c:v>-16.920000000000002</c:v>
                </c:pt>
                <c:pt idx="58">
                  <c:v>-15.92</c:v>
                </c:pt>
                <c:pt idx="59">
                  <c:v>-14.59</c:v>
                </c:pt>
                <c:pt idx="60">
                  <c:v>-13.58</c:v>
                </c:pt>
                <c:pt idx="61">
                  <c:v>-11.2</c:v>
                </c:pt>
                <c:pt idx="62">
                  <c:v>-9.67</c:v>
                </c:pt>
                <c:pt idx="63">
                  <c:v>-11.74</c:v>
                </c:pt>
                <c:pt idx="64">
                  <c:v>-17.37</c:v>
                </c:pt>
                <c:pt idx="65">
                  <c:v>-15.2</c:v>
                </c:pt>
                <c:pt idx="66">
                  <c:v>-19.32</c:v>
                </c:pt>
                <c:pt idx="67">
                  <c:v>-28.57</c:v>
                </c:pt>
                <c:pt idx="68">
                  <c:v>-25.79</c:v>
                </c:pt>
                <c:pt idx="69">
                  <c:v>-23.4</c:v>
                </c:pt>
                <c:pt idx="70">
                  <c:v>-19.45</c:v>
                </c:pt>
                <c:pt idx="71">
                  <c:v>-13.29</c:v>
                </c:pt>
                <c:pt idx="72">
                  <c:v>-21.24</c:v>
                </c:pt>
                <c:pt idx="73">
                  <c:v>-33.119999999999997</c:v>
                </c:pt>
                <c:pt idx="74">
                  <c:v>-45.17</c:v>
                </c:pt>
                <c:pt idx="75">
                  <c:v>-71.52</c:v>
                </c:pt>
                <c:pt idx="76">
                  <c:v>-78.52</c:v>
                </c:pt>
                <c:pt idx="77">
                  <c:v>-81.319999999999993</c:v>
                </c:pt>
                <c:pt idx="78">
                  <c:v>-80.25</c:v>
                </c:pt>
                <c:pt idx="79">
                  <c:v>-73.61</c:v>
                </c:pt>
                <c:pt idx="80">
                  <c:v>-67.680000000000007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'Data #1'!$H$5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#1'!$H$6:$H$86</c:f>
              <c:numCache>
                <c:formatCode>General</c:formatCode>
                <c:ptCount val="81"/>
                <c:pt idx="0">
                  <c:v>-59.94</c:v>
                </c:pt>
                <c:pt idx="1">
                  <c:v>-62.42</c:v>
                </c:pt>
                <c:pt idx="2">
                  <c:v>-68.709999999999994</c:v>
                </c:pt>
                <c:pt idx="3">
                  <c:v>-58.29</c:v>
                </c:pt>
                <c:pt idx="4">
                  <c:v>-56.5</c:v>
                </c:pt>
                <c:pt idx="5">
                  <c:v>-57.48</c:v>
                </c:pt>
                <c:pt idx="6">
                  <c:v>-58.68</c:v>
                </c:pt>
                <c:pt idx="7">
                  <c:v>-57.22</c:v>
                </c:pt>
                <c:pt idx="8">
                  <c:v>-59.04</c:v>
                </c:pt>
                <c:pt idx="9">
                  <c:v>-58.96</c:v>
                </c:pt>
                <c:pt idx="10">
                  <c:v>-56.77</c:v>
                </c:pt>
                <c:pt idx="11">
                  <c:v>-61.76</c:v>
                </c:pt>
                <c:pt idx="12">
                  <c:v>-53.75</c:v>
                </c:pt>
                <c:pt idx="13">
                  <c:v>-57.33</c:v>
                </c:pt>
                <c:pt idx="14">
                  <c:v>-53.99</c:v>
                </c:pt>
                <c:pt idx="15">
                  <c:v>-66.36</c:v>
                </c:pt>
                <c:pt idx="16">
                  <c:v>-55.42</c:v>
                </c:pt>
                <c:pt idx="17">
                  <c:v>-56.01</c:v>
                </c:pt>
                <c:pt idx="18">
                  <c:v>-59.86</c:v>
                </c:pt>
                <c:pt idx="19">
                  <c:v>-63.37</c:v>
                </c:pt>
                <c:pt idx="20">
                  <c:v>-49.47</c:v>
                </c:pt>
                <c:pt idx="21">
                  <c:v>-45.39</c:v>
                </c:pt>
                <c:pt idx="22">
                  <c:v>-50.21</c:v>
                </c:pt>
                <c:pt idx="23">
                  <c:v>-41.23</c:v>
                </c:pt>
                <c:pt idx="24">
                  <c:v>-40.89</c:v>
                </c:pt>
                <c:pt idx="25">
                  <c:v>-45.84</c:v>
                </c:pt>
                <c:pt idx="26">
                  <c:v>-40.64</c:v>
                </c:pt>
                <c:pt idx="27">
                  <c:v>-38.909999999999997</c:v>
                </c:pt>
                <c:pt idx="28">
                  <c:v>-35.35</c:v>
                </c:pt>
                <c:pt idx="29">
                  <c:v>-35.67</c:v>
                </c:pt>
                <c:pt idx="30">
                  <c:v>-36.049999999999997</c:v>
                </c:pt>
                <c:pt idx="31">
                  <c:v>-37.1</c:v>
                </c:pt>
                <c:pt idx="32">
                  <c:v>-37.799999999999997</c:v>
                </c:pt>
                <c:pt idx="33">
                  <c:v>-36.950000000000003</c:v>
                </c:pt>
                <c:pt idx="34">
                  <c:v>-37.049999999999997</c:v>
                </c:pt>
                <c:pt idx="35">
                  <c:v>-34.75</c:v>
                </c:pt>
                <c:pt idx="36">
                  <c:v>-31.26</c:v>
                </c:pt>
                <c:pt idx="37">
                  <c:v>-29.1</c:v>
                </c:pt>
                <c:pt idx="38">
                  <c:v>-27.15</c:v>
                </c:pt>
                <c:pt idx="39">
                  <c:v>-25.37</c:v>
                </c:pt>
                <c:pt idx="40">
                  <c:v>-23.47</c:v>
                </c:pt>
                <c:pt idx="41">
                  <c:v>-22.3</c:v>
                </c:pt>
                <c:pt idx="42">
                  <c:v>-23.05</c:v>
                </c:pt>
                <c:pt idx="43">
                  <c:v>-23.87</c:v>
                </c:pt>
                <c:pt idx="44">
                  <c:v>-24.89</c:v>
                </c:pt>
                <c:pt idx="45">
                  <c:v>-25.59</c:v>
                </c:pt>
                <c:pt idx="46">
                  <c:v>-26.23</c:v>
                </c:pt>
                <c:pt idx="47">
                  <c:v>-26.68</c:v>
                </c:pt>
                <c:pt idx="48">
                  <c:v>-28</c:v>
                </c:pt>
                <c:pt idx="49">
                  <c:v>-29.12</c:v>
                </c:pt>
                <c:pt idx="50">
                  <c:v>-30.04</c:v>
                </c:pt>
                <c:pt idx="51">
                  <c:v>-31.8</c:v>
                </c:pt>
                <c:pt idx="52">
                  <c:v>-33.35</c:v>
                </c:pt>
                <c:pt idx="53">
                  <c:v>-35.24</c:v>
                </c:pt>
                <c:pt idx="54">
                  <c:v>-25.82</c:v>
                </c:pt>
                <c:pt idx="55">
                  <c:v>-20.28</c:v>
                </c:pt>
                <c:pt idx="56">
                  <c:v>-18.64</c:v>
                </c:pt>
                <c:pt idx="57">
                  <c:v>-18.18</c:v>
                </c:pt>
                <c:pt idx="58">
                  <c:v>-18.14</c:v>
                </c:pt>
                <c:pt idx="59">
                  <c:v>-17.21</c:v>
                </c:pt>
                <c:pt idx="60">
                  <c:v>-16.84</c:v>
                </c:pt>
                <c:pt idx="61">
                  <c:v>-14.03</c:v>
                </c:pt>
                <c:pt idx="62">
                  <c:v>-9.9700000000000006</c:v>
                </c:pt>
                <c:pt idx="63">
                  <c:v>-9.67</c:v>
                </c:pt>
                <c:pt idx="64">
                  <c:v>-16.149999999999999</c:v>
                </c:pt>
                <c:pt idx="65">
                  <c:v>-24.6</c:v>
                </c:pt>
                <c:pt idx="66">
                  <c:v>-21.26</c:v>
                </c:pt>
                <c:pt idx="67">
                  <c:v>-28.47</c:v>
                </c:pt>
                <c:pt idx="68">
                  <c:v>-26.73</c:v>
                </c:pt>
                <c:pt idx="69">
                  <c:v>-24.15</c:v>
                </c:pt>
                <c:pt idx="70">
                  <c:v>-21.59</c:v>
                </c:pt>
                <c:pt idx="71">
                  <c:v>-14.37</c:v>
                </c:pt>
                <c:pt idx="72">
                  <c:v>-20.260000000000002</c:v>
                </c:pt>
                <c:pt idx="73">
                  <c:v>-32.119999999999997</c:v>
                </c:pt>
                <c:pt idx="74">
                  <c:v>-42.39</c:v>
                </c:pt>
                <c:pt idx="75">
                  <c:v>-86.79</c:v>
                </c:pt>
                <c:pt idx="76">
                  <c:v>-85.74</c:v>
                </c:pt>
                <c:pt idx="77">
                  <c:v>-94.71</c:v>
                </c:pt>
                <c:pt idx="78">
                  <c:v>-83.15</c:v>
                </c:pt>
                <c:pt idx="79">
                  <c:v>-88.81</c:v>
                </c:pt>
                <c:pt idx="80">
                  <c:v>-87.77</c:v>
                </c:pt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'Data #1'!$AX$5</c:f>
              <c:strCache>
                <c:ptCount val="1"/>
                <c:pt idx="0">
                  <c:v>Rear_HL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#1'!$AX$6:$AX$86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5"/>
          <c:tx>
            <c:strRef>
              <c:f>'Data #1'!$AY$5</c:f>
              <c:strCache>
                <c:ptCount val="1"/>
                <c:pt idx="0">
                  <c:v>Rear_HR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#1'!$AY$6:$AY$86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6"/>
          <c:tx>
            <c:strRef>
              <c:f>'Data #1'!$AZ$5</c:f>
              <c:strCache>
                <c:ptCount val="1"/>
                <c:pt idx="0">
                  <c:v>Rear_L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#1'!$AZ$6:$AZ$86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74360"/>
        <c:axId val="471874752"/>
      </c:scatterChart>
      <c:valAx>
        <c:axId val="471874360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803149606"/>
              <c:y val="0.93074327123296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4752"/>
        <c:crosses val="autoZero"/>
        <c:crossBetween val="midCat"/>
      </c:valAx>
      <c:valAx>
        <c:axId val="471874752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188704860168E-2"/>
              <c:y val="0.462837863720808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4360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155416779799075E-2"/>
          <c:y val="0.19087849244402888"/>
          <c:w val="0.17894303556882976"/>
          <c:h val="0.255909892436296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Rear mic for Delhi80#D80_B2</a:t>
            </a:r>
          </a:p>
        </c:rich>
      </c:tx>
      <c:layout>
        <c:manualLayout>
          <c:xMode val="edge"/>
          <c:yMode val="edge"/>
          <c:x val="0.20932641868042356"/>
          <c:y val="2.02703533365487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3"/>
          <c:order val="0"/>
          <c:tx>
            <c:strRef>
              <c:f>'Data #2'!$F$5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#2'!$F$6:$F$86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1"/>
          <c:tx>
            <c:strRef>
              <c:f>'Data #2'!$G$5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#2'!$G$6:$G$86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2"/>
          <c:tx>
            <c:strRef>
              <c:f>'Data #2'!$H$5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#2'!$H$6:$H$86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'Data #2'!$AX$5</c:f>
              <c:strCache>
                <c:ptCount val="1"/>
                <c:pt idx="0">
                  <c:v>Rear_HL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#2'!$AX$6:$AX$86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5"/>
          <c:tx>
            <c:strRef>
              <c:f>'Data #2'!$AY$5</c:f>
              <c:strCache>
                <c:ptCount val="1"/>
                <c:pt idx="0">
                  <c:v>Rear_HR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#2'!$AY$6:$AY$86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6"/>
          <c:tx>
            <c:strRef>
              <c:f>'Data #2'!$AZ$5</c:f>
              <c:strCache>
                <c:ptCount val="1"/>
                <c:pt idx="0">
                  <c:v>Rear_L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#2'!$AZ$6:$AZ$86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75536"/>
        <c:axId val="471875928"/>
      </c:scatterChart>
      <c:valAx>
        <c:axId val="471875536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803149606"/>
              <c:y val="0.93074327123296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5928"/>
        <c:crosses val="autoZero"/>
        <c:crossBetween val="midCat"/>
      </c:valAx>
      <c:valAx>
        <c:axId val="471875928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188704860168E-2"/>
              <c:y val="0.462837863720808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5536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155416779799075E-2"/>
          <c:y val="0.19087849244402888"/>
          <c:w val="0.20378007059462394"/>
          <c:h val="0.289851496129855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Rear mic for Delhi80#D80_B3</a:t>
            </a:r>
          </a:p>
        </c:rich>
      </c:tx>
      <c:layout>
        <c:manualLayout>
          <c:xMode val="edge"/>
          <c:yMode val="edge"/>
          <c:x val="0.20932641868042356"/>
          <c:y val="2.02703533365487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3"/>
          <c:order val="0"/>
          <c:tx>
            <c:strRef>
              <c:f>'Data #3'!$F$5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#3'!$F$6:$F$86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1"/>
          <c:tx>
            <c:strRef>
              <c:f>'Data #3'!$G$5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#3'!$G$6:$G$86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2"/>
          <c:tx>
            <c:strRef>
              <c:f>'Data #3'!$H$5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#3'!$H$6:$H$86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'Data #3'!$AX$5</c:f>
              <c:strCache>
                <c:ptCount val="1"/>
                <c:pt idx="0">
                  <c:v>Rear_HL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#3'!$AX$6:$AX$86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5"/>
          <c:tx>
            <c:strRef>
              <c:f>'Data #3'!$AY$5</c:f>
              <c:strCache>
                <c:ptCount val="1"/>
                <c:pt idx="0">
                  <c:v>Rear_HR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#3'!$AY$6:$AY$86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6"/>
          <c:tx>
            <c:strRef>
              <c:f>'Data #3'!$AZ$5</c:f>
              <c:strCache>
                <c:ptCount val="1"/>
                <c:pt idx="0">
                  <c:v>Rear_L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#3'!$AZ$6:$AZ$86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76712"/>
        <c:axId val="471877104"/>
      </c:scatterChart>
      <c:valAx>
        <c:axId val="471876712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803149606"/>
              <c:y val="0.93074327123296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7104"/>
        <c:crosses val="autoZero"/>
        <c:crossBetween val="midCat"/>
      </c:valAx>
      <c:valAx>
        <c:axId val="471877104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188704860168E-2"/>
              <c:y val="0.462837863720808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6712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155416779799075E-2"/>
          <c:y val="0.19087849244402888"/>
          <c:w val="0.22582047244094491"/>
          <c:h val="0.255909892436296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Rear mic for Delhi80#D80_B4</a:t>
            </a:r>
          </a:p>
        </c:rich>
      </c:tx>
      <c:layout>
        <c:manualLayout>
          <c:xMode val="edge"/>
          <c:yMode val="edge"/>
          <c:x val="0.20932641868042356"/>
          <c:y val="2.02703533365487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3"/>
          <c:order val="0"/>
          <c:tx>
            <c:strRef>
              <c:f>'Data #4'!$F$5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#4'!$F$6:$F$86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1"/>
          <c:tx>
            <c:strRef>
              <c:f>'Data #4'!$G$5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#4'!$G$6:$G$86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2"/>
          <c:tx>
            <c:strRef>
              <c:f>'Data #4'!$H$5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#4'!$H$6:$H$86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'Data #4'!$AX$5</c:f>
              <c:strCache>
                <c:ptCount val="1"/>
                <c:pt idx="0">
                  <c:v>Rear_HL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#4'!$AX$6:$AX$86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5"/>
          <c:tx>
            <c:strRef>
              <c:f>'Data #4'!$AY$5</c:f>
              <c:strCache>
                <c:ptCount val="1"/>
                <c:pt idx="0">
                  <c:v>Rear_HR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#4'!$AY$6:$AY$86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6"/>
          <c:tx>
            <c:strRef>
              <c:f>'Data #4'!$AZ$5</c:f>
              <c:strCache>
                <c:ptCount val="1"/>
                <c:pt idx="0">
                  <c:v>Rear_L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#4'!$AZ$6:$AZ$86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77888"/>
        <c:axId val="471878280"/>
      </c:scatterChart>
      <c:valAx>
        <c:axId val="47187788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803149606"/>
              <c:y val="0.93074327123296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8280"/>
        <c:crosses val="autoZero"/>
        <c:crossBetween val="midCat"/>
      </c:valAx>
      <c:valAx>
        <c:axId val="471878280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188704860168E-2"/>
              <c:y val="0.462837863720808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7888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155416779799075E-2"/>
          <c:y val="0.19087849244402888"/>
          <c:w val="0.17203453706217756"/>
          <c:h val="0.255909892436296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OPL Rear mic for Delhi80#D80_B5</a:t>
            </a:r>
          </a:p>
        </c:rich>
      </c:tx>
      <c:layout>
        <c:manualLayout>
          <c:xMode val="edge"/>
          <c:yMode val="edge"/>
          <c:x val="0.20932641868042356"/>
          <c:y val="2.02703533365487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879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3"/>
          <c:order val="0"/>
          <c:tx>
            <c:strRef>
              <c:f>'Data #5'!$F$5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#5'!$F$6:$F$86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4"/>
          <c:order val="1"/>
          <c:tx>
            <c:strRef>
              <c:f>'Data #5'!$G$5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#5'!$G$6:$G$86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5"/>
          <c:order val="2"/>
          <c:tx>
            <c:strRef>
              <c:f>'Data #5'!$H$5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#5'!$H$6:$H$86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6"/>
          <c:order val="3"/>
          <c:tx>
            <c:v>OPL limits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#5'!$AN$6:$AN$86</c:f>
              <c:numCache>
                <c:formatCode>General</c:formatCode>
                <c:ptCount val="8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'Data #5'!$AX$5</c:f>
              <c:strCache>
                <c:ptCount val="1"/>
                <c:pt idx="0">
                  <c:v>Rear_HL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#5'!$AX$6:$AX$86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5"/>
          <c:tx>
            <c:strRef>
              <c:f>'Data #5'!$AY$5</c:f>
              <c:strCache>
                <c:ptCount val="1"/>
                <c:pt idx="0">
                  <c:v>Rear_HR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#5'!$AY$6:$AY$86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6"/>
          <c:tx>
            <c:strRef>
              <c:f>'Data #5'!$AZ$5</c:f>
              <c:strCache>
                <c:ptCount val="1"/>
                <c:pt idx="0">
                  <c:v>Rear_L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#5'!$AZ$6:$AZ$86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79064"/>
        <c:axId val="473274464"/>
      </c:scatterChart>
      <c:valAx>
        <c:axId val="471879064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803149606"/>
              <c:y val="0.930743271232967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274464"/>
        <c:crosses val="autoZero"/>
        <c:crossBetween val="midCat"/>
      </c:valAx>
      <c:valAx>
        <c:axId val="473274464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OPL [dB]</a:t>
                </a:r>
              </a:p>
            </c:rich>
          </c:tx>
          <c:layout>
            <c:manualLayout>
              <c:xMode val="edge"/>
              <c:yMode val="edge"/>
              <c:x val="1.2435188704860168E-2"/>
              <c:y val="0.462837863720808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79064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155416779799075E-2"/>
          <c:y val="0.19087849244402888"/>
          <c:w val="0.20513081726853108"/>
          <c:h val="0.255909892436296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FOG50</a:t>
            </a:r>
            <a:r>
              <a:rPr lang="en-US" baseline="0"/>
              <a:t> &amp; FOG-20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'Data #1'!$K$5</c:f>
              <c:strCache>
                <c:ptCount val="1"/>
                <c:pt idx="0">
                  <c:v>Front_FOG50Resp-20 dB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#1'!$K$6:$K$86</c:f>
              <c:numCache>
                <c:formatCode>General</c:formatCode>
                <c:ptCount val="81"/>
                <c:pt idx="0">
                  <c:v>27.59</c:v>
                </c:pt>
                <c:pt idx="1">
                  <c:v>28.01</c:v>
                </c:pt>
                <c:pt idx="2">
                  <c:v>28.38</c:v>
                </c:pt>
                <c:pt idx="3">
                  <c:v>28.83</c:v>
                </c:pt>
                <c:pt idx="4">
                  <c:v>29.26</c:v>
                </c:pt>
                <c:pt idx="5">
                  <c:v>29.61</c:v>
                </c:pt>
                <c:pt idx="6">
                  <c:v>30.15</c:v>
                </c:pt>
                <c:pt idx="7">
                  <c:v>30.74</c:v>
                </c:pt>
                <c:pt idx="8">
                  <c:v>31.19</c:v>
                </c:pt>
                <c:pt idx="9">
                  <c:v>31.72</c:v>
                </c:pt>
                <c:pt idx="10">
                  <c:v>32.1</c:v>
                </c:pt>
                <c:pt idx="11">
                  <c:v>32.46</c:v>
                </c:pt>
                <c:pt idx="12">
                  <c:v>32.799999999999997</c:v>
                </c:pt>
                <c:pt idx="13">
                  <c:v>33.1</c:v>
                </c:pt>
                <c:pt idx="14">
                  <c:v>33.380000000000003</c:v>
                </c:pt>
                <c:pt idx="15">
                  <c:v>33.76</c:v>
                </c:pt>
                <c:pt idx="16">
                  <c:v>34.07</c:v>
                </c:pt>
                <c:pt idx="17">
                  <c:v>34.549999999999997</c:v>
                </c:pt>
                <c:pt idx="18">
                  <c:v>34.94</c:v>
                </c:pt>
                <c:pt idx="19">
                  <c:v>35.46</c:v>
                </c:pt>
                <c:pt idx="20">
                  <c:v>35.89</c:v>
                </c:pt>
                <c:pt idx="21">
                  <c:v>36.49</c:v>
                </c:pt>
                <c:pt idx="22">
                  <c:v>36.840000000000003</c:v>
                </c:pt>
                <c:pt idx="23">
                  <c:v>37.14</c:v>
                </c:pt>
                <c:pt idx="24">
                  <c:v>37.54</c:v>
                </c:pt>
                <c:pt idx="25">
                  <c:v>37.76</c:v>
                </c:pt>
                <c:pt idx="26">
                  <c:v>38</c:v>
                </c:pt>
                <c:pt idx="27">
                  <c:v>38.46</c:v>
                </c:pt>
                <c:pt idx="28">
                  <c:v>38.69</c:v>
                </c:pt>
                <c:pt idx="29">
                  <c:v>38.700000000000003</c:v>
                </c:pt>
                <c:pt idx="30">
                  <c:v>38.979999999999997</c:v>
                </c:pt>
                <c:pt idx="31">
                  <c:v>39.21</c:v>
                </c:pt>
                <c:pt idx="32">
                  <c:v>39.4</c:v>
                </c:pt>
                <c:pt idx="33">
                  <c:v>39.94</c:v>
                </c:pt>
                <c:pt idx="34">
                  <c:v>40.39</c:v>
                </c:pt>
                <c:pt idx="35">
                  <c:v>40.799999999999997</c:v>
                </c:pt>
                <c:pt idx="36">
                  <c:v>41.97</c:v>
                </c:pt>
                <c:pt idx="37">
                  <c:v>43.55</c:v>
                </c:pt>
                <c:pt idx="38">
                  <c:v>45.1</c:v>
                </c:pt>
                <c:pt idx="39">
                  <c:v>46.62</c:v>
                </c:pt>
                <c:pt idx="40">
                  <c:v>47.42</c:v>
                </c:pt>
                <c:pt idx="41">
                  <c:v>47.67</c:v>
                </c:pt>
                <c:pt idx="42">
                  <c:v>47.25</c:v>
                </c:pt>
                <c:pt idx="43">
                  <c:v>46.66</c:v>
                </c:pt>
                <c:pt idx="44">
                  <c:v>46.26</c:v>
                </c:pt>
                <c:pt idx="45">
                  <c:v>46.28</c:v>
                </c:pt>
                <c:pt idx="46">
                  <c:v>45.63</c:v>
                </c:pt>
                <c:pt idx="47">
                  <c:v>45.02</c:v>
                </c:pt>
                <c:pt idx="48">
                  <c:v>44.82</c:v>
                </c:pt>
                <c:pt idx="49">
                  <c:v>44.95</c:v>
                </c:pt>
                <c:pt idx="50">
                  <c:v>45.47</c:v>
                </c:pt>
                <c:pt idx="51">
                  <c:v>46.92</c:v>
                </c:pt>
                <c:pt idx="52">
                  <c:v>48.62</c:v>
                </c:pt>
                <c:pt idx="53">
                  <c:v>52.2</c:v>
                </c:pt>
                <c:pt idx="54">
                  <c:v>55.44</c:v>
                </c:pt>
                <c:pt idx="55">
                  <c:v>55.19</c:v>
                </c:pt>
                <c:pt idx="56">
                  <c:v>52.32</c:v>
                </c:pt>
                <c:pt idx="57">
                  <c:v>50.04</c:v>
                </c:pt>
                <c:pt idx="58">
                  <c:v>48.27</c:v>
                </c:pt>
                <c:pt idx="59">
                  <c:v>47.23</c:v>
                </c:pt>
                <c:pt idx="60">
                  <c:v>47.04</c:v>
                </c:pt>
                <c:pt idx="61">
                  <c:v>47.97</c:v>
                </c:pt>
                <c:pt idx="62">
                  <c:v>50.48</c:v>
                </c:pt>
                <c:pt idx="63">
                  <c:v>50.61</c:v>
                </c:pt>
                <c:pt idx="64">
                  <c:v>45.93</c:v>
                </c:pt>
                <c:pt idx="65">
                  <c:v>44.04</c:v>
                </c:pt>
                <c:pt idx="66">
                  <c:v>45.29</c:v>
                </c:pt>
                <c:pt idx="67">
                  <c:v>47.39</c:v>
                </c:pt>
                <c:pt idx="68">
                  <c:v>42.65</c:v>
                </c:pt>
                <c:pt idx="69">
                  <c:v>39.07</c:v>
                </c:pt>
                <c:pt idx="70">
                  <c:v>39.18</c:v>
                </c:pt>
                <c:pt idx="71">
                  <c:v>44.48</c:v>
                </c:pt>
                <c:pt idx="72">
                  <c:v>36.840000000000003</c:v>
                </c:pt>
                <c:pt idx="73">
                  <c:v>30.62</c:v>
                </c:pt>
                <c:pt idx="74">
                  <c:v>24.11</c:v>
                </c:pt>
                <c:pt idx="75">
                  <c:v>-33.340000000000003</c:v>
                </c:pt>
                <c:pt idx="76">
                  <c:v>-35.869999999999997</c:v>
                </c:pt>
                <c:pt idx="77">
                  <c:v>-37.369999999999997</c:v>
                </c:pt>
                <c:pt idx="78">
                  <c:v>-43.27</c:v>
                </c:pt>
                <c:pt idx="79">
                  <c:v>-48.43</c:v>
                </c:pt>
                <c:pt idx="80">
                  <c:v>-33.99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'Data #1'!$L$5</c:f>
              <c:strCache>
                <c:ptCount val="1"/>
                <c:pt idx="0">
                  <c:v>Rear_FOG50Resp-20 dB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#1'!$L$6:$L$86</c:f>
              <c:numCache>
                <c:formatCode>General</c:formatCode>
                <c:ptCount val="81"/>
                <c:pt idx="0">
                  <c:v>27.99</c:v>
                </c:pt>
                <c:pt idx="1">
                  <c:v>28.3</c:v>
                </c:pt>
                <c:pt idx="2">
                  <c:v>28.77</c:v>
                </c:pt>
                <c:pt idx="3">
                  <c:v>29.14</c:v>
                </c:pt>
                <c:pt idx="4">
                  <c:v>29.55</c:v>
                </c:pt>
                <c:pt idx="5">
                  <c:v>29.79</c:v>
                </c:pt>
                <c:pt idx="6">
                  <c:v>30.39</c:v>
                </c:pt>
                <c:pt idx="7">
                  <c:v>31.1</c:v>
                </c:pt>
                <c:pt idx="8">
                  <c:v>31.27</c:v>
                </c:pt>
                <c:pt idx="9">
                  <c:v>31.98</c:v>
                </c:pt>
                <c:pt idx="10">
                  <c:v>32.35</c:v>
                </c:pt>
                <c:pt idx="11">
                  <c:v>32.6</c:v>
                </c:pt>
                <c:pt idx="12">
                  <c:v>32.979999999999997</c:v>
                </c:pt>
                <c:pt idx="13">
                  <c:v>33.299999999999997</c:v>
                </c:pt>
                <c:pt idx="14">
                  <c:v>33.6</c:v>
                </c:pt>
                <c:pt idx="15">
                  <c:v>33.79</c:v>
                </c:pt>
                <c:pt idx="16">
                  <c:v>34.159999999999997</c:v>
                </c:pt>
                <c:pt idx="17">
                  <c:v>34.5</c:v>
                </c:pt>
                <c:pt idx="18">
                  <c:v>34.909999999999997</c:v>
                </c:pt>
                <c:pt idx="19">
                  <c:v>35.32</c:v>
                </c:pt>
                <c:pt idx="20">
                  <c:v>35.82</c:v>
                </c:pt>
                <c:pt idx="21">
                  <c:v>36.229999999999997</c:v>
                </c:pt>
                <c:pt idx="22">
                  <c:v>36.630000000000003</c:v>
                </c:pt>
                <c:pt idx="23">
                  <c:v>37.01</c:v>
                </c:pt>
                <c:pt idx="24">
                  <c:v>37.31</c:v>
                </c:pt>
                <c:pt idx="25">
                  <c:v>37.6</c:v>
                </c:pt>
                <c:pt idx="26">
                  <c:v>37.86</c:v>
                </c:pt>
                <c:pt idx="27">
                  <c:v>38.090000000000003</c:v>
                </c:pt>
                <c:pt idx="28">
                  <c:v>38.44</c:v>
                </c:pt>
                <c:pt idx="29">
                  <c:v>38.64</c:v>
                </c:pt>
                <c:pt idx="30">
                  <c:v>38.700000000000003</c:v>
                </c:pt>
                <c:pt idx="31">
                  <c:v>38.86</c:v>
                </c:pt>
                <c:pt idx="32">
                  <c:v>39.08</c:v>
                </c:pt>
                <c:pt idx="33">
                  <c:v>39.700000000000003</c:v>
                </c:pt>
                <c:pt idx="34">
                  <c:v>39.97</c:v>
                </c:pt>
                <c:pt idx="35">
                  <c:v>40.36</c:v>
                </c:pt>
                <c:pt idx="36">
                  <c:v>41.56</c:v>
                </c:pt>
                <c:pt idx="37">
                  <c:v>43.09</c:v>
                </c:pt>
                <c:pt idx="38">
                  <c:v>44.74</c:v>
                </c:pt>
                <c:pt idx="39">
                  <c:v>46.18</c:v>
                </c:pt>
                <c:pt idx="40">
                  <c:v>46.92</c:v>
                </c:pt>
                <c:pt idx="41">
                  <c:v>47.13</c:v>
                </c:pt>
                <c:pt idx="42">
                  <c:v>46.86</c:v>
                </c:pt>
                <c:pt idx="43">
                  <c:v>46.04</c:v>
                </c:pt>
                <c:pt idx="44">
                  <c:v>45.75</c:v>
                </c:pt>
                <c:pt idx="45">
                  <c:v>45.56</c:v>
                </c:pt>
                <c:pt idx="46">
                  <c:v>45.15</c:v>
                </c:pt>
                <c:pt idx="47">
                  <c:v>44.38</c:v>
                </c:pt>
                <c:pt idx="48">
                  <c:v>44.23</c:v>
                </c:pt>
                <c:pt idx="49">
                  <c:v>44.26</c:v>
                </c:pt>
                <c:pt idx="50">
                  <c:v>44.62</c:v>
                </c:pt>
                <c:pt idx="51">
                  <c:v>45.88</c:v>
                </c:pt>
                <c:pt idx="52">
                  <c:v>47.99</c:v>
                </c:pt>
                <c:pt idx="53">
                  <c:v>51.19</c:v>
                </c:pt>
                <c:pt idx="54">
                  <c:v>54.16</c:v>
                </c:pt>
                <c:pt idx="55">
                  <c:v>54.21</c:v>
                </c:pt>
                <c:pt idx="56">
                  <c:v>51.23</c:v>
                </c:pt>
                <c:pt idx="57">
                  <c:v>48.94</c:v>
                </c:pt>
                <c:pt idx="58">
                  <c:v>47.64</c:v>
                </c:pt>
                <c:pt idx="59">
                  <c:v>46.43</c:v>
                </c:pt>
                <c:pt idx="60">
                  <c:v>46.12</c:v>
                </c:pt>
                <c:pt idx="61">
                  <c:v>47.17</c:v>
                </c:pt>
                <c:pt idx="62">
                  <c:v>49.54</c:v>
                </c:pt>
                <c:pt idx="63">
                  <c:v>49.91</c:v>
                </c:pt>
                <c:pt idx="64">
                  <c:v>45.38</c:v>
                </c:pt>
                <c:pt idx="65">
                  <c:v>43.8</c:v>
                </c:pt>
                <c:pt idx="66">
                  <c:v>45.44</c:v>
                </c:pt>
                <c:pt idx="67">
                  <c:v>47.46</c:v>
                </c:pt>
                <c:pt idx="68">
                  <c:v>42.88</c:v>
                </c:pt>
                <c:pt idx="69">
                  <c:v>39.119999999999997</c:v>
                </c:pt>
                <c:pt idx="70">
                  <c:v>39.22</c:v>
                </c:pt>
                <c:pt idx="71">
                  <c:v>44.47</c:v>
                </c:pt>
                <c:pt idx="72">
                  <c:v>36.58</c:v>
                </c:pt>
                <c:pt idx="73">
                  <c:v>30.03</c:v>
                </c:pt>
                <c:pt idx="74">
                  <c:v>22.44</c:v>
                </c:pt>
                <c:pt idx="75">
                  <c:v>-32.75</c:v>
                </c:pt>
                <c:pt idx="76">
                  <c:v>-31.76</c:v>
                </c:pt>
                <c:pt idx="77">
                  <c:v>-49.58</c:v>
                </c:pt>
                <c:pt idx="78">
                  <c:v>-49.46</c:v>
                </c:pt>
                <c:pt idx="79">
                  <c:v>-38.76</c:v>
                </c:pt>
                <c:pt idx="80">
                  <c:v>-35.630000000000003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'Data #1'!$M$5</c:f>
              <c:strCache>
                <c:ptCount val="1"/>
                <c:pt idx="0">
                  <c:v>FOG50_Front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#1'!$M$6:$M$86</c:f>
              <c:numCache>
                <c:formatCode>General</c:formatCode>
                <c:ptCount val="81"/>
                <c:pt idx="0">
                  <c:v>-15.99</c:v>
                </c:pt>
                <c:pt idx="1">
                  <c:v>-15.29</c:v>
                </c:pt>
                <c:pt idx="2">
                  <c:v>-14.56</c:v>
                </c:pt>
                <c:pt idx="3">
                  <c:v>-14.3</c:v>
                </c:pt>
                <c:pt idx="4">
                  <c:v>-14.13</c:v>
                </c:pt>
                <c:pt idx="5">
                  <c:v>-13.2</c:v>
                </c:pt>
                <c:pt idx="6">
                  <c:v>-13.37</c:v>
                </c:pt>
                <c:pt idx="7">
                  <c:v>-12.63</c:v>
                </c:pt>
                <c:pt idx="8">
                  <c:v>-12.26</c:v>
                </c:pt>
                <c:pt idx="9">
                  <c:v>-12.15</c:v>
                </c:pt>
                <c:pt idx="10">
                  <c:v>-11.83</c:v>
                </c:pt>
                <c:pt idx="11">
                  <c:v>-11.25</c:v>
                </c:pt>
                <c:pt idx="12">
                  <c:v>-10.34</c:v>
                </c:pt>
                <c:pt idx="13">
                  <c:v>-9.16</c:v>
                </c:pt>
                <c:pt idx="14">
                  <c:v>-9.17</c:v>
                </c:pt>
                <c:pt idx="15">
                  <c:v>-8.44</c:v>
                </c:pt>
                <c:pt idx="16">
                  <c:v>-7.93</c:v>
                </c:pt>
                <c:pt idx="17">
                  <c:v>-7.38</c:v>
                </c:pt>
                <c:pt idx="18">
                  <c:v>-7.14</c:v>
                </c:pt>
                <c:pt idx="19">
                  <c:v>-6.49</c:v>
                </c:pt>
                <c:pt idx="20">
                  <c:v>-6.35</c:v>
                </c:pt>
                <c:pt idx="21">
                  <c:v>-5.64</c:v>
                </c:pt>
                <c:pt idx="22">
                  <c:v>-5.14</c:v>
                </c:pt>
                <c:pt idx="23">
                  <c:v>-4.92</c:v>
                </c:pt>
                <c:pt idx="24">
                  <c:v>-4.34</c:v>
                </c:pt>
                <c:pt idx="25">
                  <c:v>-4.42</c:v>
                </c:pt>
                <c:pt idx="26">
                  <c:v>-4.18</c:v>
                </c:pt>
                <c:pt idx="27">
                  <c:v>-3.82</c:v>
                </c:pt>
                <c:pt idx="28">
                  <c:v>-3.82</c:v>
                </c:pt>
                <c:pt idx="29">
                  <c:v>-3.73</c:v>
                </c:pt>
                <c:pt idx="30">
                  <c:v>-3.65</c:v>
                </c:pt>
                <c:pt idx="31">
                  <c:v>-3.55</c:v>
                </c:pt>
                <c:pt idx="32">
                  <c:v>-3.71</c:v>
                </c:pt>
                <c:pt idx="33">
                  <c:v>-3.14</c:v>
                </c:pt>
                <c:pt idx="34">
                  <c:v>-2.89</c:v>
                </c:pt>
                <c:pt idx="35">
                  <c:v>-3.17</c:v>
                </c:pt>
                <c:pt idx="36">
                  <c:v>-1.71</c:v>
                </c:pt>
                <c:pt idx="37">
                  <c:v>-0.62</c:v>
                </c:pt>
                <c:pt idx="38">
                  <c:v>0.49</c:v>
                </c:pt>
                <c:pt idx="39">
                  <c:v>2.2400000000000002</c:v>
                </c:pt>
                <c:pt idx="40">
                  <c:v>2.33</c:v>
                </c:pt>
                <c:pt idx="41">
                  <c:v>1.78</c:v>
                </c:pt>
                <c:pt idx="42">
                  <c:v>2.0299999999999998</c:v>
                </c:pt>
                <c:pt idx="43">
                  <c:v>0.39</c:v>
                </c:pt>
                <c:pt idx="44">
                  <c:v>1.2</c:v>
                </c:pt>
                <c:pt idx="45">
                  <c:v>0.54</c:v>
                </c:pt>
                <c:pt idx="46">
                  <c:v>1.02</c:v>
                </c:pt>
                <c:pt idx="47">
                  <c:v>1.06</c:v>
                </c:pt>
                <c:pt idx="48">
                  <c:v>1.89</c:v>
                </c:pt>
                <c:pt idx="49">
                  <c:v>1.61</c:v>
                </c:pt>
                <c:pt idx="50">
                  <c:v>2.81</c:v>
                </c:pt>
                <c:pt idx="51">
                  <c:v>4.82</c:v>
                </c:pt>
                <c:pt idx="52">
                  <c:v>7.36</c:v>
                </c:pt>
                <c:pt idx="53">
                  <c:v>11.37</c:v>
                </c:pt>
                <c:pt idx="54">
                  <c:v>15.09</c:v>
                </c:pt>
                <c:pt idx="55">
                  <c:v>15.71</c:v>
                </c:pt>
                <c:pt idx="56">
                  <c:v>13.57</c:v>
                </c:pt>
                <c:pt idx="57">
                  <c:v>11.72</c:v>
                </c:pt>
                <c:pt idx="58">
                  <c:v>10.32</c:v>
                </c:pt>
                <c:pt idx="59">
                  <c:v>9.91</c:v>
                </c:pt>
                <c:pt idx="60">
                  <c:v>10.33</c:v>
                </c:pt>
                <c:pt idx="61">
                  <c:v>11.97</c:v>
                </c:pt>
                <c:pt idx="62">
                  <c:v>15.32</c:v>
                </c:pt>
                <c:pt idx="63">
                  <c:v>16.350000000000001</c:v>
                </c:pt>
                <c:pt idx="64">
                  <c:v>12.43</c:v>
                </c:pt>
                <c:pt idx="65">
                  <c:v>10.82</c:v>
                </c:pt>
                <c:pt idx="66">
                  <c:v>12.76</c:v>
                </c:pt>
                <c:pt idx="67">
                  <c:v>14.97</c:v>
                </c:pt>
                <c:pt idx="68">
                  <c:v>10.61</c:v>
                </c:pt>
                <c:pt idx="69">
                  <c:v>6.66</c:v>
                </c:pt>
                <c:pt idx="70">
                  <c:v>6.84</c:v>
                </c:pt>
                <c:pt idx="71">
                  <c:v>11.87</c:v>
                </c:pt>
                <c:pt idx="72">
                  <c:v>3.96</c:v>
                </c:pt>
                <c:pt idx="73">
                  <c:v>-3.37</c:v>
                </c:pt>
                <c:pt idx="74">
                  <c:v>-10.039999999999999</c:v>
                </c:pt>
                <c:pt idx="75">
                  <c:v>-36.159999999999997</c:v>
                </c:pt>
                <c:pt idx="76">
                  <c:v>-38.42</c:v>
                </c:pt>
                <c:pt idx="77">
                  <c:v>-33.22</c:v>
                </c:pt>
                <c:pt idx="78">
                  <c:v>-37.61</c:v>
                </c:pt>
                <c:pt idx="79">
                  <c:v>-33.29</c:v>
                </c:pt>
                <c:pt idx="80">
                  <c:v>-44.6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'Data #1'!$N$5</c:f>
              <c:strCache>
                <c:ptCount val="1"/>
                <c:pt idx="0">
                  <c:v>FOG50_Rear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 #1'!$J$6:$J$86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#1'!$N$6:$N$86</c:f>
              <c:numCache>
                <c:formatCode>General</c:formatCode>
                <c:ptCount val="81"/>
                <c:pt idx="0">
                  <c:v>-16.84</c:v>
                </c:pt>
                <c:pt idx="1">
                  <c:v>-15.14</c:v>
                </c:pt>
                <c:pt idx="2">
                  <c:v>-14.13</c:v>
                </c:pt>
                <c:pt idx="3">
                  <c:v>-14.37</c:v>
                </c:pt>
                <c:pt idx="4">
                  <c:v>-13.79</c:v>
                </c:pt>
                <c:pt idx="5">
                  <c:v>-13.54</c:v>
                </c:pt>
                <c:pt idx="6">
                  <c:v>-13.27</c:v>
                </c:pt>
                <c:pt idx="7">
                  <c:v>-12.42</c:v>
                </c:pt>
                <c:pt idx="8">
                  <c:v>-12.04</c:v>
                </c:pt>
                <c:pt idx="9">
                  <c:v>-11.47</c:v>
                </c:pt>
                <c:pt idx="10">
                  <c:v>-11.11</c:v>
                </c:pt>
                <c:pt idx="11">
                  <c:v>-10.78</c:v>
                </c:pt>
                <c:pt idx="12">
                  <c:v>-9.9</c:v>
                </c:pt>
                <c:pt idx="13">
                  <c:v>-9.39</c:v>
                </c:pt>
                <c:pt idx="14">
                  <c:v>-9.06</c:v>
                </c:pt>
                <c:pt idx="15">
                  <c:v>-8.3000000000000007</c:v>
                </c:pt>
                <c:pt idx="16">
                  <c:v>-8.31</c:v>
                </c:pt>
                <c:pt idx="17">
                  <c:v>-7.69</c:v>
                </c:pt>
                <c:pt idx="18">
                  <c:v>-7.33</c:v>
                </c:pt>
                <c:pt idx="19">
                  <c:v>-6.91</c:v>
                </c:pt>
                <c:pt idx="20">
                  <c:v>-6.45</c:v>
                </c:pt>
                <c:pt idx="21">
                  <c:v>-6.34</c:v>
                </c:pt>
                <c:pt idx="22">
                  <c:v>-5.88</c:v>
                </c:pt>
                <c:pt idx="23">
                  <c:v>-5.16</c:v>
                </c:pt>
                <c:pt idx="24">
                  <c:v>-5.57</c:v>
                </c:pt>
                <c:pt idx="25">
                  <c:v>-5.19</c:v>
                </c:pt>
                <c:pt idx="26">
                  <c:v>-4.7699999999999996</c:v>
                </c:pt>
                <c:pt idx="27">
                  <c:v>-4.59</c:v>
                </c:pt>
                <c:pt idx="28">
                  <c:v>-4.5</c:v>
                </c:pt>
                <c:pt idx="29">
                  <c:v>-4.7699999999999996</c:v>
                </c:pt>
                <c:pt idx="30">
                  <c:v>-4.18</c:v>
                </c:pt>
                <c:pt idx="31">
                  <c:v>-4.59</c:v>
                </c:pt>
                <c:pt idx="32">
                  <c:v>-4.53</c:v>
                </c:pt>
                <c:pt idx="33">
                  <c:v>-4.03</c:v>
                </c:pt>
                <c:pt idx="34">
                  <c:v>-4.33</c:v>
                </c:pt>
                <c:pt idx="35">
                  <c:v>-3.89</c:v>
                </c:pt>
                <c:pt idx="36">
                  <c:v>-3.22</c:v>
                </c:pt>
                <c:pt idx="37">
                  <c:v>-1.87</c:v>
                </c:pt>
                <c:pt idx="38">
                  <c:v>-0.09</c:v>
                </c:pt>
                <c:pt idx="39">
                  <c:v>0.64</c:v>
                </c:pt>
                <c:pt idx="40">
                  <c:v>2.2000000000000002</c:v>
                </c:pt>
                <c:pt idx="41">
                  <c:v>1.75</c:v>
                </c:pt>
                <c:pt idx="42">
                  <c:v>0.37</c:v>
                </c:pt>
                <c:pt idx="43">
                  <c:v>-0.25</c:v>
                </c:pt>
                <c:pt idx="44">
                  <c:v>-0.56999999999999995</c:v>
                </c:pt>
                <c:pt idx="45">
                  <c:v>-0.82</c:v>
                </c:pt>
                <c:pt idx="46">
                  <c:v>-0.76</c:v>
                </c:pt>
                <c:pt idx="47">
                  <c:v>-0.26</c:v>
                </c:pt>
                <c:pt idx="48">
                  <c:v>-0.41</c:v>
                </c:pt>
                <c:pt idx="49">
                  <c:v>0.19</c:v>
                </c:pt>
                <c:pt idx="50">
                  <c:v>1.21</c:v>
                </c:pt>
                <c:pt idx="51">
                  <c:v>2.73</c:v>
                </c:pt>
                <c:pt idx="52">
                  <c:v>5.7</c:v>
                </c:pt>
                <c:pt idx="53">
                  <c:v>9.49</c:v>
                </c:pt>
                <c:pt idx="54">
                  <c:v>13.2</c:v>
                </c:pt>
                <c:pt idx="55">
                  <c:v>13.38</c:v>
                </c:pt>
                <c:pt idx="56">
                  <c:v>11.42</c:v>
                </c:pt>
                <c:pt idx="57">
                  <c:v>9.48</c:v>
                </c:pt>
                <c:pt idx="58">
                  <c:v>8.51</c:v>
                </c:pt>
                <c:pt idx="59">
                  <c:v>7.97</c:v>
                </c:pt>
                <c:pt idx="60">
                  <c:v>8.43</c:v>
                </c:pt>
                <c:pt idx="61">
                  <c:v>10.06</c:v>
                </c:pt>
                <c:pt idx="62">
                  <c:v>12.92</c:v>
                </c:pt>
                <c:pt idx="63">
                  <c:v>14.01</c:v>
                </c:pt>
                <c:pt idx="64">
                  <c:v>10.35</c:v>
                </c:pt>
                <c:pt idx="65">
                  <c:v>9.48</c:v>
                </c:pt>
                <c:pt idx="66">
                  <c:v>11.58</c:v>
                </c:pt>
                <c:pt idx="67">
                  <c:v>14.41</c:v>
                </c:pt>
                <c:pt idx="68">
                  <c:v>10.119999999999999</c:v>
                </c:pt>
                <c:pt idx="69">
                  <c:v>6.69</c:v>
                </c:pt>
                <c:pt idx="70">
                  <c:v>6.95</c:v>
                </c:pt>
                <c:pt idx="71">
                  <c:v>11.81</c:v>
                </c:pt>
                <c:pt idx="72">
                  <c:v>3.54</c:v>
                </c:pt>
                <c:pt idx="73">
                  <c:v>-3.8</c:v>
                </c:pt>
                <c:pt idx="74">
                  <c:v>-11.03</c:v>
                </c:pt>
                <c:pt idx="75">
                  <c:v>-37.35</c:v>
                </c:pt>
                <c:pt idx="76">
                  <c:v>-41.71</c:v>
                </c:pt>
                <c:pt idx="77">
                  <c:v>-35.49</c:v>
                </c:pt>
                <c:pt idx="78">
                  <c:v>-40.61</c:v>
                </c:pt>
                <c:pt idx="79">
                  <c:v>-46.67</c:v>
                </c:pt>
                <c:pt idx="80">
                  <c:v>-56.22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74856"/>
        <c:axId val="473275640"/>
      </c:scatterChart>
      <c:valAx>
        <c:axId val="473274856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5640"/>
        <c:crosses val="autoZero"/>
        <c:crossBetween val="midCat"/>
      </c:valAx>
      <c:valAx>
        <c:axId val="473275640"/>
        <c:scaling>
          <c:orientation val="minMax"/>
          <c:max val="8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4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FOG50</a:t>
            </a:r>
            <a:r>
              <a:rPr lang="en-US" baseline="0"/>
              <a:t> &amp; FOG-20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'Data #2'!$K$5</c:f>
              <c:strCache>
                <c:ptCount val="1"/>
                <c:pt idx="0">
                  <c:v>Front_FOG50Resp-20 dB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#2'!$K$6:$K$86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'Data #2'!$L$5</c:f>
              <c:strCache>
                <c:ptCount val="1"/>
                <c:pt idx="0">
                  <c:v>Rear_FOG50Resp-20 dB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#2'!$L$6:$L$86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'Data #2'!$M$5</c:f>
              <c:strCache>
                <c:ptCount val="1"/>
                <c:pt idx="0">
                  <c:v>FOG50_Front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#2'!$M$6:$M$86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'Data #2'!$N$5</c:f>
              <c:strCache>
                <c:ptCount val="1"/>
                <c:pt idx="0">
                  <c:v>FOG50_Rear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 #2'!$J$6:$J$86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#2'!$N$6:$N$86</c:f>
              <c:numCache>
                <c:formatCode>General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76032"/>
        <c:axId val="473276816"/>
      </c:scatterChart>
      <c:valAx>
        <c:axId val="473276032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6816"/>
        <c:crosses val="autoZero"/>
        <c:crossBetween val="midCat"/>
      </c:valAx>
      <c:valAx>
        <c:axId val="473276816"/>
        <c:scaling>
          <c:orientation val="minMax"/>
          <c:max val="8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6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FOG50</a:t>
            </a:r>
            <a:r>
              <a:rPr lang="en-US" baseline="0"/>
              <a:t> &amp; FOG-20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'Data #3'!$K$5</c:f>
              <c:strCache>
                <c:ptCount val="1"/>
                <c:pt idx="0">
                  <c:v>Front_FOG50Resp-20 dB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#3'!$K$6:$K$86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'Data #3'!$L$5</c:f>
              <c:strCache>
                <c:ptCount val="1"/>
                <c:pt idx="0">
                  <c:v>Rear_FOG50Resp-20 dB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#3'!$L$6:$L$86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'Data #3'!$M$5</c:f>
              <c:strCache>
                <c:ptCount val="1"/>
                <c:pt idx="0">
                  <c:v>FOG50_Front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#3'!$M$6:$M$86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'Data #3'!$N$5</c:f>
              <c:strCache>
                <c:ptCount val="1"/>
                <c:pt idx="0">
                  <c:v>FOG50_Rear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#3'!$N$6:$N$86</c:f>
              <c:numCache>
                <c:formatCode>General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77208"/>
        <c:axId val="473277992"/>
      </c:scatterChart>
      <c:valAx>
        <c:axId val="473277208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7992"/>
        <c:crosses val="autoZero"/>
        <c:crossBetween val="midCat"/>
      </c:valAx>
      <c:valAx>
        <c:axId val="473277992"/>
        <c:scaling>
          <c:orientation val="minMax"/>
          <c:max val="8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7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FOG50</a:t>
            </a:r>
            <a:r>
              <a:rPr lang="en-US" baseline="0"/>
              <a:t> &amp; FOG-20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'Data #4'!$K$5</c:f>
              <c:strCache>
                <c:ptCount val="1"/>
                <c:pt idx="0">
                  <c:v>Front_FOG50Resp-20 dB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#4'!$K$6:$K$86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'Data #4'!$L$5</c:f>
              <c:strCache>
                <c:ptCount val="1"/>
                <c:pt idx="0">
                  <c:v>Rear_FOG50Resp-20 dB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#4'!$L$6:$L$86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'Data #4'!$M$5</c:f>
              <c:strCache>
                <c:ptCount val="1"/>
                <c:pt idx="0">
                  <c:v>FOG50_Front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#4'!$M$6:$M$86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'Data #4'!$N$5</c:f>
              <c:strCache>
                <c:ptCount val="1"/>
                <c:pt idx="0">
                  <c:v>FOG50_Rear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 #4'!$J$6:$J$86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#4'!$N$6:$N$86</c:f>
              <c:numCache>
                <c:formatCode>General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78384"/>
        <c:axId val="473279168"/>
      </c:scatterChart>
      <c:valAx>
        <c:axId val="473278384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9168"/>
        <c:crosses val="autoZero"/>
        <c:crossBetween val="midCat"/>
      </c:valAx>
      <c:valAx>
        <c:axId val="473279168"/>
        <c:scaling>
          <c:orientation val="minMax"/>
          <c:max val="8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FOG50</a:t>
            </a:r>
            <a:r>
              <a:rPr lang="en-US" baseline="0"/>
              <a:t> &amp; FOG-20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'Data #5'!$K$5</c:f>
              <c:strCache>
                <c:ptCount val="1"/>
                <c:pt idx="0">
                  <c:v>Front_FOG50Resp-20 dB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#5'!$K$6:$K$86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'Data #5'!$L$5</c:f>
              <c:strCache>
                <c:ptCount val="1"/>
                <c:pt idx="0">
                  <c:v>Rear_FOG50Resp-20 dB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#5'!$L$6:$L$86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'Data #5'!$M$5</c:f>
              <c:strCache>
                <c:ptCount val="1"/>
                <c:pt idx="0">
                  <c:v>FOG50_Front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#5'!$M$6:$M$86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'Data #5'!$N$5</c:f>
              <c:strCache>
                <c:ptCount val="1"/>
                <c:pt idx="0">
                  <c:v>FOG50_Rear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 #5'!$J$6:$J$86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#5'!$N$6:$N$86</c:f>
              <c:numCache>
                <c:formatCode>General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79560"/>
        <c:axId val="473280344"/>
      </c:scatterChart>
      <c:valAx>
        <c:axId val="473279560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80344"/>
        <c:crosses val="autoZero"/>
        <c:crossBetween val="midCat"/>
      </c:valAx>
      <c:valAx>
        <c:axId val="473280344"/>
        <c:scaling>
          <c:orientation val="minMax"/>
          <c:max val="8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9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OPL Max/Min  Delhi80</a:t>
            </a:r>
          </a:p>
        </c:rich>
      </c:tx>
      <c:layout>
        <c:manualLayout>
          <c:xMode val="edge"/>
          <c:yMode val="edge"/>
          <c:x val="0.20932636387612555"/>
          <c:y val="2.02704181861126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062389742265822E-2"/>
          <c:y val="8.5887062234375533E-2"/>
          <c:w val="0.91384944709780125"/>
          <c:h val="0.842700392053503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#3'!$AX$5</c:f>
              <c:strCache>
                <c:ptCount val="1"/>
                <c:pt idx="0">
                  <c:v>Rear_HL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#3'!$AX$6:$AX$86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1"/>
          <c:order val="1"/>
          <c:tx>
            <c:strRef>
              <c:f>'Data #3'!$AY$5</c:f>
              <c:strCache>
                <c:ptCount val="1"/>
                <c:pt idx="0">
                  <c:v>Rear_HR</c:v>
                </c:pt>
              </c:strCache>
            </c:strRef>
          </c:tx>
          <c:spPr>
            <a:ln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#3'!$AY$6:$AY$86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"/>
          <c:order val="2"/>
          <c:tx>
            <c:strRef>
              <c:f>'Data #3'!$AZ$5</c:f>
              <c:strCache>
                <c:ptCount val="1"/>
                <c:pt idx="0">
                  <c:v>Rear_L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#3'!$AZ$6:$AZ$86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3"/>
          <c:order val="3"/>
          <c:tx>
            <c:strRef>
              <c:f>'Average data'!$AH$5</c:f>
              <c:strCache>
                <c:ptCount val="1"/>
                <c:pt idx="0">
                  <c:v>10Front_HLMax.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data'!$AH$6:$AH$86</c:f>
              <c:numCache>
                <c:formatCode>General</c:formatCode>
                <c:ptCount val="81"/>
                <c:pt idx="0">
                  <c:v>-54.74</c:v>
                </c:pt>
                <c:pt idx="1">
                  <c:v>-61.16</c:v>
                </c:pt>
                <c:pt idx="2">
                  <c:v>-60.58</c:v>
                </c:pt>
                <c:pt idx="3">
                  <c:v>-63.21</c:v>
                </c:pt>
                <c:pt idx="4">
                  <c:v>-55.86</c:v>
                </c:pt>
                <c:pt idx="5">
                  <c:v>-55.54</c:v>
                </c:pt>
                <c:pt idx="6">
                  <c:v>-59.12</c:v>
                </c:pt>
                <c:pt idx="7">
                  <c:v>-52.06</c:v>
                </c:pt>
                <c:pt idx="8">
                  <c:v>-56.53</c:v>
                </c:pt>
                <c:pt idx="9">
                  <c:v>-64.66</c:v>
                </c:pt>
                <c:pt idx="10">
                  <c:v>-50.72</c:v>
                </c:pt>
                <c:pt idx="11">
                  <c:v>-50.22</c:v>
                </c:pt>
                <c:pt idx="12">
                  <c:v>-63.98</c:v>
                </c:pt>
                <c:pt idx="13">
                  <c:v>-54.42</c:v>
                </c:pt>
                <c:pt idx="14">
                  <c:v>-52.77</c:v>
                </c:pt>
                <c:pt idx="15">
                  <c:v>-58.55</c:v>
                </c:pt>
                <c:pt idx="16">
                  <c:v>-50.86</c:v>
                </c:pt>
                <c:pt idx="17">
                  <c:v>-55.92</c:v>
                </c:pt>
                <c:pt idx="18">
                  <c:v>-52.25</c:v>
                </c:pt>
                <c:pt idx="19">
                  <c:v>-53.26</c:v>
                </c:pt>
                <c:pt idx="20">
                  <c:v>-45.61</c:v>
                </c:pt>
                <c:pt idx="21">
                  <c:v>-47.58</c:v>
                </c:pt>
                <c:pt idx="22">
                  <c:v>-43.99</c:v>
                </c:pt>
                <c:pt idx="23">
                  <c:v>-44.83</c:v>
                </c:pt>
                <c:pt idx="24">
                  <c:v>-41.6</c:v>
                </c:pt>
                <c:pt idx="25">
                  <c:v>-44.2</c:v>
                </c:pt>
                <c:pt idx="26">
                  <c:v>-43.8</c:v>
                </c:pt>
                <c:pt idx="27">
                  <c:v>-43.21</c:v>
                </c:pt>
                <c:pt idx="28">
                  <c:v>-41.39</c:v>
                </c:pt>
                <c:pt idx="29">
                  <c:v>-42.98</c:v>
                </c:pt>
                <c:pt idx="30">
                  <c:v>-45.84</c:v>
                </c:pt>
                <c:pt idx="31">
                  <c:v>-45.67</c:v>
                </c:pt>
                <c:pt idx="32">
                  <c:v>-43.47</c:v>
                </c:pt>
                <c:pt idx="33">
                  <c:v>-46.89</c:v>
                </c:pt>
                <c:pt idx="34">
                  <c:v>-43.04</c:v>
                </c:pt>
                <c:pt idx="35">
                  <c:v>-45.31</c:v>
                </c:pt>
                <c:pt idx="36">
                  <c:v>-44.66</c:v>
                </c:pt>
                <c:pt idx="37">
                  <c:v>-42.01</c:v>
                </c:pt>
                <c:pt idx="38">
                  <c:v>-46.16</c:v>
                </c:pt>
                <c:pt idx="39">
                  <c:v>-49.05</c:v>
                </c:pt>
                <c:pt idx="40">
                  <c:v>-48.19</c:v>
                </c:pt>
                <c:pt idx="41">
                  <c:v>-44.19</c:v>
                </c:pt>
                <c:pt idx="42">
                  <c:v>-44.96</c:v>
                </c:pt>
                <c:pt idx="43">
                  <c:v>-45.02</c:v>
                </c:pt>
                <c:pt idx="44">
                  <c:v>-44.91</c:v>
                </c:pt>
                <c:pt idx="45">
                  <c:v>-41.42</c:v>
                </c:pt>
                <c:pt idx="46">
                  <c:v>-41.7</c:v>
                </c:pt>
                <c:pt idx="47">
                  <c:v>-45.29</c:v>
                </c:pt>
                <c:pt idx="48">
                  <c:v>-47.42</c:v>
                </c:pt>
                <c:pt idx="49">
                  <c:v>-42.57</c:v>
                </c:pt>
                <c:pt idx="50">
                  <c:v>-36.64</c:v>
                </c:pt>
                <c:pt idx="51">
                  <c:v>-32.450000000000003</c:v>
                </c:pt>
                <c:pt idx="52">
                  <c:v>-29.43</c:v>
                </c:pt>
                <c:pt idx="53">
                  <c:v>-26.13</c:v>
                </c:pt>
                <c:pt idx="54">
                  <c:v>-22.81</c:v>
                </c:pt>
                <c:pt idx="55">
                  <c:v>-22.56</c:v>
                </c:pt>
                <c:pt idx="56">
                  <c:v>-24.53</c:v>
                </c:pt>
                <c:pt idx="57">
                  <c:v>-25.17</c:v>
                </c:pt>
                <c:pt idx="58">
                  <c:v>-23.95</c:v>
                </c:pt>
                <c:pt idx="59">
                  <c:v>-21.69</c:v>
                </c:pt>
                <c:pt idx="60">
                  <c:v>-19.5</c:v>
                </c:pt>
                <c:pt idx="61">
                  <c:v>-15.2</c:v>
                </c:pt>
                <c:pt idx="62">
                  <c:v>-10.62</c:v>
                </c:pt>
                <c:pt idx="63">
                  <c:v>-8.08</c:v>
                </c:pt>
                <c:pt idx="64">
                  <c:v>-15.08</c:v>
                </c:pt>
                <c:pt idx="65">
                  <c:v>-16.37</c:v>
                </c:pt>
                <c:pt idx="66">
                  <c:v>-15.27</c:v>
                </c:pt>
                <c:pt idx="67">
                  <c:v>-11.89</c:v>
                </c:pt>
                <c:pt idx="68">
                  <c:v>-16.850000000000001</c:v>
                </c:pt>
                <c:pt idx="69">
                  <c:v>-22.4</c:v>
                </c:pt>
                <c:pt idx="70">
                  <c:v>-24.1</c:v>
                </c:pt>
                <c:pt idx="71">
                  <c:v>-16.72</c:v>
                </c:pt>
                <c:pt idx="72">
                  <c:v>-24.3</c:v>
                </c:pt>
                <c:pt idx="73">
                  <c:v>-28.57</c:v>
                </c:pt>
                <c:pt idx="74">
                  <c:v>-29.29</c:v>
                </c:pt>
                <c:pt idx="75">
                  <c:v>-79.290000000000006</c:v>
                </c:pt>
                <c:pt idx="76">
                  <c:v>-96.35</c:v>
                </c:pt>
                <c:pt idx="77">
                  <c:v>-106.08</c:v>
                </c:pt>
                <c:pt idx="78">
                  <c:v>-103.84</c:v>
                </c:pt>
                <c:pt idx="79">
                  <c:v>-84.23</c:v>
                </c:pt>
                <c:pt idx="80">
                  <c:v>-92.78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'Average data'!$AI$5</c:f>
              <c:strCache>
                <c:ptCount val="1"/>
                <c:pt idx="0">
                  <c:v>10Front_HRMax.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data'!$AI$6:$AI$86</c:f>
              <c:numCache>
                <c:formatCode>General</c:formatCode>
                <c:ptCount val="81"/>
                <c:pt idx="0">
                  <c:v>-58.13</c:v>
                </c:pt>
                <c:pt idx="1">
                  <c:v>-60.04</c:v>
                </c:pt>
                <c:pt idx="2">
                  <c:v>-61.99</c:v>
                </c:pt>
                <c:pt idx="3">
                  <c:v>-67.73</c:v>
                </c:pt>
                <c:pt idx="4">
                  <c:v>-56.97</c:v>
                </c:pt>
                <c:pt idx="5">
                  <c:v>-57.18</c:v>
                </c:pt>
                <c:pt idx="6">
                  <c:v>-55.94</c:v>
                </c:pt>
                <c:pt idx="7">
                  <c:v>-53.38</c:v>
                </c:pt>
                <c:pt idx="8">
                  <c:v>-73.290000000000006</c:v>
                </c:pt>
                <c:pt idx="9">
                  <c:v>-68.66</c:v>
                </c:pt>
                <c:pt idx="10">
                  <c:v>-61.21</c:v>
                </c:pt>
                <c:pt idx="11">
                  <c:v>-54.28</c:v>
                </c:pt>
                <c:pt idx="12">
                  <c:v>-53.6</c:v>
                </c:pt>
                <c:pt idx="13">
                  <c:v>-58.96</c:v>
                </c:pt>
                <c:pt idx="14">
                  <c:v>-64.92</c:v>
                </c:pt>
                <c:pt idx="15">
                  <c:v>-53.57</c:v>
                </c:pt>
                <c:pt idx="16">
                  <c:v>-50.55</c:v>
                </c:pt>
                <c:pt idx="17">
                  <c:v>-51.2</c:v>
                </c:pt>
                <c:pt idx="18">
                  <c:v>-47.95</c:v>
                </c:pt>
                <c:pt idx="19">
                  <c:v>-49.5</c:v>
                </c:pt>
                <c:pt idx="20">
                  <c:v>-46.95</c:v>
                </c:pt>
                <c:pt idx="21">
                  <c:v>-53.73</c:v>
                </c:pt>
                <c:pt idx="22">
                  <c:v>-47.95</c:v>
                </c:pt>
                <c:pt idx="23">
                  <c:v>-47.8</c:v>
                </c:pt>
                <c:pt idx="24">
                  <c:v>-44.38</c:v>
                </c:pt>
                <c:pt idx="25">
                  <c:v>-41.62</c:v>
                </c:pt>
                <c:pt idx="26">
                  <c:v>-43.27</c:v>
                </c:pt>
                <c:pt idx="27">
                  <c:v>-45.28</c:v>
                </c:pt>
                <c:pt idx="28">
                  <c:v>-45.4</c:v>
                </c:pt>
                <c:pt idx="29">
                  <c:v>-42.59</c:v>
                </c:pt>
                <c:pt idx="30">
                  <c:v>-42.9</c:v>
                </c:pt>
                <c:pt idx="31">
                  <c:v>-44.31</c:v>
                </c:pt>
                <c:pt idx="32">
                  <c:v>-47.63</c:v>
                </c:pt>
                <c:pt idx="33">
                  <c:v>-43.65</c:v>
                </c:pt>
                <c:pt idx="34">
                  <c:v>-41.49</c:v>
                </c:pt>
                <c:pt idx="35">
                  <c:v>-40.450000000000003</c:v>
                </c:pt>
                <c:pt idx="36">
                  <c:v>-40.33</c:v>
                </c:pt>
                <c:pt idx="37">
                  <c:v>-39.799999999999997</c:v>
                </c:pt>
                <c:pt idx="38">
                  <c:v>-39.47</c:v>
                </c:pt>
                <c:pt idx="39">
                  <c:v>-41</c:v>
                </c:pt>
                <c:pt idx="40">
                  <c:v>-44.44</c:v>
                </c:pt>
                <c:pt idx="41">
                  <c:v>-46.04</c:v>
                </c:pt>
                <c:pt idx="42">
                  <c:v>-47.12</c:v>
                </c:pt>
                <c:pt idx="43">
                  <c:v>-55.93</c:v>
                </c:pt>
                <c:pt idx="44">
                  <c:v>-49</c:v>
                </c:pt>
                <c:pt idx="45">
                  <c:v>-47.73</c:v>
                </c:pt>
                <c:pt idx="46">
                  <c:v>-57.51</c:v>
                </c:pt>
                <c:pt idx="47">
                  <c:v>-54.04</c:v>
                </c:pt>
                <c:pt idx="48">
                  <c:v>-50.75</c:v>
                </c:pt>
                <c:pt idx="49">
                  <c:v>-46.07</c:v>
                </c:pt>
                <c:pt idx="50">
                  <c:v>-43.3</c:v>
                </c:pt>
                <c:pt idx="51">
                  <c:v>-42.64</c:v>
                </c:pt>
                <c:pt idx="52">
                  <c:v>-37.72</c:v>
                </c:pt>
                <c:pt idx="53">
                  <c:v>-31.63</c:v>
                </c:pt>
                <c:pt idx="54">
                  <c:v>-26.52</c:v>
                </c:pt>
                <c:pt idx="55">
                  <c:v>-24.77</c:v>
                </c:pt>
                <c:pt idx="56">
                  <c:v>-24.52</c:v>
                </c:pt>
                <c:pt idx="57">
                  <c:v>-23.99</c:v>
                </c:pt>
                <c:pt idx="58">
                  <c:v>-23.16</c:v>
                </c:pt>
                <c:pt idx="59">
                  <c:v>-20.68</c:v>
                </c:pt>
                <c:pt idx="60">
                  <c:v>-17.850000000000001</c:v>
                </c:pt>
                <c:pt idx="61">
                  <c:v>-12.54</c:v>
                </c:pt>
                <c:pt idx="62">
                  <c:v>-7.59</c:v>
                </c:pt>
                <c:pt idx="63">
                  <c:v>-8.2200000000000006</c:v>
                </c:pt>
                <c:pt idx="64">
                  <c:v>-13.43</c:v>
                </c:pt>
                <c:pt idx="65">
                  <c:v>-13.37</c:v>
                </c:pt>
                <c:pt idx="66">
                  <c:v>-13.11</c:v>
                </c:pt>
                <c:pt idx="67">
                  <c:v>-11.02</c:v>
                </c:pt>
                <c:pt idx="68">
                  <c:v>-15.33</c:v>
                </c:pt>
                <c:pt idx="69">
                  <c:v>-20.71</c:v>
                </c:pt>
                <c:pt idx="70">
                  <c:v>-21.19</c:v>
                </c:pt>
                <c:pt idx="71">
                  <c:v>-16.170000000000002</c:v>
                </c:pt>
                <c:pt idx="72">
                  <c:v>-23.94</c:v>
                </c:pt>
                <c:pt idx="73">
                  <c:v>-28.04</c:v>
                </c:pt>
                <c:pt idx="74">
                  <c:v>-28.74</c:v>
                </c:pt>
                <c:pt idx="75">
                  <c:v>-74.66</c:v>
                </c:pt>
                <c:pt idx="76">
                  <c:v>-75.599999999999994</c:v>
                </c:pt>
                <c:pt idx="77">
                  <c:v>-75.62</c:v>
                </c:pt>
                <c:pt idx="78">
                  <c:v>-72</c:v>
                </c:pt>
                <c:pt idx="79">
                  <c:v>-72.66</c:v>
                </c:pt>
                <c:pt idx="80">
                  <c:v>-78.2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'Average data'!$AJ$5</c:f>
              <c:strCache>
                <c:ptCount val="1"/>
                <c:pt idx="0">
                  <c:v>10Front_LMax.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data'!$AJ$6:$AJ$86</c:f>
              <c:numCache>
                <c:formatCode>General</c:formatCode>
                <c:ptCount val="81"/>
                <c:pt idx="0">
                  <c:v>-58.69</c:v>
                </c:pt>
                <c:pt idx="1">
                  <c:v>-57.99</c:v>
                </c:pt>
                <c:pt idx="2">
                  <c:v>-67.12</c:v>
                </c:pt>
                <c:pt idx="3">
                  <c:v>-69.44</c:v>
                </c:pt>
                <c:pt idx="4">
                  <c:v>-60.35</c:v>
                </c:pt>
                <c:pt idx="5">
                  <c:v>-61.22</c:v>
                </c:pt>
                <c:pt idx="6">
                  <c:v>-58.67</c:v>
                </c:pt>
                <c:pt idx="7">
                  <c:v>-56.03</c:v>
                </c:pt>
                <c:pt idx="8">
                  <c:v>-60.79</c:v>
                </c:pt>
                <c:pt idx="9">
                  <c:v>-55.47</c:v>
                </c:pt>
                <c:pt idx="10">
                  <c:v>-51.77</c:v>
                </c:pt>
                <c:pt idx="11">
                  <c:v>-59.56</c:v>
                </c:pt>
                <c:pt idx="12">
                  <c:v>-56.89</c:v>
                </c:pt>
                <c:pt idx="13">
                  <c:v>-51.29</c:v>
                </c:pt>
                <c:pt idx="14">
                  <c:v>-61.91</c:v>
                </c:pt>
                <c:pt idx="15">
                  <c:v>-51.27</c:v>
                </c:pt>
                <c:pt idx="16">
                  <c:v>-48.44</c:v>
                </c:pt>
                <c:pt idx="17">
                  <c:v>-57.68</c:v>
                </c:pt>
                <c:pt idx="18">
                  <c:v>-50</c:v>
                </c:pt>
                <c:pt idx="19">
                  <c:v>-50.61</c:v>
                </c:pt>
                <c:pt idx="20">
                  <c:v>-39.409999999999997</c:v>
                </c:pt>
                <c:pt idx="21">
                  <c:v>-42.19</c:v>
                </c:pt>
                <c:pt idx="22">
                  <c:v>-41.28</c:v>
                </c:pt>
                <c:pt idx="23">
                  <c:v>-38.81</c:v>
                </c:pt>
                <c:pt idx="24">
                  <c:v>-46.51</c:v>
                </c:pt>
                <c:pt idx="25">
                  <c:v>-41.41</c:v>
                </c:pt>
                <c:pt idx="26">
                  <c:v>-44.57</c:v>
                </c:pt>
                <c:pt idx="27">
                  <c:v>-39.869999999999997</c:v>
                </c:pt>
                <c:pt idx="28">
                  <c:v>-40.65</c:v>
                </c:pt>
                <c:pt idx="29">
                  <c:v>-39.46</c:v>
                </c:pt>
                <c:pt idx="30">
                  <c:v>-38.65</c:v>
                </c:pt>
                <c:pt idx="31">
                  <c:v>-40.6</c:v>
                </c:pt>
                <c:pt idx="32">
                  <c:v>-42.46</c:v>
                </c:pt>
                <c:pt idx="33">
                  <c:v>-45.88</c:v>
                </c:pt>
                <c:pt idx="34">
                  <c:v>-45.73</c:v>
                </c:pt>
                <c:pt idx="35">
                  <c:v>-42.91</c:v>
                </c:pt>
                <c:pt idx="36">
                  <c:v>-37.89</c:v>
                </c:pt>
                <c:pt idx="37">
                  <c:v>-38.590000000000003</c:v>
                </c:pt>
                <c:pt idx="38">
                  <c:v>-37.94</c:v>
                </c:pt>
                <c:pt idx="39">
                  <c:v>-36.86</c:v>
                </c:pt>
                <c:pt idx="40">
                  <c:v>-33.200000000000003</c:v>
                </c:pt>
                <c:pt idx="41">
                  <c:v>-31.39</c:v>
                </c:pt>
                <c:pt idx="42">
                  <c:v>-31.86</c:v>
                </c:pt>
                <c:pt idx="43">
                  <c:v>-32.08</c:v>
                </c:pt>
                <c:pt idx="44">
                  <c:v>-32.880000000000003</c:v>
                </c:pt>
                <c:pt idx="45">
                  <c:v>-34</c:v>
                </c:pt>
                <c:pt idx="46">
                  <c:v>-35.33</c:v>
                </c:pt>
                <c:pt idx="47">
                  <c:v>-34.909999999999997</c:v>
                </c:pt>
                <c:pt idx="48">
                  <c:v>-34.57</c:v>
                </c:pt>
                <c:pt idx="49">
                  <c:v>-33.880000000000003</c:v>
                </c:pt>
                <c:pt idx="50">
                  <c:v>-32.57</c:v>
                </c:pt>
                <c:pt idx="51">
                  <c:v>-30.44</c:v>
                </c:pt>
                <c:pt idx="52">
                  <c:v>-27.97</c:v>
                </c:pt>
                <c:pt idx="53">
                  <c:v>-24.9</c:v>
                </c:pt>
                <c:pt idx="54">
                  <c:v>-20.87</c:v>
                </c:pt>
                <c:pt idx="55">
                  <c:v>-20.84</c:v>
                </c:pt>
                <c:pt idx="56">
                  <c:v>-23.02</c:v>
                </c:pt>
                <c:pt idx="57">
                  <c:v>-25.29</c:v>
                </c:pt>
                <c:pt idx="58">
                  <c:v>-24.67</c:v>
                </c:pt>
                <c:pt idx="59">
                  <c:v>-21.31</c:v>
                </c:pt>
                <c:pt idx="60">
                  <c:v>-17.95</c:v>
                </c:pt>
                <c:pt idx="61">
                  <c:v>-15.57</c:v>
                </c:pt>
                <c:pt idx="62">
                  <c:v>-12.25</c:v>
                </c:pt>
                <c:pt idx="63">
                  <c:v>-13.56</c:v>
                </c:pt>
                <c:pt idx="64">
                  <c:v>-16.86</c:v>
                </c:pt>
                <c:pt idx="65">
                  <c:v>-14.22</c:v>
                </c:pt>
                <c:pt idx="66">
                  <c:v>-14.42</c:v>
                </c:pt>
                <c:pt idx="67">
                  <c:v>-13.95</c:v>
                </c:pt>
                <c:pt idx="68">
                  <c:v>-18.809999999999999</c:v>
                </c:pt>
                <c:pt idx="69">
                  <c:v>-21.94</c:v>
                </c:pt>
                <c:pt idx="70">
                  <c:v>-22.14</c:v>
                </c:pt>
                <c:pt idx="71">
                  <c:v>-16.72</c:v>
                </c:pt>
                <c:pt idx="72">
                  <c:v>-24.93</c:v>
                </c:pt>
                <c:pt idx="73">
                  <c:v>-28.8</c:v>
                </c:pt>
                <c:pt idx="74">
                  <c:v>-29.66</c:v>
                </c:pt>
                <c:pt idx="75">
                  <c:v>-76.69</c:v>
                </c:pt>
                <c:pt idx="76">
                  <c:v>-87.23</c:v>
                </c:pt>
                <c:pt idx="77">
                  <c:v>-97.66</c:v>
                </c:pt>
                <c:pt idx="78">
                  <c:v>-88.89</c:v>
                </c:pt>
                <c:pt idx="79">
                  <c:v>-91.39</c:v>
                </c:pt>
                <c:pt idx="80">
                  <c:v>-98.73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'Average data'!$AK$5</c:f>
              <c:strCache>
                <c:ptCount val="1"/>
                <c:pt idx="0">
                  <c:v>10Rear_HLMax.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data'!$AK$6:$AK$86</c:f>
              <c:numCache>
                <c:formatCode>General</c:formatCode>
                <c:ptCount val="81"/>
                <c:pt idx="0">
                  <c:v>-58.69</c:v>
                </c:pt>
                <c:pt idx="1">
                  <c:v>-62.11</c:v>
                </c:pt>
                <c:pt idx="2">
                  <c:v>-63.66</c:v>
                </c:pt>
                <c:pt idx="3">
                  <c:v>-62.18</c:v>
                </c:pt>
                <c:pt idx="4">
                  <c:v>-62.66</c:v>
                </c:pt>
                <c:pt idx="5">
                  <c:v>-59.14</c:v>
                </c:pt>
                <c:pt idx="6">
                  <c:v>-55.97</c:v>
                </c:pt>
                <c:pt idx="7">
                  <c:v>-65.290000000000006</c:v>
                </c:pt>
                <c:pt idx="8">
                  <c:v>-61.89</c:v>
                </c:pt>
                <c:pt idx="9">
                  <c:v>-53.55</c:v>
                </c:pt>
                <c:pt idx="10">
                  <c:v>-68.47</c:v>
                </c:pt>
                <c:pt idx="11">
                  <c:v>-55.04</c:v>
                </c:pt>
                <c:pt idx="12">
                  <c:v>-62.87</c:v>
                </c:pt>
                <c:pt idx="13">
                  <c:v>-67.290000000000006</c:v>
                </c:pt>
                <c:pt idx="14">
                  <c:v>-66.13</c:v>
                </c:pt>
                <c:pt idx="15">
                  <c:v>-54.77</c:v>
                </c:pt>
                <c:pt idx="16">
                  <c:v>-61.75</c:v>
                </c:pt>
                <c:pt idx="17">
                  <c:v>-64.45</c:v>
                </c:pt>
                <c:pt idx="18">
                  <c:v>-47.77</c:v>
                </c:pt>
                <c:pt idx="19">
                  <c:v>-65.37</c:v>
                </c:pt>
                <c:pt idx="20">
                  <c:v>-51.69</c:v>
                </c:pt>
                <c:pt idx="21">
                  <c:v>-49.43</c:v>
                </c:pt>
                <c:pt idx="22">
                  <c:v>-47.61</c:v>
                </c:pt>
                <c:pt idx="23">
                  <c:v>-42.32</c:v>
                </c:pt>
                <c:pt idx="24">
                  <c:v>-39.340000000000003</c:v>
                </c:pt>
                <c:pt idx="25">
                  <c:v>-39.28</c:v>
                </c:pt>
                <c:pt idx="26">
                  <c:v>-37.159999999999997</c:v>
                </c:pt>
                <c:pt idx="27">
                  <c:v>-37.340000000000003</c:v>
                </c:pt>
                <c:pt idx="28">
                  <c:v>-35.979999999999997</c:v>
                </c:pt>
                <c:pt idx="29">
                  <c:v>-37.58</c:v>
                </c:pt>
                <c:pt idx="30">
                  <c:v>-37.24</c:v>
                </c:pt>
                <c:pt idx="31">
                  <c:v>-40.409999999999997</c:v>
                </c:pt>
                <c:pt idx="32">
                  <c:v>-39.51</c:v>
                </c:pt>
                <c:pt idx="33">
                  <c:v>-37.909999999999997</c:v>
                </c:pt>
                <c:pt idx="34">
                  <c:v>-36.67</c:v>
                </c:pt>
                <c:pt idx="35">
                  <c:v>-34.03</c:v>
                </c:pt>
                <c:pt idx="36">
                  <c:v>-32.67</c:v>
                </c:pt>
                <c:pt idx="37">
                  <c:v>-31.21</c:v>
                </c:pt>
                <c:pt idx="38">
                  <c:v>-29.23</c:v>
                </c:pt>
                <c:pt idx="39">
                  <c:v>-27.48</c:v>
                </c:pt>
                <c:pt idx="40">
                  <c:v>-26.21</c:v>
                </c:pt>
                <c:pt idx="41">
                  <c:v>-25.67</c:v>
                </c:pt>
                <c:pt idx="42">
                  <c:v>-26.36</c:v>
                </c:pt>
                <c:pt idx="43">
                  <c:v>-26.86</c:v>
                </c:pt>
                <c:pt idx="44">
                  <c:v>-27.29</c:v>
                </c:pt>
                <c:pt idx="45">
                  <c:v>-28.05</c:v>
                </c:pt>
                <c:pt idx="46">
                  <c:v>-29.51</c:v>
                </c:pt>
                <c:pt idx="47">
                  <c:v>-31.13</c:v>
                </c:pt>
                <c:pt idx="48">
                  <c:v>-32.1</c:v>
                </c:pt>
                <c:pt idx="49">
                  <c:v>-32.24</c:v>
                </c:pt>
                <c:pt idx="50">
                  <c:v>-30.82</c:v>
                </c:pt>
                <c:pt idx="51">
                  <c:v>-27.85</c:v>
                </c:pt>
                <c:pt idx="52">
                  <c:v>-25.23</c:v>
                </c:pt>
                <c:pt idx="53">
                  <c:v>-23.86</c:v>
                </c:pt>
                <c:pt idx="54">
                  <c:v>-24.01</c:v>
                </c:pt>
                <c:pt idx="55">
                  <c:v>-20.94</c:v>
                </c:pt>
                <c:pt idx="56">
                  <c:v>-18.350000000000001</c:v>
                </c:pt>
                <c:pt idx="57">
                  <c:v>-17.02</c:v>
                </c:pt>
                <c:pt idx="58">
                  <c:v>-16.190000000000001</c:v>
                </c:pt>
                <c:pt idx="59">
                  <c:v>-15.57</c:v>
                </c:pt>
                <c:pt idx="60">
                  <c:v>-14.62</c:v>
                </c:pt>
                <c:pt idx="61">
                  <c:v>-12.87</c:v>
                </c:pt>
                <c:pt idx="62">
                  <c:v>-10.68</c:v>
                </c:pt>
                <c:pt idx="63">
                  <c:v>-12.63</c:v>
                </c:pt>
                <c:pt idx="64">
                  <c:v>-17.03</c:v>
                </c:pt>
                <c:pt idx="65">
                  <c:v>-17.27</c:v>
                </c:pt>
                <c:pt idx="66">
                  <c:v>-24.2</c:v>
                </c:pt>
                <c:pt idx="67">
                  <c:v>-21.42</c:v>
                </c:pt>
                <c:pt idx="68">
                  <c:v>-25.97</c:v>
                </c:pt>
                <c:pt idx="69">
                  <c:v>-22.57</c:v>
                </c:pt>
                <c:pt idx="70">
                  <c:v>-19.28</c:v>
                </c:pt>
                <c:pt idx="71">
                  <c:v>-13.81</c:v>
                </c:pt>
                <c:pt idx="72">
                  <c:v>-20.46</c:v>
                </c:pt>
                <c:pt idx="73">
                  <c:v>-32.46</c:v>
                </c:pt>
                <c:pt idx="74">
                  <c:v>-43.09</c:v>
                </c:pt>
                <c:pt idx="75">
                  <c:v>-73.069999999999993</c:v>
                </c:pt>
                <c:pt idx="76">
                  <c:v>-73.22</c:v>
                </c:pt>
                <c:pt idx="77">
                  <c:v>-78.17</c:v>
                </c:pt>
                <c:pt idx="78">
                  <c:v>-79.150000000000006</c:v>
                </c:pt>
                <c:pt idx="79">
                  <c:v>-72.92</c:v>
                </c:pt>
                <c:pt idx="80">
                  <c:v>-82.67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'Average data'!$AL$5</c:f>
              <c:strCache>
                <c:ptCount val="1"/>
                <c:pt idx="0">
                  <c:v>10Rear_HRMax.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data'!$AL$6:$AL$86</c:f>
              <c:numCache>
                <c:formatCode>General</c:formatCode>
                <c:ptCount val="81"/>
                <c:pt idx="0">
                  <c:v>-62.48</c:v>
                </c:pt>
                <c:pt idx="1">
                  <c:v>-73.400000000000006</c:v>
                </c:pt>
                <c:pt idx="2">
                  <c:v>-63.47</c:v>
                </c:pt>
                <c:pt idx="3">
                  <c:v>-58.56</c:v>
                </c:pt>
                <c:pt idx="4">
                  <c:v>-55.15</c:v>
                </c:pt>
                <c:pt idx="5">
                  <c:v>-56.65</c:v>
                </c:pt>
                <c:pt idx="6">
                  <c:v>-68.03</c:v>
                </c:pt>
                <c:pt idx="7">
                  <c:v>-66.02</c:v>
                </c:pt>
                <c:pt idx="8">
                  <c:v>-64.599999999999994</c:v>
                </c:pt>
                <c:pt idx="9">
                  <c:v>-58.75</c:v>
                </c:pt>
                <c:pt idx="10">
                  <c:v>-69.48</c:v>
                </c:pt>
                <c:pt idx="11">
                  <c:v>-66.27</c:v>
                </c:pt>
                <c:pt idx="12">
                  <c:v>-70.099999999999994</c:v>
                </c:pt>
                <c:pt idx="13">
                  <c:v>-69.13</c:v>
                </c:pt>
                <c:pt idx="14">
                  <c:v>-55.83</c:v>
                </c:pt>
                <c:pt idx="15">
                  <c:v>-61.88</c:v>
                </c:pt>
                <c:pt idx="16">
                  <c:v>-62.48</c:v>
                </c:pt>
                <c:pt idx="17">
                  <c:v>-58.75</c:v>
                </c:pt>
                <c:pt idx="18">
                  <c:v>-55.27</c:v>
                </c:pt>
                <c:pt idx="19">
                  <c:v>-51.05</c:v>
                </c:pt>
                <c:pt idx="20">
                  <c:v>-49.62</c:v>
                </c:pt>
                <c:pt idx="21">
                  <c:v>-48.05</c:v>
                </c:pt>
                <c:pt idx="22">
                  <c:v>-49.84</c:v>
                </c:pt>
                <c:pt idx="23">
                  <c:v>-44.43</c:v>
                </c:pt>
                <c:pt idx="24">
                  <c:v>-42.28</c:v>
                </c:pt>
                <c:pt idx="25">
                  <c:v>-40.35</c:v>
                </c:pt>
                <c:pt idx="26">
                  <c:v>-37.46</c:v>
                </c:pt>
                <c:pt idx="27">
                  <c:v>-36.409999999999997</c:v>
                </c:pt>
                <c:pt idx="28">
                  <c:v>-37.049999999999997</c:v>
                </c:pt>
                <c:pt idx="29">
                  <c:v>-35.76</c:v>
                </c:pt>
                <c:pt idx="30">
                  <c:v>-37.619999999999997</c:v>
                </c:pt>
                <c:pt idx="31">
                  <c:v>-35.93</c:v>
                </c:pt>
                <c:pt idx="32">
                  <c:v>-38.01</c:v>
                </c:pt>
                <c:pt idx="33">
                  <c:v>-37.61</c:v>
                </c:pt>
                <c:pt idx="34">
                  <c:v>-35.92</c:v>
                </c:pt>
                <c:pt idx="35">
                  <c:v>-33.200000000000003</c:v>
                </c:pt>
                <c:pt idx="36">
                  <c:v>-32.909999999999997</c:v>
                </c:pt>
                <c:pt idx="37">
                  <c:v>-32.17</c:v>
                </c:pt>
                <c:pt idx="38">
                  <c:v>-30.82</c:v>
                </c:pt>
                <c:pt idx="39">
                  <c:v>-28.42</c:v>
                </c:pt>
                <c:pt idx="40">
                  <c:v>-26.92</c:v>
                </c:pt>
                <c:pt idx="41">
                  <c:v>-26.93</c:v>
                </c:pt>
                <c:pt idx="42">
                  <c:v>-28.14</c:v>
                </c:pt>
                <c:pt idx="43">
                  <c:v>-29.42</c:v>
                </c:pt>
                <c:pt idx="44">
                  <c:v>-30.27</c:v>
                </c:pt>
                <c:pt idx="45">
                  <c:v>-30.98</c:v>
                </c:pt>
                <c:pt idx="46">
                  <c:v>-30.92</c:v>
                </c:pt>
                <c:pt idx="47">
                  <c:v>-28.91</c:v>
                </c:pt>
                <c:pt idx="48">
                  <c:v>-27.33</c:v>
                </c:pt>
                <c:pt idx="49">
                  <c:v>-26.09</c:v>
                </c:pt>
                <c:pt idx="50">
                  <c:v>-25.88</c:v>
                </c:pt>
                <c:pt idx="51">
                  <c:v>-25.52</c:v>
                </c:pt>
                <c:pt idx="52">
                  <c:v>-24.41</c:v>
                </c:pt>
                <c:pt idx="53">
                  <c:v>-23.1</c:v>
                </c:pt>
                <c:pt idx="54">
                  <c:v>-22.12</c:v>
                </c:pt>
                <c:pt idx="55">
                  <c:v>-19.25</c:v>
                </c:pt>
                <c:pt idx="56">
                  <c:v>-17.53</c:v>
                </c:pt>
                <c:pt idx="57">
                  <c:v>-16.920000000000002</c:v>
                </c:pt>
                <c:pt idx="58">
                  <c:v>-15.92</c:v>
                </c:pt>
                <c:pt idx="59">
                  <c:v>-14.59</c:v>
                </c:pt>
                <c:pt idx="60">
                  <c:v>-13.58</c:v>
                </c:pt>
                <c:pt idx="61">
                  <c:v>-11.2</c:v>
                </c:pt>
                <c:pt idx="62">
                  <c:v>-9.67</c:v>
                </c:pt>
                <c:pt idx="63">
                  <c:v>-11.74</c:v>
                </c:pt>
                <c:pt idx="64">
                  <c:v>-17.37</c:v>
                </c:pt>
                <c:pt idx="65">
                  <c:v>-15.2</c:v>
                </c:pt>
                <c:pt idx="66">
                  <c:v>-19.32</c:v>
                </c:pt>
                <c:pt idx="67">
                  <c:v>-28.57</c:v>
                </c:pt>
                <c:pt idx="68">
                  <c:v>-25.79</c:v>
                </c:pt>
                <c:pt idx="69">
                  <c:v>-23.4</c:v>
                </c:pt>
                <c:pt idx="70">
                  <c:v>-19.45</c:v>
                </c:pt>
                <c:pt idx="71">
                  <c:v>-13.29</c:v>
                </c:pt>
                <c:pt idx="72">
                  <c:v>-21.24</c:v>
                </c:pt>
                <c:pt idx="73">
                  <c:v>-33.119999999999997</c:v>
                </c:pt>
                <c:pt idx="74">
                  <c:v>-45.17</c:v>
                </c:pt>
                <c:pt idx="75">
                  <c:v>-71.52</c:v>
                </c:pt>
                <c:pt idx="76">
                  <c:v>-78.52</c:v>
                </c:pt>
                <c:pt idx="77">
                  <c:v>-81.319999999999993</c:v>
                </c:pt>
                <c:pt idx="78">
                  <c:v>-80.25</c:v>
                </c:pt>
                <c:pt idx="79">
                  <c:v>-73.61</c:v>
                </c:pt>
                <c:pt idx="80">
                  <c:v>-67.680000000000007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'Average data'!$AM$5</c:f>
              <c:strCache>
                <c:ptCount val="1"/>
                <c:pt idx="0">
                  <c:v>10Rear_LMax.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data'!$AM$6:$AM$86</c:f>
              <c:numCache>
                <c:formatCode>General</c:formatCode>
                <c:ptCount val="81"/>
                <c:pt idx="0">
                  <c:v>-59.94</c:v>
                </c:pt>
                <c:pt idx="1">
                  <c:v>-62.42</c:v>
                </c:pt>
                <c:pt idx="2">
                  <c:v>-68.709999999999994</c:v>
                </c:pt>
                <c:pt idx="3">
                  <c:v>-58.29</c:v>
                </c:pt>
                <c:pt idx="4">
                  <c:v>-56.5</c:v>
                </c:pt>
                <c:pt idx="5">
                  <c:v>-57.48</c:v>
                </c:pt>
                <c:pt idx="6">
                  <c:v>-58.68</c:v>
                </c:pt>
                <c:pt idx="7">
                  <c:v>-57.22</c:v>
                </c:pt>
                <c:pt idx="8">
                  <c:v>-59.04</c:v>
                </c:pt>
                <c:pt idx="9">
                  <c:v>-58.96</c:v>
                </c:pt>
                <c:pt idx="10">
                  <c:v>-56.77</c:v>
                </c:pt>
                <c:pt idx="11">
                  <c:v>-61.76</c:v>
                </c:pt>
                <c:pt idx="12">
                  <c:v>-53.75</c:v>
                </c:pt>
                <c:pt idx="13">
                  <c:v>-57.33</c:v>
                </c:pt>
                <c:pt idx="14">
                  <c:v>-53.99</c:v>
                </c:pt>
                <c:pt idx="15">
                  <c:v>-66.36</c:v>
                </c:pt>
                <c:pt idx="16">
                  <c:v>-55.42</c:v>
                </c:pt>
                <c:pt idx="17">
                  <c:v>-56.01</c:v>
                </c:pt>
                <c:pt idx="18">
                  <c:v>-59.86</c:v>
                </c:pt>
                <c:pt idx="19">
                  <c:v>-63.37</c:v>
                </c:pt>
                <c:pt idx="20">
                  <c:v>-49.47</c:v>
                </c:pt>
                <c:pt idx="21">
                  <c:v>-45.39</c:v>
                </c:pt>
                <c:pt idx="22">
                  <c:v>-50.21</c:v>
                </c:pt>
                <c:pt idx="23">
                  <c:v>-41.23</c:v>
                </c:pt>
                <c:pt idx="24">
                  <c:v>-40.89</c:v>
                </c:pt>
                <c:pt idx="25">
                  <c:v>-45.84</c:v>
                </c:pt>
                <c:pt idx="26">
                  <c:v>-40.64</c:v>
                </c:pt>
                <c:pt idx="27">
                  <c:v>-38.909999999999997</c:v>
                </c:pt>
                <c:pt idx="28">
                  <c:v>-35.35</c:v>
                </c:pt>
                <c:pt idx="29">
                  <c:v>-35.67</c:v>
                </c:pt>
                <c:pt idx="30">
                  <c:v>-36.049999999999997</c:v>
                </c:pt>
                <c:pt idx="31">
                  <c:v>-37.1</c:v>
                </c:pt>
                <c:pt idx="32">
                  <c:v>-37.799999999999997</c:v>
                </c:pt>
                <c:pt idx="33">
                  <c:v>-36.950000000000003</c:v>
                </c:pt>
                <c:pt idx="34">
                  <c:v>-37.049999999999997</c:v>
                </c:pt>
                <c:pt idx="35">
                  <c:v>-34.75</c:v>
                </c:pt>
                <c:pt idx="36">
                  <c:v>-31.26</c:v>
                </c:pt>
                <c:pt idx="37">
                  <c:v>-29.1</c:v>
                </c:pt>
                <c:pt idx="38">
                  <c:v>-27.15</c:v>
                </c:pt>
                <c:pt idx="39">
                  <c:v>-25.37</c:v>
                </c:pt>
                <c:pt idx="40">
                  <c:v>-23.47</c:v>
                </c:pt>
                <c:pt idx="41">
                  <c:v>-22.3</c:v>
                </c:pt>
                <c:pt idx="42">
                  <c:v>-23.05</c:v>
                </c:pt>
                <c:pt idx="43">
                  <c:v>-23.87</c:v>
                </c:pt>
                <c:pt idx="44">
                  <c:v>-24.89</c:v>
                </c:pt>
                <c:pt idx="45">
                  <c:v>-25.59</c:v>
                </c:pt>
                <c:pt idx="46">
                  <c:v>-26.23</c:v>
                </c:pt>
                <c:pt idx="47">
                  <c:v>-26.68</c:v>
                </c:pt>
                <c:pt idx="48">
                  <c:v>-28</c:v>
                </c:pt>
                <c:pt idx="49">
                  <c:v>-29.12</c:v>
                </c:pt>
                <c:pt idx="50">
                  <c:v>-30.04</c:v>
                </c:pt>
                <c:pt idx="51">
                  <c:v>-31.8</c:v>
                </c:pt>
                <c:pt idx="52">
                  <c:v>-33.35</c:v>
                </c:pt>
                <c:pt idx="53">
                  <c:v>-35.24</c:v>
                </c:pt>
                <c:pt idx="54">
                  <c:v>-25.82</c:v>
                </c:pt>
                <c:pt idx="55">
                  <c:v>-20.28</c:v>
                </c:pt>
                <c:pt idx="56">
                  <c:v>-18.64</c:v>
                </c:pt>
                <c:pt idx="57">
                  <c:v>-18.18</c:v>
                </c:pt>
                <c:pt idx="58">
                  <c:v>-18.14</c:v>
                </c:pt>
                <c:pt idx="59">
                  <c:v>-17.21</c:v>
                </c:pt>
                <c:pt idx="60">
                  <c:v>-16.84</c:v>
                </c:pt>
                <c:pt idx="61">
                  <c:v>-14.03</c:v>
                </c:pt>
                <c:pt idx="62">
                  <c:v>-9.9700000000000006</c:v>
                </c:pt>
                <c:pt idx="63">
                  <c:v>-9.67</c:v>
                </c:pt>
                <c:pt idx="64">
                  <c:v>-16.149999999999999</c:v>
                </c:pt>
                <c:pt idx="65">
                  <c:v>-24.6</c:v>
                </c:pt>
                <c:pt idx="66">
                  <c:v>-21.26</c:v>
                </c:pt>
                <c:pt idx="67">
                  <c:v>-28.47</c:v>
                </c:pt>
                <c:pt idx="68">
                  <c:v>-26.73</c:v>
                </c:pt>
                <c:pt idx="69">
                  <c:v>-24.15</c:v>
                </c:pt>
                <c:pt idx="70">
                  <c:v>-21.59</c:v>
                </c:pt>
                <c:pt idx="71">
                  <c:v>-14.37</c:v>
                </c:pt>
                <c:pt idx="72">
                  <c:v>-20.260000000000002</c:v>
                </c:pt>
                <c:pt idx="73">
                  <c:v>-32.119999999999997</c:v>
                </c:pt>
                <c:pt idx="74">
                  <c:v>-42.39</c:v>
                </c:pt>
                <c:pt idx="75">
                  <c:v>-86.79</c:v>
                </c:pt>
                <c:pt idx="76">
                  <c:v>-85.74</c:v>
                </c:pt>
                <c:pt idx="77">
                  <c:v>-94.71</c:v>
                </c:pt>
                <c:pt idx="78">
                  <c:v>-83.15</c:v>
                </c:pt>
                <c:pt idx="79">
                  <c:v>-88.81</c:v>
                </c:pt>
                <c:pt idx="80">
                  <c:v>-87.77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'Average data'!$AN$5</c:f>
              <c:strCache>
                <c:ptCount val="1"/>
                <c:pt idx="0">
                  <c:v>10Front_HLMin..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data'!$AN$6:$AN$86</c:f>
              <c:numCache>
                <c:formatCode>General</c:formatCode>
                <c:ptCount val="81"/>
                <c:pt idx="0">
                  <c:v>-54.74</c:v>
                </c:pt>
                <c:pt idx="1">
                  <c:v>-61.16</c:v>
                </c:pt>
                <c:pt idx="2">
                  <c:v>-60.58</c:v>
                </c:pt>
                <c:pt idx="3">
                  <c:v>-63.21</c:v>
                </c:pt>
                <c:pt idx="4">
                  <c:v>-55.86</c:v>
                </c:pt>
                <c:pt idx="5">
                  <c:v>-55.54</c:v>
                </c:pt>
                <c:pt idx="6">
                  <c:v>-59.12</c:v>
                </c:pt>
                <c:pt idx="7">
                  <c:v>-52.06</c:v>
                </c:pt>
                <c:pt idx="8">
                  <c:v>-56.53</c:v>
                </c:pt>
                <c:pt idx="9">
                  <c:v>-64.66</c:v>
                </c:pt>
                <c:pt idx="10">
                  <c:v>-50.72</c:v>
                </c:pt>
                <c:pt idx="11">
                  <c:v>-50.22</c:v>
                </c:pt>
                <c:pt idx="12">
                  <c:v>-63.98</c:v>
                </c:pt>
                <c:pt idx="13">
                  <c:v>-54.42</c:v>
                </c:pt>
                <c:pt idx="14">
                  <c:v>-52.77</c:v>
                </c:pt>
                <c:pt idx="15">
                  <c:v>-58.55</c:v>
                </c:pt>
                <c:pt idx="16">
                  <c:v>-50.86</c:v>
                </c:pt>
                <c:pt idx="17">
                  <c:v>-55.92</c:v>
                </c:pt>
                <c:pt idx="18">
                  <c:v>-52.25</c:v>
                </c:pt>
                <c:pt idx="19">
                  <c:v>-53.26</c:v>
                </c:pt>
                <c:pt idx="20">
                  <c:v>-45.61</c:v>
                </c:pt>
                <c:pt idx="21">
                  <c:v>-47.58</c:v>
                </c:pt>
                <c:pt idx="22">
                  <c:v>-43.99</c:v>
                </c:pt>
                <c:pt idx="23">
                  <c:v>-44.83</c:v>
                </c:pt>
                <c:pt idx="24">
                  <c:v>-41.6</c:v>
                </c:pt>
                <c:pt idx="25">
                  <c:v>-44.2</c:v>
                </c:pt>
                <c:pt idx="26">
                  <c:v>-43.8</c:v>
                </c:pt>
                <c:pt idx="27">
                  <c:v>-43.21</c:v>
                </c:pt>
                <c:pt idx="28">
                  <c:v>-41.39</c:v>
                </c:pt>
                <c:pt idx="29">
                  <c:v>-42.98</c:v>
                </c:pt>
                <c:pt idx="30">
                  <c:v>-45.84</c:v>
                </c:pt>
                <c:pt idx="31">
                  <c:v>-45.67</c:v>
                </c:pt>
                <c:pt idx="32">
                  <c:v>-43.47</c:v>
                </c:pt>
                <c:pt idx="33">
                  <c:v>-46.89</c:v>
                </c:pt>
                <c:pt idx="34">
                  <c:v>-43.04</c:v>
                </c:pt>
                <c:pt idx="35">
                  <c:v>-45.31</c:v>
                </c:pt>
                <c:pt idx="36">
                  <c:v>-44.66</c:v>
                </c:pt>
                <c:pt idx="37">
                  <c:v>-42.01</c:v>
                </c:pt>
                <c:pt idx="38">
                  <c:v>-46.16</c:v>
                </c:pt>
                <c:pt idx="39">
                  <c:v>-49.05</c:v>
                </c:pt>
                <c:pt idx="40">
                  <c:v>-48.19</c:v>
                </c:pt>
                <c:pt idx="41">
                  <c:v>-44.19</c:v>
                </c:pt>
                <c:pt idx="42">
                  <c:v>-44.96</c:v>
                </c:pt>
                <c:pt idx="43">
                  <c:v>-45.02</c:v>
                </c:pt>
                <c:pt idx="44">
                  <c:v>-44.91</c:v>
                </c:pt>
                <c:pt idx="45">
                  <c:v>-41.42</c:v>
                </c:pt>
                <c:pt idx="46">
                  <c:v>-41.7</c:v>
                </c:pt>
                <c:pt idx="47">
                  <c:v>-45.29</c:v>
                </c:pt>
                <c:pt idx="48">
                  <c:v>-47.42</c:v>
                </c:pt>
                <c:pt idx="49">
                  <c:v>-42.57</c:v>
                </c:pt>
                <c:pt idx="50">
                  <c:v>-36.64</c:v>
                </c:pt>
                <c:pt idx="51">
                  <c:v>-32.450000000000003</c:v>
                </c:pt>
                <c:pt idx="52">
                  <c:v>-29.43</c:v>
                </c:pt>
                <c:pt idx="53">
                  <c:v>-26.13</c:v>
                </c:pt>
                <c:pt idx="54">
                  <c:v>-22.81</c:v>
                </c:pt>
                <c:pt idx="55">
                  <c:v>-22.56</c:v>
                </c:pt>
                <c:pt idx="56">
                  <c:v>-24.53</c:v>
                </c:pt>
                <c:pt idx="57">
                  <c:v>-25.17</c:v>
                </c:pt>
                <c:pt idx="58">
                  <c:v>-23.95</c:v>
                </c:pt>
                <c:pt idx="59">
                  <c:v>-21.69</c:v>
                </c:pt>
                <c:pt idx="60">
                  <c:v>-19.5</c:v>
                </c:pt>
                <c:pt idx="61">
                  <c:v>-15.2</c:v>
                </c:pt>
                <c:pt idx="62">
                  <c:v>-10.62</c:v>
                </c:pt>
                <c:pt idx="63">
                  <c:v>-8.08</c:v>
                </c:pt>
                <c:pt idx="64">
                  <c:v>-15.08</c:v>
                </c:pt>
                <c:pt idx="65">
                  <c:v>-16.37</c:v>
                </c:pt>
                <c:pt idx="66">
                  <c:v>-15.27</c:v>
                </c:pt>
                <c:pt idx="67">
                  <c:v>-11.89</c:v>
                </c:pt>
                <c:pt idx="68">
                  <c:v>-16.850000000000001</c:v>
                </c:pt>
                <c:pt idx="69">
                  <c:v>-22.4</c:v>
                </c:pt>
                <c:pt idx="70">
                  <c:v>-24.1</c:v>
                </c:pt>
                <c:pt idx="71">
                  <c:v>-16.72</c:v>
                </c:pt>
                <c:pt idx="72">
                  <c:v>-24.3</c:v>
                </c:pt>
                <c:pt idx="73">
                  <c:v>-28.57</c:v>
                </c:pt>
                <c:pt idx="74">
                  <c:v>-29.29</c:v>
                </c:pt>
                <c:pt idx="75">
                  <c:v>-79.290000000000006</c:v>
                </c:pt>
                <c:pt idx="76">
                  <c:v>-96.35</c:v>
                </c:pt>
                <c:pt idx="77">
                  <c:v>-106.08</c:v>
                </c:pt>
                <c:pt idx="78">
                  <c:v>-103.84</c:v>
                </c:pt>
                <c:pt idx="79">
                  <c:v>-84.23</c:v>
                </c:pt>
                <c:pt idx="80">
                  <c:v>-92.78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'Average data'!$AO$5</c:f>
              <c:strCache>
                <c:ptCount val="1"/>
                <c:pt idx="0">
                  <c:v>10Front_HRMin..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data'!$AO$6:$AO$86</c:f>
              <c:numCache>
                <c:formatCode>General</c:formatCode>
                <c:ptCount val="81"/>
                <c:pt idx="0">
                  <c:v>-58.13</c:v>
                </c:pt>
                <c:pt idx="1">
                  <c:v>-60.04</c:v>
                </c:pt>
                <c:pt idx="2">
                  <c:v>-61.99</c:v>
                </c:pt>
                <c:pt idx="3">
                  <c:v>-67.73</c:v>
                </c:pt>
                <c:pt idx="4">
                  <c:v>-56.97</c:v>
                </c:pt>
                <c:pt idx="5">
                  <c:v>-57.18</c:v>
                </c:pt>
                <c:pt idx="6">
                  <c:v>-55.94</c:v>
                </c:pt>
                <c:pt idx="7">
                  <c:v>-53.38</c:v>
                </c:pt>
                <c:pt idx="8">
                  <c:v>-73.290000000000006</c:v>
                </c:pt>
                <c:pt idx="9">
                  <c:v>-68.66</c:v>
                </c:pt>
                <c:pt idx="10">
                  <c:v>-61.21</c:v>
                </c:pt>
                <c:pt idx="11">
                  <c:v>-54.28</c:v>
                </c:pt>
                <c:pt idx="12">
                  <c:v>-53.6</c:v>
                </c:pt>
                <c:pt idx="13">
                  <c:v>-58.96</c:v>
                </c:pt>
                <c:pt idx="14">
                  <c:v>-64.92</c:v>
                </c:pt>
                <c:pt idx="15">
                  <c:v>-53.57</c:v>
                </c:pt>
                <c:pt idx="16">
                  <c:v>-50.55</c:v>
                </c:pt>
                <c:pt idx="17">
                  <c:v>-51.2</c:v>
                </c:pt>
                <c:pt idx="18">
                  <c:v>-47.95</c:v>
                </c:pt>
                <c:pt idx="19">
                  <c:v>-49.5</c:v>
                </c:pt>
                <c:pt idx="20">
                  <c:v>-46.95</c:v>
                </c:pt>
                <c:pt idx="21">
                  <c:v>-53.73</c:v>
                </c:pt>
                <c:pt idx="22">
                  <c:v>-47.95</c:v>
                </c:pt>
                <c:pt idx="23">
                  <c:v>-47.8</c:v>
                </c:pt>
                <c:pt idx="24">
                  <c:v>-44.38</c:v>
                </c:pt>
                <c:pt idx="25">
                  <c:v>-41.62</c:v>
                </c:pt>
                <c:pt idx="26">
                  <c:v>-43.27</c:v>
                </c:pt>
                <c:pt idx="27">
                  <c:v>-45.28</c:v>
                </c:pt>
                <c:pt idx="28">
                  <c:v>-45.4</c:v>
                </c:pt>
                <c:pt idx="29">
                  <c:v>-42.59</c:v>
                </c:pt>
                <c:pt idx="30">
                  <c:v>-42.9</c:v>
                </c:pt>
                <c:pt idx="31">
                  <c:v>-44.31</c:v>
                </c:pt>
                <c:pt idx="32">
                  <c:v>-47.63</c:v>
                </c:pt>
                <c:pt idx="33">
                  <c:v>-43.65</c:v>
                </c:pt>
                <c:pt idx="34">
                  <c:v>-41.49</c:v>
                </c:pt>
                <c:pt idx="35">
                  <c:v>-40.450000000000003</c:v>
                </c:pt>
                <c:pt idx="36">
                  <c:v>-40.33</c:v>
                </c:pt>
                <c:pt idx="37">
                  <c:v>-39.799999999999997</c:v>
                </c:pt>
                <c:pt idx="38">
                  <c:v>-39.47</c:v>
                </c:pt>
                <c:pt idx="39">
                  <c:v>-41</c:v>
                </c:pt>
                <c:pt idx="40">
                  <c:v>-44.44</c:v>
                </c:pt>
                <c:pt idx="41">
                  <c:v>-46.04</c:v>
                </c:pt>
                <c:pt idx="42">
                  <c:v>-47.12</c:v>
                </c:pt>
                <c:pt idx="43">
                  <c:v>-55.93</c:v>
                </c:pt>
                <c:pt idx="44">
                  <c:v>-49</c:v>
                </c:pt>
                <c:pt idx="45">
                  <c:v>-47.73</c:v>
                </c:pt>
                <c:pt idx="46">
                  <c:v>-57.51</c:v>
                </c:pt>
                <c:pt idx="47">
                  <c:v>-54.04</c:v>
                </c:pt>
                <c:pt idx="48">
                  <c:v>-50.75</c:v>
                </c:pt>
                <c:pt idx="49">
                  <c:v>-46.07</c:v>
                </c:pt>
                <c:pt idx="50">
                  <c:v>-43.3</c:v>
                </c:pt>
                <c:pt idx="51">
                  <c:v>-42.64</c:v>
                </c:pt>
                <c:pt idx="52">
                  <c:v>-37.72</c:v>
                </c:pt>
                <c:pt idx="53">
                  <c:v>-31.63</c:v>
                </c:pt>
                <c:pt idx="54">
                  <c:v>-26.52</c:v>
                </c:pt>
                <c:pt idx="55">
                  <c:v>-24.77</c:v>
                </c:pt>
                <c:pt idx="56">
                  <c:v>-24.52</c:v>
                </c:pt>
                <c:pt idx="57">
                  <c:v>-23.99</c:v>
                </c:pt>
                <c:pt idx="58">
                  <c:v>-23.16</c:v>
                </c:pt>
                <c:pt idx="59">
                  <c:v>-20.68</c:v>
                </c:pt>
                <c:pt idx="60">
                  <c:v>-17.850000000000001</c:v>
                </c:pt>
                <c:pt idx="61">
                  <c:v>-12.54</c:v>
                </c:pt>
                <c:pt idx="62">
                  <c:v>-7.59</c:v>
                </c:pt>
                <c:pt idx="63">
                  <c:v>-8.2200000000000006</c:v>
                </c:pt>
                <c:pt idx="64">
                  <c:v>-13.43</c:v>
                </c:pt>
                <c:pt idx="65">
                  <c:v>-13.37</c:v>
                </c:pt>
                <c:pt idx="66">
                  <c:v>-13.11</c:v>
                </c:pt>
                <c:pt idx="67">
                  <c:v>-11.02</c:v>
                </c:pt>
                <c:pt idx="68">
                  <c:v>-15.33</c:v>
                </c:pt>
                <c:pt idx="69">
                  <c:v>-20.71</c:v>
                </c:pt>
                <c:pt idx="70">
                  <c:v>-21.19</c:v>
                </c:pt>
                <c:pt idx="71">
                  <c:v>-16.170000000000002</c:v>
                </c:pt>
                <c:pt idx="72">
                  <c:v>-23.94</c:v>
                </c:pt>
                <c:pt idx="73">
                  <c:v>-28.04</c:v>
                </c:pt>
                <c:pt idx="74">
                  <c:v>-28.74</c:v>
                </c:pt>
                <c:pt idx="75">
                  <c:v>-74.66</c:v>
                </c:pt>
                <c:pt idx="76">
                  <c:v>-75.599999999999994</c:v>
                </c:pt>
                <c:pt idx="77">
                  <c:v>-75.62</c:v>
                </c:pt>
                <c:pt idx="78">
                  <c:v>-72</c:v>
                </c:pt>
                <c:pt idx="79">
                  <c:v>-72.66</c:v>
                </c:pt>
                <c:pt idx="80">
                  <c:v>-78.2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'Average data'!$AP$5</c:f>
              <c:strCache>
                <c:ptCount val="1"/>
                <c:pt idx="0">
                  <c:v>10Front_LMin..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data'!$AP$6:$AP$86</c:f>
              <c:numCache>
                <c:formatCode>General</c:formatCode>
                <c:ptCount val="81"/>
                <c:pt idx="0">
                  <c:v>-58.69</c:v>
                </c:pt>
                <c:pt idx="1">
                  <c:v>-57.99</c:v>
                </c:pt>
                <c:pt idx="2">
                  <c:v>-67.12</c:v>
                </c:pt>
                <c:pt idx="3">
                  <c:v>-69.44</c:v>
                </c:pt>
                <c:pt idx="4">
                  <c:v>-60.35</c:v>
                </c:pt>
                <c:pt idx="5">
                  <c:v>-61.22</c:v>
                </c:pt>
                <c:pt idx="6">
                  <c:v>-58.67</c:v>
                </c:pt>
                <c:pt idx="7">
                  <c:v>-56.03</c:v>
                </c:pt>
                <c:pt idx="8">
                  <c:v>-60.79</c:v>
                </c:pt>
                <c:pt idx="9">
                  <c:v>-55.47</c:v>
                </c:pt>
                <c:pt idx="10">
                  <c:v>-51.77</c:v>
                </c:pt>
                <c:pt idx="11">
                  <c:v>-59.56</c:v>
                </c:pt>
                <c:pt idx="12">
                  <c:v>-56.89</c:v>
                </c:pt>
                <c:pt idx="13">
                  <c:v>-51.29</c:v>
                </c:pt>
                <c:pt idx="14">
                  <c:v>-61.91</c:v>
                </c:pt>
                <c:pt idx="15">
                  <c:v>-51.27</c:v>
                </c:pt>
                <c:pt idx="16">
                  <c:v>-48.44</c:v>
                </c:pt>
                <c:pt idx="17">
                  <c:v>-57.68</c:v>
                </c:pt>
                <c:pt idx="18">
                  <c:v>-50</c:v>
                </c:pt>
                <c:pt idx="19">
                  <c:v>-50.61</c:v>
                </c:pt>
                <c:pt idx="20">
                  <c:v>-39.409999999999997</c:v>
                </c:pt>
                <c:pt idx="21">
                  <c:v>-42.19</c:v>
                </c:pt>
                <c:pt idx="22">
                  <c:v>-41.28</c:v>
                </c:pt>
                <c:pt idx="23">
                  <c:v>-38.81</c:v>
                </c:pt>
                <c:pt idx="24">
                  <c:v>-46.51</c:v>
                </c:pt>
                <c:pt idx="25">
                  <c:v>-41.41</c:v>
                </c:pt>
                <c:pt idx="26">
                  <c:v>-44.57</c:v>
                </c:pt>
                <c:pt idx="27">
                  <c:v>-39.869999999999997</c:v>
                </c:pt>
                <c:pt idx="28">
                  <c:v>-40.65</c:v>
                </c:pt>
                <c:pt idx="29">
                  <c:v>-39.46</c:v>
                </c:pt>
                <c:pt idx="30">
                  <c:v>-38.65</c:v>
                </c:pt>
                <c:pt idx="31">
                  <c:v>-40.6</c:v>
                </c:pt>
                <c:pt idx="32">
                  <c:v>-42.46</c:v>
                </c:pt>
                <c:pt idx="33">
                  <c:v>-45.88</c:v>
                </c:pt>
                <c:pt idx="34">
                  <c:v>-45.73</c:v>
                </c:pt>
                <c:pt idx="35">
                  <c:v>-42.91</c:v>
                </c:pt>
                <c:pt idx="36">
                  <c:v>-37.89</c:v>
                </c:pt>
                <c:pt idx="37">
                  <c:v>-38.590000000000003</c:v>
                </c:pt>
                <c:pt idx="38">
                  <c:v>-37.94</c:v>
                </c:pt>
                <c:pt idx="39">
                  <c:v>-36.86</c:v>
                </c:pt>
                <c:pt idx="40">
                  <c:v>-33.200000000000003</c:v>
                </c:pt>
                <c:pt idx="41">
                  <c:v>-31.39</c:v>
                </c:pt>
                <c:pt idx="42">
                  <c:v>-31.86</c:v>
                </c:pt>
                <c:pt idx="43">
                  <c:v>-32.08</c:v>
                </c:pt>
                <c:pt idx="44">
                  <c:v>-32.880000000000003</c:v>
                </c:pt>
                <c:pt idx="45">
                  <c:v>-34</c:v>
                </c:pt>
                <c:pt idx="46">
                  <c:v>-35.33</c:v>
                </c:pt>
                <c:pt idx="47">
                  <c:v>-34.909999999999997</c:v>
                </c:pt>
                <c:pt idx="48">
                  <c:v>-34.57</c:v>
                </c:pt>
                <c:pt idx="49">
                  <c:v>-33.880000000000003</c:v>
                </c:pt>
                <c:pt idx="50">
                  <c:v>-32.57</c:v>
                </c:pt>
                <c:pt idx="51">
                  <c:v>-30.44</c:v>
                </c:pt>
                <c:pt idx="52">
                  <c:v>-27.97</c:v>
                </c:pt>
                <c:pt idx="53">
                  <c:v>-24.9</c:v>
                </c:pt>
                <c:pt idx="54">
                  <c:v>-20.87</c:v>
                </c:pt>
                <c:pt idx="55">
                  <c:v>-20.84</c:v>
                </c:pt>
                <c:pt idx="56">
                  <c:v>-23.02</c:v>
                </c:pt>
                <c:pt idx="57">
                  <c:v>-25.29</c:v>
                </c:pt>
                <c:pt idx="58">
                  <c:v>-24.67</c:v>
                </c:pt>
                <c:pt idx="59">
                  <c:v>-21.31</c:v>
                </c:pt>
                <c:pt idx="60">
                  <c:v>-17.95</c:v>
                </c:pt>
                <c:pt idx="61">
                  <c:v>-15.57</c:v>
                </c:pt>
                <c:pt idx="62">
                  <c:v>-12.25</c:v>
                </c:pt>
                <c:pt idx="63">
                  <c:v>-13.56</c:v>
                </c:pt>
                <c:pt idx="64">
                  <c:v>-16.86</c:v>
                </c:pt>
                <c:pt idx="65">
                  <c:v>-14.22</c:v>
                </c:pt>
                <c:pt idx="66">
                  <c:v>-14.42</c:v>
                </c:pt>
                <c:pt idx="67">
                  <c:v>-13.95</c:v>
                </c:pt>
                <c:pt idx="68">
                  <c:v>-18.809999999999999</c:v>
                </c:pt>
                <c:pt idx="69">
                  <c:v>-21.94</c:v>
                </c:pt>
                <c:pt idx="70">
                  <c:v>-22.14</c:v>
                </c:pt>
                <c:pt idx="71">
                  <c:v>-16.72</c:v>
                </c:pt>
                <c:pt idx="72">
                  <c:v>-24.93</c:v>
                </c:pt>
                <c:pt idx="73">
                  <c:v>-28.8</c:v>
                </c:pt>
                <c:pt idx="74">
                  <c:v>-29.66</c:v>
                </c:pt>
                <c:pt idx="75">
                  <c:v>-76.69</c:v>
                </c:pt>
                <c:pt idx="76">
                  <c:v>-87.23</c:v>
                </c:pt>
                <c:pt idx="77">
                  <c:v>-97.66</c:v>
                </c:pt>
                <c:pt idx="78">
                  <c:v>-88.89</c:v>
                </c:pt>
                <c:pt idx="79">
                  <c:v>-91.39</c:v>
                </c:pt>
                <c:pt idx="80">
                  <c:v>-98.73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'Average data'!$AQ$5</c:f>
              <c:strCache>
                <c:ptCount val="1"/>
                <c:pt idx="0">
                  <c:v>10Rear_HLMin..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data'!$AQ$6:$AQ$86</c:f>
              <c:numCache>
                <c:formatCode>General</c:formatCode>
                <c:ptCount val="81"/>
                <c:pt idx="0">
                  <c:v>-58.69</c:v>
                </c:pt>
                <c:pt idx="1">
                  <c:v>-62.11</c:v>
                </c:pt>
                <c:pt idx="2">
                  <c:v>-63.66</c:v>
                </c:pt>
                <c:pt idx="3">
                  <c:v>-62.18</c:v>
                </c:pt>
                <c:pt idx="4">
                  <c:v>-62.66</c:v>
                </c:pt>
                <c:pt idx="5">
                  <c:v>-59.14</c:v>
                </c:pt>
                <c:pt idx="6">
                  <c:v>-55.97</c:v>
                </c:pt>
                <c:pt idx="7">
                  <c:v>-65.290000000000006</c:v>
                </c:pt>
                <c:pt idx="8">
                  <c:v>-61.89</c:v>
                </c:pt>
                <c:pt idx="9">
                  <c:v>-53.55</c:v>
                </c:pt>
                <c:pt idx="10">
                  <c:v>-68.47</c:v>
                </c:pt>
                <c:pt idx="11">
                  <c:v>-55.04</c:v>
                </c:pt>
                <c:pt idx="12">
                  <c:v>-62.87</c:v>
                </c:pt>
                <c:pt idx="13">
                  <c:v>-67.290000000000006</c:v>
                </c:pt>
                <c:pt idx="14">
                  <c:v>-66.13</c:v>
                </c:pt>
                <c:pt idx="15">
                  <c:v>-54.77</c:v>
                </c:pt>
                <c:pt idx="16">
                  <c:v>-61.75</c:v>
                </c:pt>
                <c:pt idx="17">
                  <c:v>-64.45</c:v>
                </c:pt>
                <c:pt idx="18">
                  <c:v>-47.77</c:v>
                </c:pt>
                <c:pt idx="19">
                  <c:v>-65.37</c:v>
                </c:pt>
                <c:pt idx="20">
                  <c:v>-51.69</c:v>
                </c:pt>
                <c:pt idx="21">
                  <c:v>-49.43</c:v>
                </c:pt>
                <c:pt idx="22">
                  <c:v>-47.61</c:v>
                </c:pt>
                <c:pt idx="23">
                  <c:v>-42.32</c:v>
                </c:pt>
                <c:pt idx="24">
                  <c:v>-39.340000000000003</c:v>
                </c:pt>
                <c:pt idx="25">
                  <c:v>-39.28</c:v>
                </c:pt>
                <c:pt idx="26">
                  <c:v>-37.159999999999997</c:v>
                </c:pt>
                <c:pt idx="27">
                  <c:v>-37.340000000000003</c:v>
                </c:pt>
                <c:pt idx="28">
                  <c:v>-35.979999999999997</c:v>
                </c:pt>
                <c:pt idx="29">
                  <c:v>-37.58</c:v>
                </c:pt>
                <c:pt idx="30">
                  <c:v>-37.24</c:v>
                </c:pt>
                <c:pt idx="31">
                  <c:v>-40.409999999999997</c:v>
                </c:pt>
                <c:pt idx="32">
                  <c:v>-39.51</c:v>
                </c:pt>
                <c:pt idx="33">
                  <c:v>-37.909999999999997</c:v>
                </c:pt>
                <c:pt idx="34">
                  <c:v>-36.67</c:v>
                </c:pt>
                <c:pt idx="35">
                  <c:v>-34.03</c:v>
                </c:pt>
                <c:pt idx="36">
                  <c:v>-32.67</c:v>
                </c:pt>
                <c:pt idx="37">
                  <c:v>-31.21</c:v>
                </c:pt>
                <c:pt idx="38">
                  <c:v>-29.23</c:v>
                </c:pt>
                <c:pt idx="39">
                  <c:v>-27.48</c:v>
                </c:pt>
                <c:pt idx="40">
                  <c:v>-26.21</c:v>
                </c:pt>
                <c:pt idx="41">
                  <c:v>-25.67</c:v>
                </c:pt>
                <c:pt idx="42">
                  <c:v>-26.36</c:v>
                </c:pt>
                <c:pt idx="43">
                  <c:v>-26.86</c:v>
                </c:pt>
                <c:pt idx="44">
                  <c:v>-27.29</c:v>
                </c:pt>
                <c:pt idx="45">
                  <c:v>-28.05</c:v>
                </c:pt>
                <c:pt idx="46">
                  <c:v>-29.51</c:v>
                </c:pt>
                <c:pt idx="47">
                  <c:v>-31.13</c:v>
                </c:pt>
                <c:pt idx="48">
                  <c:v>-32.1</c:v>
                </c:pt>
                <c:pt idx="49">
                  <c:v>-32.24</c:v>
                </c:pt>
                <c:pt idx="50">
                  <c:v>-30.82</c:v>
                </c:pt>
                <c:pt idx="51">
                  <c:v>-27.85</c:v>
                </c:pt>
                <c:pt idx="52">
                  <c:v>-25.23</c:v>
                </c:pt>
                <c:pt idx="53">
                  <c:v>-23.86</c:v>
                </c:pt>
                <c:pt idx="54">
                  <c:v>-24.01</c:v>
                </c:pt>
                <c:pt idx="55">
                  <c:v>-20.94</c:v>
                </c:pt>
                <c:pt idx="56">
                  <c:v>-18.350000000000001</c:v>
                </c:pt>
                <c:pt idx="57">
                  <c:v>-17.02</c:v>
                </c:pt>
                <c:pt idx="58">
                  <c:v>-16.190000000000001</c:v>
                </c:pt>
                <c:pt idx="59">
                  <c:v>-15.57</c:v>
                </c:pt>
                <c:pt idx="60">
                  <c:v>-14.62</c:v>
                </c:pt>
                <c:pt idx="61">
                  <c:v>-12.87</c:v>
                </c:pt>
                <c:pt idx="62">
                  <c:v>-10.68</c:v>
                </c:pt>
                <c:pt idx="63">
                  <c:v>-12.63</c:v>
                </c:pt>
                <c:pt idx="64">
                  <c:v>-17.03</c:v>
                </c:pt>
                <c:pt idx="65">
                  <c:v>-17.27</c:v>
                </c:pt>
                <c:pt idx="66">
                  <c:v>-24.2</c:v>
                </c:pt>
                <c:pt idx="67">
                  <c:v>-21.42</c:v>
                </c:pt>
                <c:pt idx="68">
                  <c:v>-25.97</c:v>
                </c:pt>
                <c:pt idx="69">
                  <c:v>-22.57</c:v>
                </c:pt>
                <c:pt idx="70">
                  <c:v>-19.28</c:v>
                </c:pt>
                <c:pt idx="71">
                  <c:v>-13.81</c:v>
                </c:pt>
                <c:pt idx="72">
                  <c:v>-20.46</c:v>
                </c:pt>
                <c:pt idx="73">
                  <c:v>-32.46</c:v>
                </c:pt>
                <c:pt idx="74">
                  <c:v>-43.09</c:v>
                </c:pt>
                <c:pt idx="75">
                  <c:v>-73.069999999999993</c:v>
                </c:pt>
                <c:pt idx="76">
                  <c:v>-73.22</c:v>
                </c:pt>
                <c:pt idx="77">
                  <c:v>-78.17</c:v>
                </c:pt>
                <c:pt idx="78">
                  <c:v>-79.150000000000006</c:v>
                </c:pt>
                <c:pt idx="79">
                  <c:v>-72.92</c:v>
                </c:pt>
                <c:pt idx="80">
                  <c:v>-82.67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'Average data'!$AR$5</c:f>
              <c:strCache>
                <c:ptCount val="1"/>
                <c:pt idx="0">
                  <c:v>10Rear_HRMin..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data'!$AR$6:$AR$86</c:f>
              <c:numCache>
                <c:formatCode>General</c:formatCode>
                <c:ptCount val="81"/>
                <c:pt idx="0">
                  <c:v>-62.48</c:v>
                </c:pt>
                <c:pt idx="1">
                  <c:v>-73.400000000000006</c:v>
                </c:pt>
                <c:pt idx="2">
                  <c:v>-63.47</c:v>
                </c:pt>
                <c:pt idx="3">
                  <c:v>-58.56</c:v>
                </c:pt>
                <c:pt idx="4">
                  <c:v>-55.15</c:v>
                </c:pt>
                <c:pt idx="5">
                  <c:v>-56.65</c:v>
                </c:pt>
                <c:pt idx="6">
                  <c:v>-68.03</c:v>
                </c:pt>
                <c:pt idx="7">
                  <c:v>-66.02</c:v>
                </c:pt>
                <c:pt idx="8">
                  <c:v>-64.599999999999994</c:v>
                </c:pt>
                <c:pt idx="9">
                  <c:v>-58.75</c:v>
                </c:pt>
                <c:pt idx="10">
                  <c:v>-69.48</c:v>
                </c:pt>
                <c:pt idx="11">
                  <c:v>-66.27</c:v>
                </c:pt>
                <c:pt idx="12">
                  <c:v>-70.099999999999994</c:v>
                </c:pt>
                <c:pt idx="13">
                  <c:v>-69.13</c:v>
                </c:pt>
                <c:pt idx="14">
                  <c:v>-55.83</c:v>
                </c:pt>
                <c:pt idx="15">
                  <c:v>-61.88</c:v>
                </c:pt>
                <c:pt idx="16">
                  <c:v>-62.48</c:v>
                </c:pt>
                <c:pt idx="17">
                  <c:v>-58.75</c:v>
                </c:pt>
                <c:pt idx="18">
                  <c:v>-55.27</c:v>
                </c:pt>
                <c:pt idx="19">
                  <c:v>-51.05</c:v>
                </c:pt>
                <c:pt idx="20">
                  <c:v>-49.62</c:v>
                </c:pt>
                <c:pt idx="21">
                  <c:v>-48.05</c:v>
                </c:pt>
                <c:pt idx="22">
                  <c:v>-49.84</c:v>
                </c:pt>
                <c:pt idx="23">
                  <c:v>-44.43</c:v>
                </c:pt>
                <c:pt idx="24">
                  <c:v>-42.28</c:v>
                </c:pt>
                <c:pt idx="25">
                  <c:v>-40.35</c:v>
                </c:pt>
                <c:pt idx="26">
                  <c:v>-37.46</c:v>
                </c:pt>
                <c:pt idx="27">
                  <c:v>-36.409999999999997</c:v>
                </c:pt>
                <c:pt idx="28">
                  <c:v>-37.049999999999997</c:v>
                </c:pt>
                <c:pt idx="29">
                  <c:v>-35.76</c:v>
                </c:pt>
                <c:pt idx="30">
                  <c:v>-37.619999999999997</c:v>
                </c:pt>
                <c:pt idx="31">
                  <c:v>-35.93</c:v>
                </c:pt>
                <c:pt idx="32">
                  <c:v>-38.01</c:v>
                </c:pt>
                <c:pt idx="33">
                  <c:v>-37.61</c:v>
                </c:pt>
                <c:pt idx="34">
                  <c:v>-35.92</c:v>
                </c:pt>
                <c:pt idx="35">
                  <c:v>-33.200000000000003</c:v>
                </c:pt>
                <c:pt idx="36">
                  <c:v>-32.909999999999997</c:v>
                </c:pt>
                <c:pt idx="37">
                  <c:v>-32.17</c:v>
                </c:pt>
                <c:pt idx="38">
                  <c:v>-30.82</c:v>
                </c:pt>
                <c:pt idx="39">
                  <c:v>-28.42</c:v>
                </c:pt>
                <c:pt idx="40">
                  <c:v>-26.92</c:v>
                </c:pt>
                <c:pt idx="41">
                  <c:v>-26.93</c:v>
                </c:pt>
                <c:pt idx="42">
                  <c:v>-28.14</c:v>
                </c:pt>
                <c:pt idx="43">
                  <c:v>-29.42</c:v>
                </c:pt>
                <c:pt idx="44">
                  <c:v>-30.27</c:v>
                </c:pt>
                <c:pt idx="45">
                  <c:v>-30.98</c:v>
                </c:pt>
                <c:pt idx="46">
                  <c:v>-30.92</c:v>
                </c:pt>
                <c:pt idx="47">
                  <c:v>-28.91</c:v>
                </c:pt>
                <c:pt idx="48">
                  <c:v>-27.33</c:v>
                </c:pt>
                <c:pt idx="49">
                  <c:v>-26.09</c:v>
                </c:pt>
                <c:pt idx="50">
                  <c:v>-25.88</c:v>
                </c:pt>
                <c:pt idx="51">
                  <c:v>-25.52</c:v>
                </c:pt>
                <c:pt idx="52">
                  <c:v>-24.41</c:v>
                </c:pt>
                <c:pt idx="53">
                  <c:v>-23.1</c:v>
                </c:pt>
                <c:pt idx="54">
                  <c:v>-22.12</c:v>
                </c:pt>
                <c:pt idx="55">
                  <c:v>-19.25</c:v>
                </c:pt>
                <c:pt idx="56">
                  <c:v>-17.53</c:v>
                </c:pt>
                <c:pt idx="57">
                  <c:v>-16.920000000000002</c:v>
                </c:pt>
                <c:pt idx="58">
                  <c:v>-15.92</c:v>
                </c:pt>
                <c:pt idx="59">
                  <c:v>-14.59</c:v>
                </c:pt>
                <c:pt idx="60">
                  <c:v>-13.58</c:v>
                </c:pt>
                <c:pt idx="61">
                  <c:v>-11.2</c:v>
                </c:pt>
                <c:pt idx="62">
                  <c:v>-9.67</c:v>
                </c:pt>
                <c:pt idx="63">
                  <c:v>-11.74</c:v>
                </c:pt>
                <c:pt idx="64">
                  <c:v>-17.37</c:v>
                </c:pt>
                <c:pt idx="65">
                  <c:v>-15.2</c:v>
                </c:pt>
                <c:pt idx="66">
                  <c:v>-19.32</c:v>
                </c:pt>
                <c:pt idx="67">
                  <c:v>-28.57</c:v>
                </c:pt>
                <c:pt idx="68">
                  <c:v>-25.79</c:v>
                </c:pt>
                <c:pt idx="69">
                  <c:v>-23.4</c:v>
                </c:pt>
                <c:pt idx="70">
                  <c:v>-19.45</c:v>
                </c:pt>
                <c:pt idx="71">
                  <c:v>-13.29</c:v>
                </c:pt>
                <c:pt idx="72">
                  <c:v>-21.24</c:v>
                </c:pt>
                <c:pt idx="73">
                  <c:v>-33.119999999999997</c:v>
                </c:pt>
                <c:pt idx="74">
                  <c:v>-45.17</c:v>
                </c:pt>
                <c:pt idx="75">
                  <c:v>-71.52</c:v>
                </c:pt>
                <c:pt idx="76">
                  <c:v>-78.52</c:v>
                </c:pt>
                <c:pt idx="77">
                  <c:v>-81.319999999999993</c:v>
                </c:pt>
                <c:pt idx="78">
                  <c:v>-80.25</c:v>
                </c:pt>
                <c:pt idx="79">
                  <c:v>-73.61</c:v>
                </c:pt>
                <c:pt idx="80">
                  <c:v>-67.680000000000007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'Average data'!$AS$5</c:f>
              <c:strCache>
                <c:ptCount val="1"/>
                <c:pt idx="0">
                  <c:v>10Rear_LMin..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data'!$AS$6:$AS$86</c:f>
              <c:numCache>
                <c:formatCode>General</c:formatCode>
                <c:ptCount val="81"/>
                <c:pt idx="0">
                  <c:v>-59.94</c:v>
                </c:pt>
                <c:pt idx="1">
                  <c:v>-62.42</c:v>
                </c:pt>
                <c:pt idx="2">
                  <c:v>-68.709999999999994</c:v>
                </c:pt>
                <c:pt idx="3">
                  <c:v>-58.29</c:v>
                </c:pt>
                <c:pt idx="4">
                  <c:v>-56.5</c:v>
                </c:pt>
                <c:pt idx="5">
                  <c:v>-57.48</c:v>
                </c:pt>
                <c:pt idx="6">
                  <c:v>-58.68</c:v>
                </c:pt>
                <c:pt idx="7">
                  <c:v>-57.22</c:v>
                </c:pt>
                <c:pt idx="8">
                  <c:v>-59.04</c:v>
                </c:pt>
                <c:pt idx="9">
                  <c:v>-58.96</c:v>
                </c:pt>
                <c:pt idx="10">
                  <c:v>-56.77</c:v>
                </c:pt>
                <c:pt idx="11">
                  <c:v>-61.76</c:v>
                </c:pt>
                <c:pt idx="12">
                  <c:v>-53.75</c:v>
                </c:pt>
                <c:pt idx="13">
                  <c:v>-57.33</c:v>
                </c:pt>
                <c:pt idx="14">
                  <c:v>-53.99</c:v>
                </c:pt>
                <c:pt idx="15">
                  <c:v>-66.36</c:v>
                </c:pt>
                <c:pt idx="16">
                  <c:v>-55.42</c:v>
                </c:pt>
                <c:pt idx="17">
                  <c:v>-56.01</c:v>
                </c:pt>
                <c:pt idx="18">
                  <c:v>-59.86</c:v>
                </c:pt>
                <c:pt idx="19">
                  <c:v>-63.37</c:v>
                </c:pt>
                <c:pt idx="20">
                  <c:v>-49.47</c:v>
                </c:pt>
                <c:pt idx="21">
                  <c:v>-45.39</c:v>
                </c:pt>
                <c:pt idx="22">
                  <c:v>-50.21</c:v>
                </c:pt>
                <c:pt idx="23">
                  <c:v>-41.23</c:v>
                </c:pt>
                <c:pt idx="24">
                  <c:v>-40.89</c:v>
                </c:pt>
                <c:pt idx="25">
                  <c:v>-45.84</c:v>
                </c:pt>
                <c:pt idx="26">
                  <c:v>-40.64</c:v>
                </c:pt>
                <c:pt idx="27">
                  <c:v>-38.909999999999997</c:v>
                </c:pt>
                <c:pt idx="28">
                  <c:v>-35.35</c:v>
                </c:pt>
                <c:pt idx="29">
                  <c:v>-35.67</c:v>
                </c:pt>
                <c:pt idx="30">
                  <c:v>-36.049999999999997</c:v>
                </c:pt>
                <c:pt idx="31">
                  <c:v>-37.1</c:v>
                </c:pt>
                <c:pt idx="32">
                  <c:v>-37.799999999999997</c:v>
                </c:pt>
                <c:pt idx="33">
                  <c:v>-36.950000000000003</c:v>
                </c:pt>
                <c:pt idx="34">
                  <c:v>-37.049999999999997</c:v>
                </c:pt>
                <c:pt idx="35">
                  <c:v>-34.75</c:v>
                </c:pt>
                <c:pt idx="36">
                  <c:v>-31.26</c:v>
                </c:pt>
                <c:pt idx="37">
                  <c:v>-29.1</c:v>
                </c:pt>
                <c:pt idx="38">
                  <c:v>-27.15</c:v>
                </c:pt>
                <c:pt idx="39">
                  <c:v>-25.37</c:v>
                </c:pt>
                <c:pt idx="40">
                  <c:v>-23.47</c:v>
                </c:pt>
                <c:pt idx="41">
                  <c:v>-22.3</c:v>
                </c:pt>
                <c:pt idx="42">
                  <c:v>-23.05</c:v>
                </c:pt>
                <c:pt idx="43">
                  <c:v>-23.87</c:v>
                </c:pt>
                <c:pt idx="44">
                  <c:v>-24.89</c:v>
                </c:pt>
                <c:pt idx="45">
                  <c:v>-25.59</c:v>
                </c:pt>
                <c:pt idx="46">
                  <c:v>-26.23</c:v>
                </c:pt>
                <c:pt idx="47">
                  <c:v>-26.68</c:v>
                </c:pt>
                <c:pt idx="48">
                  <c:v>-28</c:v>
                </c:pt>
                <c:pt idx="49">
                  <c:v>-29.12</c:v>
                </c:pt>
                <c:pt idx="50">
                  <c:v>-30.04</c:v>
                </c:pt>
                <c:pt idx="51">
                  <c:v>-31.8</c:v>
                </c:pt>
                <c:pt idx="52">
                  <c:v>-33.35</c:v>
                </c:pt>
                <c:pt idx="53">
                  <c:v>-35.24</c:v>
                </c:pt>
                <c:pt idx="54">
                  <c:v>-25.82</c:v>
                </c:pt>
                <c:pt idx="55">
                  <c:v>-20.28</c:v>
                </c:pt>
                <c:pt idx="56">
                  <c:v>-18.64</c:v>
                </c:pt>
                <c:pt idx="57">
                  <c:v>-18.18</c:v>
                </c:pt>
                <c:pt idx="58">
                  <c:v>-18.14</c:v>
                </c:pt>
                <c:pt idx="59">
                  <c:v>-17.21</c:v>
                </c:pt>
                <c:pt idx="60">
                  <c:v>-16.84</c:v>
                </c:pt>
                <c:pt idx="61">
                  <c:v>-14.03</c:v>
                </c:pt>
                <c:pt idx="62">
                  <c:v>-9.9700000000000006</c:v>
                </c:pt>
                <c:pt idx="63">
                  <c:v>-9.67</c:v>
                </c:pt>
                <c:pt idx="64">
                  <c:v>-16.149999999999999</c:v>
                </c:pt>
                <c:pt idx="65">
                  <c:v>-24.6</c:v>
                </c:pt>
                <c:pt idx="66">
                  <c:v>-21.26</c:v>
                </c:pt>
                <c:pt idx="67">
                  <c:v>-28.47</c:v>
                </c:pt>
                <c:pt idx="68">
                  <c:v>-26.73</c:v>
                </c:pt>
                <c:pt idx="69">
                  <c:v>-24.15</c:v>
                </c:pt>
                <c:pt idx="70">
                  <c:v>-21.59</c:v>
                </c:pt>
                <c:pt idx="71">
                  <c:v>-14.37</c:v>
                </c:pt>
                <c:pt idx="72">
                  <c:v>-20.260000000000002</c:v>
                </c:pt>
                <c:pt idx="73">
                  <c:v>-32.119999999999997</c:v>
                </c:pt>
                <c:pt idx="74">
                  <c:v>-42.39</c:v>
                </c:pt>
                <c:pt idx="75">
                  <c:v>-86.79</c:v>
                </c:pt>
                <c:pt idx="76">
                  <c:v>-85.74</c:v>
                </c:pt>
                <c:pt idx="77">
                  <c:v>-94.71</c:v>
                </c:pt>
                <c:pt idx="78">
                  <c:v>-83.15</c:v>
                </c:pt>
                <c:pt idx="79">
                  <c:v>-88.81</c:v>
                </c:pt>
                <c:pt idx="80">
                  <c:v>-87.77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'Average data'!$AT$5</c:f>
              <c:strCache>
                <c:ptCount val="1"/>
                <c:pt idx="0">
                  <c:v>10Front_HLDiff~..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data'!$AT$6:$AT$86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'Average data'!$AU$5</c:f>
              <c:strCache>
                <c:ptCount val="1"/>
                <c:pt idx="0">
                  <c:v>10Front_HRDiff~..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data'!$AU$6:$AU$86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'Average data'!$AV$5</c:f>
              <c:strCache>
                <c:ptCount val="1"/>
                <c:pt idx="0">
                  <c:v>10Front_LDiff~..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data'!$AV$6:$AV$86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19"/>
          <c:order val="18"/>
          <c:tx>
            <c:strRef>
              <c:f>'Average data'!$AW$5</c:f>
              <c:strCache>
                <c:ptCount val="1"/>
                <c:pt idx="0">
                  <c:v>10Rear_HLDiff~..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data'!$AW$6:$AW$86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20"/>
          <c:order val="19"/>
          <c:tx>
            <c:strRef>
              <c:f>'Average data'!$AX$5</c:f>
              <c:strCache>
                <c:ptCount val="1"/>
                <c:pt idx="0">
                  <c:v>10Rear_HRDiff~..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data'!$AX$6:$AX$86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21"/>
          <c:order val="20"/>
          <c:tx>
            <c:strRef>
              <c:f>'Average data'!$AY$5</c:f>
              <c:strCache>
                <c:ptCount val="1"/>
                <c:pt idx="0">
                  <c:v>10Rear_LDiff~..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data'!$AY$6:$AY$86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81520"/>
        <c:axId val="473281912"/>
      </c:scatterChart>
      <c:valAx>
        <c:axId val="473281520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3590201601"/>
              <c:y val="0.96003196494719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281912"/>
        <c:crosses val="autoZero"/>
        <c:crossBetween val="midCat"/>
      </c:valAx>
      <c:valAx>
        <c:axId val="473281912"/>
        <c:scaling>
          <c:orientation val="minMax"/>
          <c:max val="2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88133583392E-2"/>
              <c:y val="0.462837621524820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281520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41939046266718072"/>
          <c:y val="0.72225933908932827"/>
          <c:w val="0.41142075197956895"/>
          <c:h val="0.2012321812290703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Front Rear mic for Delhi90_StandardSamples 5 Overview</a:t>
            </a:r>
          </a:p>
        </c:rich>
      </c:tx>
      <c:layout>
        <c:manualLayout>
          <c:xMode val="edge"/>
          <c:yMode val="edge"/>
          <c:x val="0.13306082301842448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062389742265822E-2"/>
          <c:y val="0.11983260833654534"/>
          <c:w val="0.91384944709780158"/>
          <c:h val="0.79141824055209886"/>
        </c:manualLayout>
      </c:layout>
      <c:scatterChart>
        <c:scatterStyle val="lineMarker"/>
        <c:varyColors val="0"/>
        <c:ser>
          <c:idx val="3"/>
          <c:order val="0"/>
          <c:tx>
            <c:strRef>
              <c:f>'Average data'!$AH$5</c:f>
              <c:strCache>
                <c:ptCount val="1"/>
                <c:pt idx="0">
                  <c:v>10Front_HLMax.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data'!$AH$6:$AH$86</c:f>
              <c:numCache>
                <c:formatCode>General</c:formatCode>
                <c:ptCount val="81"/>
                <c:pt idx="0">
                  <c:v>-54.74</c:v>
                </c:pt>
                <c:pt idx="1">
                  <c:v>-61.16</c:v>
                </c:pt>
                <c:pt idx="2">
                  <c:v>-60.58</c:v>
                </c:pt>
                <c:pt idx="3">
                  <c:v>-63.21</c:v>
                </c:pt>
                <c:pt idx="4">
                  <c:v>-55.86</c:v>
                </c:pt>
                <c:pt idx="5">
                  <c:v>-55.54</c:v>
                </c:pt>
                <c:pt idx="6">
                  <c:v>-59.12</c:v>
                </c:pt>
                <c:pt idx="7">
                  <c:v>-52.06</c:v>
                </c:pt>
                <c:pt idx="8">
                  <c:v>-56.53</c:v>
                </c:pt>
                <c:pt idx="9">
                  <c:v>-64.66</c:v>
                </c:pt>
                <c:pt idx="10">
                  <c:v>-50.72</c:v>
                </c:pt>
                <c:pt idx="11">
                  <c:v>-50.22</c:v>
                </c:pt>
                <c:pt idx="12">
                  <c:v>-63.98</c:v>
                </c:pt>
                <c:pt idx="13">
                  <c:v>-54.42</c:v>
                </c:pt>
                <c:pt idx="14">
                  <c:v>-52.77</c:v>
                </c:pt>
                <c:pt idx="15">
                  <c:v>-58.55</c:v>
                </c:pt>
                <c:pt idx="16">
                  <c:v>-50.86</c:v>
                </c:pt>
                <c:pt idx="17">
                  <c:v>-55.92</c:v>
                </c:pt>
                <c:pt idx="18">
                  <c:v>-52.25</c:v>
                </c:pt>
                <c:pt idx="19">
                  <c:v>-53.26</c:v>
                </c:pt>
                <c:pt idx="20">
                  <c:v>-45.61</c:v>
                </c:pt>
                <c:pt idx="21">
                  <c:v>-47.58</c:v>
                </c:pt>
                <c:pt idx="22">
                  <c:v>-43.99</c:v>
                </c:pt>
                <c:pt idx="23">
                  <c:v>-44.83</c:v>
                </c:pt>
                <c:pt idx="24">
                  <c:v>-41.6</c:v>
                </c:pt>
                <c:pt idx="25">
                  <c:v>-44.2</c:v>
                </c:pt>
                <c:pt idx="26">
                  <c:v>-43.8</c:v>
                </c:pt>
                <c:pt idx="27">
                  <c:v>-43.21</c:v>
                </c:pt>
                <c:pt idx="28">
                  <c:v>-41.39</c:v>
                </c:pt>
                <c:pt idx="29">
                  <c:v>-42.98</c:v>
                </c:pt>
                <c:pt idx="30">
                  <c:v>-45.84</c:v>
                </c:pt>
                <c:pt idx="31">
                  <c:v>-45.67</c:v>
                </c:pt>
                <c:pt idx="32">
                  <c:v>-43.47</c:v>
                </c:pt>
                <c:pt idx="33">
                  <c:v>-46.89</c:v>
                </c:pt>
                <c:pt idx="34">
                  <c:v>-43.04</c:v>
                </c:pt>
                <c:pt idx="35">
                  <c:v>-45.31</c:v>
                </c:pt>
                <c:pt idx="36">
                  <c:v>-44.66</c:v>
                </c:pt>
                <c:pt idx="37">
                  <c:v>-42.01</c:v>
                </c:pt>
                <c:pt idx="38">
                  <c:v>-46.16</c:v>
                </c:pt>
                <c:pt idx="39">
                  <c:v>-49.05</c:v>
                </c:pt>
                <c:pt idx="40">
                  <c:v>-48.19</c:v>
                </c:pt>
                <c:pt idx="41">
                  <c:v>-44.19</c:v>
                </c:pt>
                <c:pt idx="42">
                  <c:v>-44.96</c:v>
                </c:pt>
                <c:pt idx="43">
                  <c:v>-45.02</c:v>
                </c:pt>
                <c:pt idx="44">
                  <c:v>-44.91</c:v>
                </c:pt>
                <c:pt idx="45">
                  <c:v>-41.42</c:v>
                </c:pt>
                <c:pt idx="46">
                  <c:v>-41.7</c:v>
                </c:pt>
                <c:pt idx="47">
                  <c:v>-45.29</c:v>
                </c:pt>
                <c:pt idx="48">
                  <c:v>-47.42</c:v>
                </c:pt>
                <c:pt idx="49">
                  <c:v>-42.57</c:v>
                </c:pt>
                <c:pt idx="50">
                  <c:v>-36.64</c:v>
                </c:pt>
                <c:pt idx="51">
                  <c:v>-32.450000000000003</c:v>
                </c:pt>
                <c:pt idx="52">
                  <c:v>-29.43</c:v>
                </c:pt>
                <c:pt idx="53">
                  <c:v>-26.13</c:v>
                </c:pt>
                <c:pt idx="54">
                  <c:v>-22.81</c:v>
                </c:pt>
                <c:pt idx="55">
                  <c:v>-22.56</c:v>
                </c:pt>
                <c:pt idx="56">
                  <c:v>-24.53</c:v>
                </c:pt>
                <c:pt idx="57">
                  <c:v>-25.17</c:v>
                </c:pt>
                <c:pt idx="58">
                  <c:v>-23.95</c:v>
                </c:pt>
                <c:pt idx="59">
                  <c:v>-21.69</c:v>
                </c:pt>
                <c:pt idx="60">
                  <c:v>-19.5</c:v>
                </c:pt>
                <c:pt idx="61">
                  <c:v>-15.2</c:v>
                </c:pt>
                <c:pt idx="62">
                  <c:v>-10.62</c:v>
                </c:pt>
                <c:pt idx="63">
                  <c:v>-8.08</c:v>
                </c:pt>
                <c:pt idx="64">
                  <c:v>-15.08</c:v>
                </c:pt>
                <c:pt idx="65">
                  <c:v>-16.37</c:v>
                </c:pt>
                <c:pt idx="66">
                  <c:v>-15.27</c:v>
                </c:pt>
                <c:pt idx="67">
                  <c:v>-11.89</c:v>
                </c:pt>
                <c:pt idx="68">
                  <c:v>-16.850000000000001</c:v>
                </c:pt>
                <c:pt idx="69">
                  <c:v>-22.4</c:v>
                </c:pt>
                <c:pt idx="70">
                  <c:v>-24.1</c:v>
                </c:pt>
                <c:pt idx="71">
                  <c:v>-16.72</c:v>
                </c:pt>
                <c:pt idx="72">
                  <c:v>-24.3</c:v>
                </c:pt>
                <c:pt idx="73">
                  <c:v>-28.57</c:v>
                </c:pt>
                <c:pt idx="74">
                  <c:v>-29.29</c:v>
                </c:pt>
                <c:pt idx="75">
                  <c:v>-79.290000000000006</c:v>
                </c:pt>
                <c:pt idx="76">
                  <c:v>-96.35</c:v>
                </c:pt>
                <c:pt idx="77">
                  <c:v>-106.08</c:v>
                </c:pt>
                <c:pt idx="78">
                  <c:v>-103.84</c:v>
                </c:pt>
                <c:pt idx="79">
                  <c:v>-84.23</c:v>
                </c:pt>
                <c:pt idx="80">
                  <c:v>-92.78</c:v>
                </c:pt>
              </c:numCache>
            </c:numRef>
          </c:yVal>
          <c:smooth val="0"/>
        </c:ser>
        <c:ser>
          <c:idx val="7"/>
          <c:order val="1"/>
          <c:tx>
            <c:strRef>
              <c:f>'Average data'!$AK$5</c:f>
              <c:strCache>
                <c:ptCount val="1"/>
                <c:pt idx="0">
                  <c:v>10Rear_HLMax.</c:v>
                </c:pt>
              </c:strCache>
            </c:strRef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data'!$AK$6:$AK$86</c:f>
              <c:numCache>
                <c:formatCode>General</c:formatCode>
                <c:ptCount val="81"/>
                <c:pt idx="0">
                  <c:v>-58.69</c:v>
                </c:pt>
                <c:pt idx="1">
                  <c:v>-62.11</c:v>
                </c:pt>
                <c:pt idx="2">
                  <c:v>-63.66</c:v>
                </c:pt>
                <c:pt idx="3">
                  <c:v>-62.18</c:v>
                </c:pt>
                <c:pt idx="4">
                  <c:v>-62.66</c:v>
                </c:pt>
                <c:pt idx="5">
                  <c:v>-59.14</c:v>
                </c:pt>
                <c:pt idx="6">
                  <c:v>-55.97</c:v>
                </c:pt>
                <c:pt idx="7">
                  <c:v>-65.290000000000006</c:v>
                </c:pt>
                <c:pt idx="8">
                  <c:v>-61.89</c:v>
                </c:pt>
                <c:pt idx="9">
                  <c:v>-53.55</c:v>
                </c:pt>
                <c:pt idx="10">
                  <c:v>-68.47</c:v>
                </c:pt>
                <c:pt idx="11">
                  <c:v>-55.04</c:v>
                </c:pt>
                <c:pt idx="12">
                  <c:v>-62.87</c:v>
                </c:pt>
                <c:pt idx="13">
                  <c:v>-67.290000000000006</c:v>
                </c:pt>
                <c:pt idx="14">
                  <c:v>-66.13</c:v>
                </c:pt>
                <c:pt idx="15">
                  <c:v>-54.77</c:v>
                </c:pt>
                <c:pt idx="16">
                  <c:v>-61.75</c:v>
                </c:pt>
                <c:pt idx="17">
                  <c:v>-64.45</c:v>
                </c:pt>
                <c:pt idx="18">
                  <c:v>-47.77</c:v>
                </c:pt>
                <c:pt idx="19">
                  <c:v>-65.37</c:v>
                </c:pt>
                <c:pt idx="20">
                  <c:v>-51.69</c:v>
                </c:pt>
                <c:pt idx="21">
                  <c:v>-49.43</c:v>
                </c:pt>
                <c:pt idx="22">
                  <c:v>-47.61</c:v>
                </c:pt>
                <c:pt idx="23">
                  <c:v>-42.32</c:v>
                </c:pt>
                <c:pt idx="24">
                  <c:v>-39.340000000000003</c:v>
                </c:pt>
                <c:pt idx="25">
                  <c:v>-39.28</c:v>
                </c:pt>
                <c:pt idx="26">
                  <c:v>-37.159999999999997</c:v>
                </c:pt>
                <c:pt idx="27">
                  <c:v>-37.340000000000003</c:v>
                </c:pt>
                <c:pt idx="28">
                  <c:v>-35.979999999999997</c:v>
                </c:pt>
                <c:pt idx="29">
                  <c:v>-37.58</c:v>
                </c:pt>
                <c:pt idx="30">
                  <c:v>-37.24</c:v>
                </c:pt>
                <c:pt idx="31">
                  <c:v>-40.409999999999997</c:v>
                </c:pt>
                <c:pt idx="32">
                  <c:v>-39.51</c:v>
                </c:pt>
                <c:pt idx="33">
                  <c:v>-37.909999999999997</c:v>
                </c:pt>
                <c:pt idx="34">
                  <c:v>-36.67</c:v>
                </c:pt>
                <c:pt idx="35">
                  <c:v>-34.03</c:v>
                </c:pt>
                <c:pt idx="36">
                  <c:v>-32.67</c:v>
                </c:pt>
                <c:pt idx="37">
                  <c:v>-31.21</c:v>
                </c:pt>
                <c:pt idx="38">
                  <c:v>-29.23</c:v>
                </c:pt>
                <c:pt idx="39">
                  <c:v>-27.48</c:v>
                </c:pt>
                <c:pt idx="40">
                  <c:v>-26.21</c:v>
                </c:pt>
                <c:pt idx="41">
                  <c:v>-25.67</c:v>
                </c:pt>
                <c:pt idx="42">
                  <c:v>-26.36</c:v>
                </c:pt>
                <c:pt idx="43">
                  <c:v>-26.86</c:v>
                </c:pt>
                <c:pt idx="44">
                  <c:v>-27.29</c:v>
                </c:pt>
                <c:pt idx="45">
                  <c:v>-28.05</c:v>
                </c:pt>
                <c:pt idx="46">
                  <c:v>-29.51</c:v>
                </c:pt>
                <c:pt idx="47">
                  <c:v>-31.13</c:v>
                </c:pt>
                <c:pt idx="48">
                  <c:v>-32.1</c:v>
                </c:pt>
                <c:pt idx="49">
                  <c:v>-32.24</c:v>
                </c:pt>
                <c:pt idx="50">
                  <c:v>-30.82</c:v>
                </c:pt>
                <c:pt idx="51">
                  <c:v>-27.85</c:v>
                </c:pt>
                <c:pt idx="52">
                  <c:v>-25.23</c:v>
                </c:pt>
                <c:pt idx="53">
                  <c:v>-23.86</c:v>
                </c:pt>
                <c:pt idx="54">
                  <c:v>-24.01</c:v>
                </c:pt>
                <c:pt idx="55">
                  <c:v>-20.94</c:v>
                </c:pt>
                <c:pt idx="56">
                  <c:v>-18.350000000000001</c:v>
                </c:pt>
                <c:pt idx="57">
                  <c:v>-17.02</c:v>
                </c:pt>
                <c:pt idx="58">
                  <c:v>-16.190000000000001</c:v>
                </c:pt>
                <c:pt idx="59">
                  <c:v>-15.57</c:v>
                </c:pt>
                <c:pt idx="60">
                  <c:v>-14.62</c:v>
                </c:pt>
                <c:pt idx="61">
                  <c:v>-12.87</c:v>
                </c:pt>
                <c:pt idx="62">
                  <c:v>-10.68</c:v>
                </c:pt>
                <c:pt idx="63">
                  <c:v>-12.63</c:v>
                </c:pt>
                <c:pt idx="64">
                  <c:v>-17.03</c:v>
                </c:pt>
                <c:pt idx="65">
                  <c:v>-17.27</c:v>
                </c:pt>
                <c:pt idx="66">
                  <c:v>-24.2</c:v>
                </c:pt>
                <c:pt idx="67">
                  <c:v>-21.42</c:v>
                </c:pt>
                <c:pt idx="68">
                  <c:v>-25.97</c:v>
                </c:pt>
                <c:pt idx="69">
                  <c:v>-22.57</c:v>
                </c:pt>
                <c:pt idx="70">
                  <c:v>-19.28</c:v>
                </c:pt>
                <c:pt idx="71">
                  <c:v>-13.81</c:v>
                </c:pt>
                <c:pt idx="72">
                  <c:v>-20.46</c:v>
                </c:pt>
                <c:pt idx="73">
                  <c:v>-32.46</c:v>
                </c:pt>
                <c:pt idx="74">
                  <c:v>-43.09</c:v>
                </c:pt>
                <c:pt idx="75">
                  <c:v>-73.069999999999993</c:v>
                </c:pt>
                <c:pt idx="76">
                  <c:v>-73.22</c:v>
                </c:pt>
                <c:pt idx="77">
                  <c:v>-78.17</c:v>
                </c:pt>
                <c:pt idx="78">
                  <c:v>-79.150000000000006</c:v>
                </c:pt>
                <c:pt idx="79">
                  <c:v>-72.92</c:v>
                </c:pt>
                <c:pt idx="80">
                  <c:v>-82.67</c:v>
                </c:pt>
              </c:numCache>
            </c:numRef>
          </c:yVal>
          <c:smooth val="0"/>
        </c:ser>
        <c:ser>
          <c:idx val="10"/>
          <c:order val="2"/>
          <c:tx>
            <c:strRef>
              <c:f>'Average data'!$AN$5</c:f>
              <c:strCache>
                <c:ptCount val="1"/>
                <c:pt idx="0">
                  <c:v>10Front_HLMin..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data'!$AN$6:$AN$86</c:f>
              <c:numCache>
                <c:formatCode>General</c:formatCode>
                <c:ptCount val="81"/>
                <c:pt idx="0">
                  <c:v>-54.74</c:v>
                </c:pt>
                <c:pt idx="1">
                  <c:v>-61.16</c:v>
                </c:pt>
                <c:pt idx="2">
                  <c:v>-60.58</c:v>
                </c:pt>
                <c:pt idx="3">
                  <c:v>-63.21</c:v>
                </c:pt>
                <c:pt idx="4">
                  <c:v>-55.86</c:v>
                </c:pt>
                <c:pt idx="5">
                  <c:v>-55.54</c:v>
                </c:pt>
                <c:pt idx="6">
                  <c:v>-59.12</c:v>
                </c:pt>
                <c:pt idx="7">
                  <c:v>-52.06</c:v>
                </c:pt>
                <c:pt idx="8">
                  <c:v>-56.53</c:v>
                </c:pt>
                <c:pt idx="9">
                  <c:v>-64.66</c:v>
                </c:pt>
                <c:pt idx="10">
                  <c:v>-50.72</c:v>
                </c:pt>
                <c:pt idx="11">
                  <c:v>-50.22</c:v>
                </c:pt>
                <c:pt idx="12">
                  <c:v>-63.98</c:v>
                </c:pt>
                <c:pt idx="13">
                  <c:v>-54.42</c:v>
                </c:pt>
                <c:pt idx="14">
                  <c:v>-52.77</c:v>
                </c:pt>
                <c:pt idx="15">
                  <c:v>-58.55</c:v>
                </c:pt>
                <c:pt idx="16">
                  <c:v>-50.86</c:v>
                </c:pt>
                <c:pt idx="17">
                  <c:v>-55.92</c:v>
                </c:pt>
                <c:pt idx="18">
                  <c:v>-52.25</c:v>
                </c:pt>
                <c:pt idx="19">
                  <c:v>-53.26</c:v>
                </c:pt>
                <c:pt idx="20">
                  <c:v>-45.61</c:v>
                </c:pt>
                <c:pt idx="21">
                  <c:v>-47.58</c:v>
                </c:pt>
                <c:pt idx="22">
                  <c:v>-43.99</c:v>
                </c:pt>
                <c:pt idx="23">
                  <c:v>-44.83</c:v>
                </c:pt>
                <c:pt idx="24">
                  <c:v>-41.6</c:v>
                </c:pt>
                <c:pt idx="25">
                  <c:v>-44.2</c:v>
                </c:pt>
                <c:pt idx="26">
                  <c:v>-43.8</c:v>
                </c:pt>
                <c:pt idx="27">
                  <c:v>-43.21</c:v>
                </c:pt>
                <c:pt idx="28">
                  <c:v>-41.39</c:v>
                </c:pt>
                <c:pt idx="29">
                  <c:v>-42.98</c:v>
                </c:pt>
                <c:pt idx="30">
                  <c:v>-45.84</c:v>
                </c:pt>
                <c:pt idx="31">
                  <c:v>-45.67</c:v>
                </c:pt>
                <c:pt idx="32">
                  <c:v>-43.47</c:v>
                </c:pt>
                <c:pt idx="33">
                  <c:v>-46.89</c:v>
                </c:pt>
                <c:pt idx="34">
                  <c:v>-43.04</c:v>
                </c:pt>
                <c:pt idx="35">
                  <c:v>-45.31</c:v>
                </c:pt>
                <c:pt idx="36">
                  <c:v>-44.66</c:v>
                </c:pt>
                <c:pt idx="37">
                  <c:v>-42.01</c:v>
                </c:pt>
                <c:pt idx="38">
                  <c:v>-46.16</c:v>
                </c:pt>
                <c:pt idx="39">
                  <c:v>-49.05</c:v>
                </c:pt>
                <c:pt idx="40">
                  <c:v>-48.19</c:v>
                </c:pt>
                <c:pt idx="41">
                  <c:v>-44.19</c:v>
                </c:pt>
                <c:pt idx="42">
                  <c:v>-44.96</c:v>
                </c:pt>
                <c:pt idx="43">
                  <c:v>-45.02</c:v>
                </c:pt>
                <c:pt idx="44">
                  <c:v>-44.91</c:v>
                </c:pt>
                <c:pt idx="45">
                  <c:v>-41.42</c:v>
                </c:pt>
                <c:pt idx="46">
                  <c:v>-41.7</c:v>
                </c:pt>
                <c:pt idx="47">
                  <c:v>-45.29</c:v>
                </c:pt>
                <c:pt idx="48">
                  <c:v>-47.42</c:v>
                </c:pt>
                <c:pt idx="49">
                  <c:v>-42.57</c:v>
                </c:pt>
                <c:pt idx="50">
                  <c:v>-36.64</c:v>
                </c:pt>
                <c:pt idx="51">
                  <c:v>-32.450000000000003</c:v>
                </c:pt>
                <c:pt idx="52">
                  <c:v>-29.43</c:v>
                </c:pt>
                <c:pt idx="53">
                  <c:v>-26.13</c:v>
                </c:pt>
                <c:pt idx="54">
                  <c:v>-22.81</c:v>
                </c:pt>
                <c:pt idx="55">
                  <c:v>-22.56</c:v>
                </c:pt>
                <c:pt idx="56">
                  <c:v>-24.53</c:v>
                </c:pt>
                <c:pt idx="57">
                  <c:v>-25.17</c:v>
                </c:pt>
                <c:pt idx="58">
                  <c:v>-23.95</c:v>
                </c:pt>
                <c:pt idx="59">
                  <c:v>-21.69</c:v>
                </c:pt>
                <c:pt idx="60">
                  <c:v>-19.5</c:v>
                </c:pt>
                <c:pt idx="61">
                  <c:v>-15.2</c:v>
                </c:pt>
                <c:pt idx="62">
                  <c:v>-10.62</c:v>
                </c:pt>
                <c:pt idx="63">
                  <c:v>-8.08</c:v>
                </c:pt>
                <c:pt idx="64">
                  <c:v>-15.08</c:v>
                </c:pt>
                <c:pt idx="65">
                  <c:v>-16.37</c:v>
                </c:pt>
                <c:pt idx="66">
                  <c:v>-15.27</c:v>
                </c:pt>
                <c:pt idx="67">
                  <c:v>-11.89</c:v>
                </c:pt>
                <c:pt idx="68">
                  <c:v>-16.850000000000001</c:v>
                </c:pt>
                <c:pt idx="69">
                  <c:v>-22.4</c:v>
                </c:pt>
                <c:pt idx="70">
                  <c:v>-24.1</c:v>
                </c:pt>
                <c:pt idx="71">
                  <c:v>-16.72</c:v>
                </c:pt>
                <c:pt idx="72">
                  <c:v>-24.3</c:v>
                </c:pt>
                <c:pt idx="73">
                  <c:v>-28.57</c:v>
                </c:pt>
                <c:pt idx="74">
                  <c:v>-29.29</c:v>
                </c:pt>
                <c:pt idx="75">
                  <c:v>-79.290000000000006</c:v>
                </c:pt>
                <c:pt idx="76">
                  <c:v>-96.35</c:v>
                </c:pt>
                <c:pt idx="77">
                  <c:v>-106.08</c:v>
                </c:pt>
                <c:pt idx="78">
                  <c:v>-103.84</c:v>
                </c:pt>
                <c:pt idx="79">
                  <c:v>-84.23</c:v>
                </c:pt>
                <c:pt idx="80">
                  <c:v>-92.78</c:v>
                </c:pt>
              </c:numCache>
            </c:numRef>
          </c:yVal>
          <c:smooth val="0"/>
        </c:ser>
        <c:ser>
          <c:idx val="13"/>
          <c:order val="3"/>
          <c:tx>
            <c:strRef>
              <c:f>'Average data'!$AQ$5</c:f>
              <c:strCache>
                <c:ptCount val="1"/>
                <c:pt idx="0">
                  <c:v>10Rear_HLMin..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data'!$AQ$6:$AQ$86</c:f>
              <c:numCache>
                <c:formatCode>General</c:formatCode>
                <c:ptCount val="81"/>
                <c:pt idx="0">
                  <c:v>-58.69</c:v>
                </c:pt>
                <c:pt idx="1">
                  <c:v>-62.11</c:v>
                </c:pt>
                <c:pt idx="2">
                  <c:v>-63.66</c:v>
                </c:pt>
                <c:pt idx="3">
                  <c:v>-62.18</c:v>
                </c:pt>
                <c:pt idx="4">
                  <c:v>-62.66</c:v>
                </c:pt>
                <c:pt idx="5">
                  <c:v>-59.14</c:v>
                </c:pt>
                <c:pt idx="6">
                  <c:v>-55.97</c:v>
                </c:pt>
                <c:pt idx="7">
                  <c:v>-65.290000000000006</c:v>
                </c:pt>
                <c:pt idx="8">
                  <c:v>-61.89</c:v>
                </c:pt>
                <c:pt idx="9">
                  <c:v>-53.55</c:v>
                </c:pt>
                <c:pt idx="10">
                  <c:v>-68.47</c:v>
                </c:pt>
                <c:pt idx="11">
                  <c:v>-55.04</c:v>
                </c:pt>
                <c:pt idx="12">
                  <c:v>-62.87</c:v>
                </c:pt>
                <c:pt idx="13">
                  <c:v>-67.290000000000006</c:v>
                </c:pt>
                <c:pt idx="14">
                  <c:v>-66.13</c:v>
                </c:pt>
                <c:pt idx="15">
                  <c:v>-54.77</c:v>
                </c:pt>
                <c:pt idx="16">
                  <c:v>-61.75</c:v>
                </c:pt>
                <c:pt idx="17">
                  <c:v>-64.45</c:v>
                </c:pt>
                <c:pt idx="18">
                  <c:v>-47.77</c:v>
                </c:pt>
                <c:pt idx="19">
                  <c:v>-65.37</c:v>
                </c:pt>
                <c:pt idx="20">
                  <c:v>-51.69</c:v>
                </c:pt>
                <c:pt idx="21">
                  <c:v>-49.43</c:v>
                </c:pt>
                <c:pt idx="22">
                  <c:v>-47.61</c:v>
                </c:pt>
                <c:pt idx="23">
                  <c:v>-42.32</c:v>
                </c:pt>
                <c:pt idx="24">
                  <c:v>-39.340000000000003</c:v>
                </c:pt>
                <c:pt idx="25">
                  <c:v>-39.28</c:v>
                </c:pt>
                <c:pt idx="26">
                  <c:v>-37.159999999999997</c:v>
                </c:pt>
                <c:pt idx="27">
                  <c:v>-37.340000000000003</c:v>
                </c:pt>
                <c:pt idx="28">
                  <c:v>-35.979999999999997</c:v>
                </c:pt>
                <c:pt idx="29">
                  <c:v>-37.58</c:v>
                </c:pt>
                <c:pt idx="30">
                  <c:v>-37.24</c:v>
                </c:pt>
                <c:pt idx="31">
                  <c:v>-40.409999999999997</c:v>
                </c:pt>
                <c:pt idx="32">
                  <c:v>-39.51</c:v>
                </c:pt>
                <c:pt idx="33">
                  <c:v>-37.909999999999997</c:v>
                </c:pt>
                <c:pt idx="34">
                  <c:v>-36.67</c:v>
                </c:pt>
                <c:pt idx="35">
                  <c:v>-34.03</c:v>
                </c:pt>
                <c:pt idx="36">
                  <c:v>-32.67</c:v>
                </c:pt>
                <c:pt idx="37">
                  <c:v>-31.21</c:v>
                </c:pt>
                <c:pt idx="38">
                  <c:v>-29.23</c:v>
                </c:pt>
                <c:pt idx="39">
                  <c:v>-27.48</c:v>
                </c:pt>
                <c:pt idx="40">
                  <c:v>-26.21</c:v>
                </c:pt>
                <c:pt idx="41">
                  <c:v>-25.67</c:v>
                </c:pt>
                <c:pt idx="42">
                  <c:v>-26.36</c:v>
                </c:pt>
                <c:pt idx="43">
                  <c:v>-26.86</c:v>
                </c:pt>
                <c:pt idx="44">
                  <c:v>-27.29</c:v>
                </c:pt>
                <c:pt idx="45">
                  <c:v>-28.05</c:v>
                </c:pt>
                <c:pt idx="46">
                  <c:v>-29.51</c:v>
                </c:pt>
                <c:pt idx="47">
                  <c:v>-31.13</c:v>
                </c:pt>
                <c:pt idx="48">
                  <c:v>-32.1</c:v>
                </c:pt>
                <c:pt idx="49">
                  <c:v>-32.24</c:v>
                </c:pt>
                <c:pt idx="50">
                  <c:v>-30.82</c:v>
                </c:pt>
                <c:pt idx="51">
                  <c:v>-27.85</c:v>
                </c:pt>
                <c:pt idx="52">
                  <c:v>-25.23</c:v>
                </c:pt>
                <c:pt idx="53">
                  <c:v>-23.86</c:v>
                </c:pt>
                <c:pt idx="54">
                  <c:v>-24.01</c:v>
                </c:pt>
                <c:pt idx="55">
                  <c:v>-20.94</c:v>
                </c:pt>
                <c:pt idx="56">
                  <c:v>-18.350000000000001</c:v>
                </c:pt>
                <c:pt idx="57">
                  <c:v>-17.02</c:v>
                </c:pt>
                <c:pt idx="58">
                  <c:v>-16.190000000000001</c:v>
                </c:pt>
                <c:pt idx="59">
                  <c:v>-15.57</c:v>
                </c:pt>
                <c:pt idx="60">
                  <c:v>-14.62</c:v>
                </c:pt>
                <c:pt idx="61">
                  <c:v>-12.87</c:v>
                </c:pt>
                <c:pt idx="62">
                  <c:v>-10.68</c:v>
                </c:pt>
                <c:pt idx="63">
                  <c:v>-12.63</c:v>
                </c:pt>
                <c:pt idx="64">
                  <c:v>-17.03</c:v>
                </c:pt>
                <c:pt idx="65">
                  <c:v>-17.27</c:v>
                </c:pt>
                <c:pt idx="66">
                  <c:v>-24.2</c:v>
                </c:pt>
                <c:pt idx="67">
                  <c:v>-21.42</c:v>
                </c:pt>
                <c:pt idx="68">
                  <c:v>-25.97</c:v>
                </c:pt>
                <c:pt idx="69">
                  <c:v>-22.57</c:v>
                </c:pt>
                <c:pt idx="70">
                  <c:v>-19.28</c:v>
                </c:pt>
                <c:pt idx="71">
                  <c:v>-13.81</c:v>
                </c:pt>
                <c:pt idx="72">
                  <c:v>-20.46</c:v>
                </c:pt>
                <c:pt idx="73">
                  <c:v>-32.46</c:v>
                </c:pt>
                <c:pt idx="74">
                  <c:v>-43.09</c:v>
                </c:pt>
                <c:pt idx="75">
                  <c:v>-73.069999999999993</c:v>
                </c:pt>
                <c:pt idx="76">
                  <c:v>-73.22</c:v>
                </c:pt>
                <c:pt idx="77">
                  <c:v>-78.17</c:v>
                </c:pt>
                <c:pt idx="78">
                  <c:v>-79.150000000000006</c:v>
                </c:pt>
                <c:pt idx="79">
                  <c:v>-72.92</c:v>
                </c:pt>
                <c:pt idx="80">
                  <c:v>-82.67</c:v>
                </c:pt>
              </c:numCache>
            </c:numRef>
          </c:yVal>
          <c:smooth val="0"/>
        </c:ser>
        <c:ser>
          <c:idx val="16"/>
          <c:order val="4"/>
          <c:tx>
            <c:strRef>
              <c:f>'Average data'!$AT$5</c:f>
              <c:strCache>
                <c:ptCount val="1"/>
                <c:pt idx="0">
                  <c:v>10Front_HLDiff~..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data'!$AT$6:$AT$86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19"/>
          <c:order val="5"/>
          <c:tx>
            <c:strRef>
              <c:f>'Average data'!$AW$5</c:f>
              <c:strCache>
                <c:ptCount val="1"/>
                <c:pt idx="0">
                  <c:v>10Rear_HLDiff~..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data'!$AW$6:$AW$86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52536"/>
        <c:axId val="475052928"/>
      </c:scatterChart>
      <c:valAx>
        <c:axId val="475052536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2400932400932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2928"/>
        <c:crosses val="autoZero"/>
        <c:crossBetween val="midCat"/>
      </c:valAx>
      <c:valAx>
        <c:axId val="475052928"/>
        <c:scaling>
          <c:orientation val="minMax"/>
          <c:max val="2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2536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088710804640544"/>
          <c:y val="0.68030137841161464"/>
          <c:w val="0.31937608390667138"/>
          <c:h val="0.243190352954132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Front Rear mic for Delhi90_StandardSamples 5 Overview</a:t>
            </a:r>
          </a:p>
        </c:rich>
      </c:tx>
      <c:layout>
        <c:manualLayout>
          <c:xMode val="edge"/>
          <c:yMode val="edge"/>
          <c:x val="0.13306082301842448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062389742265822E-2"/>
          <c:y val="0.11983260833654537"/>
          <c:w val="0.91384944709780191"/>
          <c:h val="0.79141824055209886"/>
        </c:manualLayout>
      </c:layout>
      <c:scatterChart>
        <c:scatterStyle val="lineMarker"/>
        <c:varyColors val="0"/>
        <c:ser>
          <c:idx val="5"/>
          <c:order val="0"/>
          <c:tx>
            <c:strRef>
              <c:f>'Average data'!$AJ$5</c:f>
              <c:strCache>
                <c:ptCount val="1"/>
                <c:pt idx="0">
                  <c:v>10Front_LMax.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data'!$AJ$6:$AJ$86</c:f>
              <c:numCache>
                <c:formatCode>General</c:formatCode>
                <c:ptCount val="81"/>
                <c:pt idx="0">
                  <c:v>-58.69</c:v>
                </c:pt>
                <c:pt idx="1">
                  <c:v>-57.99</c:v>
                </c:pt>
                <c:pt idx="2">
                  <c:v>-67.12</c:v>
                </c:pt>
                <c:pt idx="3">
                  <c:v>-69.44</c:v>
                </c:pt>
                <c:pt idx="4">
                  <c:v>-60.35</c:v>
                </c:pt>
                <c:pt idx="5">
                  <c:v>-61.22</c:v>
                </c:pt>
                <c:pt idx="6">
                  <c:v>-58.67</c:v>
                </c:pt>
                <c:pt idx="7">
                  <c:v>-56.03</c:v>
                </c:pt>
                <c:pt idx="8">
                  <c:v>-60.79</c:v>
                </c:pt>
                <c:pt idx="9">
                  <c:v>-55.47</c:v>
                </c:pt>
                <c:pt idx="10">
                  <c:v>-51.77</c:v>
                </c:pt>
                <c:pt idx="11">
                  <c:v>-59.56</c:v>
                </c:pt>
                <c:pt idx="12">
                  <c:v>-56.89</c:v>
                </c:pt>
                <c:pt idx="13">
                  <c:v>-51.29</c:v>
                </c:pt>
                <c:pt idx="14">
                  <c:v>-61.91</c:v>
                </c:pt>
                <c:pt idx="15">
                  <c:v>-51.27</c:v>
                </c:pt>
                <c:pt idx="16">
                  <c:v>-48.44</c:v>
                </c:pt>
                <c:pt idx="17">
                  <c:v>-57.68</c:v>
                </c:pt>
                <c:pt idx="18">
                  <c:v>-50</c:v>
                </c:pt>
                <c:pt idx="19">
                  <c:v>-50.61</c:v>
                </c:pt>
                <c:pt idx="20">
                  <c:v>-39.409999999999997</c:v>
                </c:pt>
                <c:pt idx="21">
                  <c:v>-42.19</c:v>
                </c:pt>
                <c:pt idx="22">
                  <c:v>-41.28</c:v>
                </c:pt>
                <c:pt idx="23">
                  <c:v>-38.81</c:v>
                </c:pt>
                <c:pt idx="24">
                  <c:v>-46.51</c:v>
                </c:pt>
                <c:pt idx="25">
                  <c:v>-41.41</c:v>
                </c:pt>
                <c:pt idx="26">
                  <c:v>-44.57</c:v>
                </c:pt>
                <c:pt idx="27">
                  <c:v>-39.869999999999997</c:v>
                </c:pt>
                <c:pt idx="28">
                  <c:v>-40.65</c:v>
                </c:pt>
                <c:pt idx="29">
                  <c:v>-39.46</c:v>
                </c:pt>
                <c:pt idx="30">
                  <c:v>-38.65</c:v>
                </c:pt>
                <c:pt idx="31">
                  <c:v>-40.6</c:v>
                </c:pt>
                <c:pt idx="32">
                  <c:v>-42.46</c:v>
                </c:pt>
                <c:pt idx="33">
                  <c:v>-45.88</c:v>
                </c:pt>
                <c:pt idx="34">
                  <c:v>-45.73</c:v>
                </c:pt>
                <c:pt idx="35">
                  <c:v>-42.91</c:v>
                </c:pt>
                <c:pt idx="36">
                  <c:v>-37.89</c:v>
                </c:pt>
                <c:pt idx="37">
                  <c:v>-38.590000000000003</c:v>
                </c:pt>
                <c:pt idx="38">
                  <c:v>-37.94</c:v>
                </c:pt>
                <c:pt idx="39">
                  <c:v>-36.86</c:v>
                </c:pt>
                <c:pt idx="40">
                  <c:v>-33.200000000000003</c:v>
                </c:pt>
                <c:pt idx="41">
                  <c:v>-31.39</c:v>
                </c:pt>
                <c:pt idx="42">
                  <c:v>-31.86</c:v>
                </c:pt>
                <c:pt idx="43">
                  <c:v>-32.08</c:v>
                </c:pt>
                <c:pt idx="44">
                  <c:v>-32.880000000000003</c:v>
                </c:pt>
                <c:pt idx="45">
                  <c:v>-34</c:v>
                </c:pt>
                <c:pt idx="46">
                  <c:v>-35.33</c:v>
                </c:pt>
                <c:pt idx="47">
                  <c:v>-34.909999999999997</c:v>
                </c:pt>
                <c:pt idx="48">
                  <c:v>-34.57</c:v>
                </c:pt>
                <c:pt idx="49">
                  <c:v>-33.880000000000003</c:v>
                </c:pt>
                <c:pt idx="50">
                  <c:v>-32.57</c:v>
                </c:pt>
                <c:pt idx="51">
                  <c:v>-30.44</c:v>
                </c:pt>
                <c:pt idx="52">
                  <c:v>-27.97</c:v>
                </c:pt>
                <c:pt idx="53">
                  <c:v>-24.9</c:v>
                </c:pt>
                <c:pt idx="54">
                  <c:v>-20.87</c:v>
                </c:pt>
                <c:pt idx="55">
                  <c:v>-20.84</c:v>
                </c:pt>
                <c:pt idx="56">
                  <c:v>-23.02</c:v>
                </c:pt>
                <c:pt idx="57">
                  <c:v>-25.29</c:v>
                </c:pt>
                <c:pt idx="58">
                  <c:v>-24.67</c:v>
                </c:pt>
                <c:pt idx="59">
                  <c:v>-21.31</c:v>
                </c:pt>
                <c:pt idx="60">
                  <c:v>-17.95</c:v>
                </c:pt>
                <c:pt idx="61">
                  <c:v>-15.57</c:v>
                </c:pt>
                <c:pt idx="62">
                  <c:v>-12.25</c:v>
                </c:pt>
                <c:pt idx="63">
                  <c:v>-13.56</c:v>
                </c:pt>
                <c:pt idx="64">
                  <c:v>-16.86</c:v>
                </c:pt>
                <c:pt idx="65">
                  <c:v>-14.22</c:v>
                </c:pt>
                <c:pt idx="66">
                  <c:v>-14.42</c:v>
                </c:pt>
                <c:pt idx="67">
                  <c:v>-13.95</c:v>
                </c:pt>
                <c:pt idx="68">
                  <c:v>-18.809999999999999</c:v>
                </c:pt>
                <c:pt idx="69">
                  <c:v>-21.94</c:v>
                </c:pt>
                <c:pt idx="70">
                  <c:v>-22.14</c:v>
                </c:pt>
                <c:pt idx="71">
                  <c:v>-16.72</c:v>
                </c:pt>
                <c:pt idx="72">
                  <c:v>-24.93</c:v>
                </c:pt>
                <c:pt idx="73">
                  <c:v>-28.8</c:v>
                </c:pt>
                <c:pt idx="74">
                  <c:v>-29.66</c:v>
                </c:pt>
                <c:pt idx="75">
                  <c:v>-76.69</c:v>
                </c:pt>
                <c:pt idx="76">
                  <c:v>-87.23</c:v>
                </c:pt>
                <c:pt idx="77">
                  <c:v>-97.66</c:v>
                </c:pt>
                <c:pt idx="78">
                  <c:v>-88.89</c:v>
                </c:pt>
                <c:pt idx="79">
                  <c:v>-91.39</c:v>
                </c:pt>
                <c:pt idx="80">
                  <c:v>-98.73</c:v>
                </c:pt>
              </c:numCache>
            </c:numRef>
          </c:yVal>
          <c:smooth val="0"/>
        </c:ser>
        <c:ser>
          <c:idx val="9"/>
          <c:order val="1"/>
          <c:tx>
            <c:strRef>
              <c:f>'Average data'!$AM$5</c:f>
              <c:strCache>
                <c:ptCount val="1"/>
                <c:pt idx="0">
                  <c:v>10Rear_LMax.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data'!$AM$6:$AM$86</c:f>
              <c:numCache>
                <c:formatCode>General</c:formatCode>
                <c:ptCount val="81"/>
                <c:pt idx="0">
                  <c:v>-59.94</c:v>
                </c:pt>
                <c:pt idx="1">
                  <c:v>-62.42</c:v>
                </c:pt>
                <c:pt idx="2">
                  <c:v>-68.709999999999994</c:v>
                </c:pt>
                <c:pt idx="3">
                  <c:v>-58.29</c:v>
                </c:pt>
                <c:pt idx="4">
                  <c:v>-56.5</c:v>
                </c:pt>
                <c:pt idx="5">
                  <c:v>-57.48</c:v>
                </c:pt>
                <c:pt idx="6">
                  <c:v>-58.68</c:v>
                </c:pt>
                <c:pt idx="7">
                  <c:v>-57.22</c:v>
                </c:pt>
                <c:pt idx="8">
                  <c:v>-59.04</c:v>
                </c:pt>
                <c:pt idx="9">
                  <c:v>-58.96</c:v>
                </c:pt>
                <c:pt idx="10">
                  <c:v>-56.77</c:v>
                </c:pt>
                <c:pt idx="11">
                  <c:v>-61.76</c:v>
                </c:pt>
                <c:pt idx="12">
                  <c:v>-53.75</c:v>
                </c:pt>
                <c:pt idx="13">
                  <c:v>-57.33</c:v>
                </c:pt>
                <c:pt idx="14">
                  <c:v>-53.99</c:v>
                </c:pt>
                <c:pt idx="15">
                  <c:v>-66.36</c:v>
                </c:pt>
                <c:pt idx="16">
                  <c:v>-55.42</c:v>
                </c:pt>
                <c:pt idx="17">
                  <c:v>-56.01</c:v>
                </c:pt>
                <c:pt idx="18">
                  <c:v>-59.86</c:v>
                </c:pt>
                <c:pt idx="19">
                  <c:v>-63.37</c:v>
                </c:pt>
                <c:pt idx="20">
                  <c:v>-49.47</c:v>
                </c:pt>
                <c:pt idx="21">
                  <c:v>-45.39</c:v>
                </c:pt>
                <c:pt idx="22">
                  <c:v>-50.21</c:v>
                </c:pt>
                <c:pt idx="23">
                  <c:v>-41.23</c:v>
                </c:pt>
                <c:pt idx="24">
                  <c:v>-40.89</c:v>
                </c:pt>
                <c:pt idx="25">
                  <c:v>-45.84</c:v>
                </c:pt>
                <c:pt idx="26">
                  <c:v>-40.64</c:v>
                </c:pt>
                <c:pt idx="27">
                  <c:v>-38.909999999999997</c:v>
                </c:pt>
                <c:pt idx="28">
                  <c:v>-35.35</c:v>
                </c:pt>
                <c:pt idx="29">
                  <c:v>-35.67</c:v>
                </c:pt>
                <c:pt idx="30">
                  <c:v>-36.049999999999997</c:v>
                </c:pt>
                <c:pt idx="31">
                  <c:v>-37.1</c:v>
                </c:pt>
                <c:pt idx="32">
                  <c:v>-37.799999999999997</c:v>
                </c:pt>
                <c:pt idx="33">
                  <c:v>-36.950000000000003</c:v>
                </c:pt>
                <c:pt idx="34">
                  <c:v>-37.049999999999997</c:v>
                </c:pt>
                <c:pt idx="35">
                  <c:v>-34.75</c:v>
                </c:pt>
                <c:pt idx="36">
                  <c:v>-31.26</c:v>
                </c:pt>
                <c:pt idx="37">
                  <c:v>-29.1</c:v>
                </c:pt>
                <c:pt idx="38">
                  <c:v>-27.15</c:v>
                </c:pt>
                <c:pt idx="39">
                  <c:v>-25.37</c:v>
                </c:pt>
                <c:pt idx="40">
                  <c:v>-23.47</c:v>
                </c:pt>
                <c:pt idx="41">
                  <c:v>-22.3</c:v>
                </c:pt>
                <c:pt idx="42">
                  <c:v>-23.05</c:v>
                </c:pt>
                <c:pt idx="43">
                  <c:v>-23.87</c:v>
                </c:pt>
                <c:pt idx="44">
                  <c:v>-24.89</c:v>
                </c:pt>
                <c:pt idx="45">
                  <c:v>-25.59</c:v>
                </c:pt>
                <c:pt idx="46">
                  <c:v>-26.23</c:v>
                </c:pt>
                <c:pt idx="47">
                  <c:v>-26.68</c:v>
                </c:pt>
                <c:pt idx="48">
                  <c:v>-28</c:v>
                </c:pt>
                <c:pt idx="49">
                  <c:v>-29.12</c:v>
                </c:pt>
                <c:pt idx="50">
                  <c:v>-30.04</c:v>
                </c:pt>
                <c:pt idx="51">
                  <c:v>-31.8</c:v>
                </c:pt>
                <c:pt idx="52">
                  <c:v>-33.35</c:v>
                </c:pt>
                <c:pt idx="53">
                  <c:v>-35.24</c:v>
                </c:pt>
                <c:pt idx="54">
                  <c:v>-25.82</c:v>
                </c:pt>
                <c:pt idx="55">
                  <c:v>-20.28</c:v>
                </c:pt>
                <c:pt idx="56">
                  <c:v>-18.64</c:v>
                </c:pt>
                <c:pt idx="57">
                  <c:v>-18.18</c:v>
                </c:pt>
                <c:pt idx="58">
                  <c:v>-18.14</c:v>
                </c:pt>
                <c:pt idx="59">
                  <c:v>-17.21</c:v>
                </c:pt>
                <c:pt idx="60">
                  <c:v>-16.84</c:v>
                </c:pt>
                <c:pt idx="61">
                  <c:v>-14.03</c:v>
                </c:pt>
                <c:pt idx="62">
                  <c:v>-9.9700000000000006</c:v>
                </c:pt>
                <c:pt idx="63">
                  <c:v>-9.67</c:v>
                </c:pt>
                <c:pt idx="64">
                  <c:v>-16.149999999999999</c:v>
                </c:pt>
                <c:pt idx="65">
                  <c:v>-24.6</c:v>
                </c:pt>
                <c:pt idx="66">
                  <c:v>-21.26</c:v>
                </c:pt>
                <c:pt idx="67">
                  <c:v>-28.47</c:v>
                </c:pt>
                <c:pt idx="68">
                  <c:v>-26.73</c:v>
                </c:pt>
                <c:pt idx="69">
                  <c:v>-24.15</c:v>
                </c:pt>
                <c:pt idx="70">
                  <c:v>-21.59</c:v>
                </c:pt>
                <c:pt idx="71">
                  <c:v>-14.37</c:v>
                </c:pt>
                <c:pt idx="72">
                  <c:v>-20.260000000000002</c:v>
                </c:pt>
                <c:pt idx="73">
                  <c:v>-32.119999999999997</c:v>
                </c:pt>
                <c:pt idx="74">
                  <c:v>-42.39</c:v>
                </c:pt>
                <c:pt idx="75">
                  <c:v>-86.79</c:v>
                </c:pt>
                <c:pt idx="76">
                  <c:v>-85.74</c:v>
                </c:pt>
                <c:pt idx="77">
                  <c:v>-94.71</c:v>
                </c:pt>
                <c:pt idx="78">
                  <c:v>-83.15</c:v>
                </c:pt>
                <c:pt idx="79">
                  <c:v>-88.81</c:v>
                </c:pt>
                <c:pt idx="80">
                  <c:v>-87.77</c:v>
                </c:pt>
              </c:numCache>
            </c:numRef>
          </c:yVal>
          <c:smooth val="0"/>
        </c:ser>
        <c:ser>
          <c:idx val="12"/>
          <c:order val="2"/>
          <c:tx>
            <c:strRef>
              <c:f>'Average data'!$AP$5</c:f>
              <c:strCache>
                <c:ptCount val="1"/>
                <c:pt idx="0">
                  <c:v>10Front_LMin..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data'!$AP$6:$AP$86</c:f>
              <c:numCache>
                <c:formatCode>General</c:formatCode>
                <c:ptCount val="81"/>
                <c:pt idx="0">
                  <c:v>-58.69</c:v>
                </c:pt>
                <c:pt idx="1">
                  <c:v>-57.99</c:v>
                </c:pt>
                <c:pt idx="2">
                  <c:v>-67.12</c:v>
                </c:pt>
                <c:pt idx="3">
                  <c:v>-69.44</c:v>
                </c:pt>
                <c:pt idx="4">
                  <c:v>-60.35</c:v>
                </c:pt>
                <c:pt idx="5">
                  <c:v>-61.22</c:v>
                </c:pt>
                <c:pt idx="6">
                  <c:v>-58.67</c:v>
                </c:pt>
                <c:pt idx="7">
                  <c:v>-56.03</c:v>
                </c:pt>
                <c:pt idx="8">
                  <c:v>-60.79</c:v>
                </c:pt>
                <c:pt idx="9">
                  <c:v>-55.47</c:v>
                </c:pt>
                <c:pt idx="10">
                  <c:v>-51.77</c:v>
                </c:pt>
                <c:pt idx="11">
                  <c:v>-59.56</c:v>
                </c:pt>
                <c:pt idx="12">
                  <c:v>-56.89</c:v>
                </c:pt>
                <c:pt idx="13">
                  <c:v>-51.29</c:v>
                </c:pt>
                <c:pt idx="14">
                  <c:v>-61.91</c:v>
                </c:pt>
                <c:pt idx="15">
                  <c:v>-51.27</c:v>
                </c:pt>
                <c:pt idx="16">
                  <c:v>-48.44</c:v>
                </c:pt>
                <c:pt idx="17">
                  <c:v>-57.68</c:v>
                </c:pt>
                <c:pt idx="18">
                  <c:v>-50</c:v>
                </c:pt>
                <c:pt idx="19">
                  <c:v>-50.61</c:v>
                </c:pt>
                <c:pt idx="20">
                  <c:v>-39.409999999999997</c:v>
                </c:pt>
                <c:pt idx="21">
                  <c:v>-42.19</c:v>
                </c:pt>
                <c:pt idx="22">
                  <c:v>-41.28</c:v>
                </c:pt>
                <c:pt idx="23">
                  <c:v>-38.81</c:v>
                </c:pt>
                <c:pt idx="24">
                  <c:v>-46.51</c:v>
                </c:pt>
                <c:pt idx="25">
                  <c:v>-41.41</c:v>
                </c:pt>
                <c:pt idx="26">
                  <c:v>-44.57</c:v>
                </c:pt>
                <c:pt idx="27">
                  <c:v>-39.869999999999997</c:v>
                </c:pt>
                <c:pt idx="28">
                  <c:v>-40.65</c:v>
                </c:pt>
                <c:pt idx="29">
                  <c:v>-39.46</c:v>
                </c:pt>
                <c:pt idx="30">
                  <c:v>-38.65</c:v>
                </c:pt>
                <c:pt idx="31">
                  <c:v>-40.6</c:v>
                </c:pt>
                <c:pt idx="32">
                  <c:v>-42.46</c:v>
                </c:pt>
                <c:pt idx="33">
                  <c:v>-45.88</c:v>
                </c:pt>
                <c:pt idx="34">
                  <c:v>-45.73</c:v>
                </c:pt>
                <c:pt idx="35">
                  <c:v>-42.91</c:v>
                </c:pt>
                <c:pt idx="36">
                  <c:v>-37.89</c:v>
                </c:pt>
                <c:pt idx="37">
                  <c:v>-38.590000000000003</c:v>
                </c:pt>
                <c:pt idx="38">
                  <c:v>-37.94</c:v>
                </c:pt>
                <c:pt idx="39">
                  <c:v>-36.86</c:v>
                </c:pt>
                <c:pt idx="40">
                  <c:v>-33.200000000000003</c:v>
                </c:pt>
                <c:pt idx="41">
                  <c:v>-31.39</c:v>
                </c:pt>
                <c:pt idx="42">
                  <c:v>-31.86</c:v>
                </c:pt>
                <c:pt idx="43">
                  <c:v>-32.08</c:v>
                </c:pt>
                <c:pt idx="44">
                  <c:v>-32.880000000000003</c:v>
                </c:pt>
                <c:pt idx="45">
                  <c:v>-34</c:v>
                </c:pt>
                <c:pt idx="46">
                  <c:v>-35.33</c:v>
                </c:pt>
                <c:pt idx="47">
                  <c:v>-34.909999999999997</c:v>
                </c:pt>
                <c:pt idx="48">
                  <c:v>-34.57</c:v>
                </c:pt>
                <c:pt idx="49">
                  <c:v>-33.880000000000003</c:v>
                </c:pt>
                <c:pt idx="50">
                  <c:v>-32.57</c:v>
                </c:pt>
                <c:pt idx="51">
                  <c:v>-30.44</c:v>
                </c:pt>
                <c:pt idx="52">
                  <c:v>-27.97</c:v>
                </c:pt>
                <c:pt idx="53">
                  <c:v>-24.9</c:v>
                </c:pt>
                <c:pt idx="54">
                  <c:v>-20.87</c:v>
                </c:pt>
                <c:pt idx="55">
                  <c:v>-20.84</c:v>
                </c:pt>
                <c:pt idx="56">
                  <c:v>-23.02</c:v>
                </c:pt>
                <c:pt idx="57">
                  <c:v>-25.29</c:v>
                </c:pt>
                <c:pt idx="58">
                  <c:v>-24.67</c:v>
                </c:pt>
                <c:pt idx="59">
                  <c:v>-21.31</c:v>
                </c:pt>
                <c:pt idx="60">
                  <c:v>-17.95</c:v>
                </c:pt>
                <c:pt idx="61">
                  <c:v>-15.57</c:v>
                </c:pt>
                <c:pt idx="62">
                  <c:v>-12.25</c:v>
                </c:pt>
                <c:pt idx="63">
                  <c:v>-13.56</c:v>
                </c:pt>
                <c:pt idx="64">
                  <c:v>-16.86</c:v>
                </c:pt>
                <c:pt idx="65">
                  <c:v>-14.22</c:v>
                </c:pt>
                <c:pt idx="66">
                  <c:v>-14.42</c:v>
                </c:pt>
                <c:pt idx="67">
                  <c:v>-13.95</c:v>
                </c:pt>
                <c:pt idx="68">
                  <c:v>-18.809999999999999</c:v>
                </c:pt>
                <c:pt idx="69">
                  <c:v>-21.94</c:v>
                </c:pt>
                <c:pt idx="70">
                  <c:v>-22.14</c:v>
                </c:pt>
                <c:pt idx="71">
                  <c:v>-16.72</c:v>
                </c:pt>
                <c:pt idx="72">
                  <c:v>-24.93</c:v>
                </c:pt>
                <c:pt idx="73">
                  <c:v>-28.8</c:v>
                </c:pt>
                <c:pt idx="74">
                  <c:v>-29.66</c:v>
                </c:pt>
                <c:pt idx="75">
                  <c:v>-76.69</c:v>
                </c:pt>
                <c:pt idx="76">
                  <c:v>-87.23</c:v>
                </c:pt>
                <c:pt idx="77">
                  <c:v>-97.66</c:v>
                </c:pt>
                <c:pt idx="78">
                  <c:v>-88.89</c:v>
                </c:pt>
                <c:pt idx="79">
                  <c:v>-91.39</c:v>
                </c:pt>
                <c:pt idx="80">
                  <c:v>-98.73</c:v>
                </c:pt>
              </c:numCache>
            </c:numRef>
          </c:yVal>
          <c:smooth val="0"/>
        </c:ser>
        <c:ser>
          <c:idx val="15"/>
          <c:order val="3"/>
          <c:tx>
            <c:strRef>
              <c:f>'Average data'!$AS$5</c:f>
              <c:strCache>
                <c:ptCount val="1"/>
                <c:pt idx="0">
                  <c:v>10Rear_LMin..</c:v>
                </c:pt>
              </c:strCache>
            </c:strRef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data'!$AS$6:$AS$86</c:f>
              <c:numCache>
                <c:formatCode>General</c:formatCode>
                <c:ptCount val="81"/>
                <c:pt idx="0">
                  <c:v>-59.94</c:v>
                </c:pt>
                <c:pt idx="1">
                  <c:v>-62.42</c:v>
                </c:pt>
                <c:pt idx="2">
                  <c:v>-68.709999999999994</c:v>
                </c:pt>
                <c:pt idx="3">
                  <c:v>-58.29</c:v>
                </c:pt>
                <c:pt idx="4">
                  <c:v>-56.5</c:v>
                </c:pt>
                <c:pt idx="5">
                  <c:v>-57.48</c:v>
                </c:pt>
                <c:pt idx="6">
                  <c:v>-58.68</c:v>
                </c:pt>
                <c:pt idx="7">
                  <c:v>-57.22</c:v>
                </c:pt>
                <c:pt idx="8">
                  <c:v>-59.04</c:v>
                </c:pt>
                <c:pt idx="9">
                  <c:v>-58.96</c:v>
                </c:pt>
                <c:pt idx="10">
                  <c:v>-56.77</c:v>
                </c:pt>
                <c:pt idx="11">
                  <c:v>-61.76</c:v>
                </c:pt>
                <c:pt idx="12">
                  <c:v>-53.75</c:v>
                </c:pt>
                <c:pt idx="13">
                  <c:v>-57.33</c:v>
                </c:pt>
                <c:pt idx="14">
                  <c:v>-53.99</c:v>
                </c:pt>
                <c:pt idx="15">
                  <c:v>-66.36</c:v>
                </c:pt>
                <c:pt idx="16">
                  <c:v>-55.42</c:v>
                </c:pt>
                <c:pt idx="17">
                  <c:v>-56.01</c:v>
                </c:pt>
                <c:pt idx="18">
                  <c:v>-59.86</c:v>
                </c:pt>
                <c:pt idx="19">
                  <c:v>-63.37</c:v>
                </c:pt>
                <c:pt idx="20">
                  <c:v>-49.47</c:v>
                </c:pt>
                <c:pt idx="21">
                  <c:v>-45.39</c:v>
                </c:pt>
                <c:pt idx="22">
                  <c:v>-50.21</c:v>
                </c:pt>
                <c:pt idx="23">
                  <c:v>-41.23</c:v>
                </c:pt>
                <c:pt idx="24">
                  <c:v>-40.89</c:v>
                </c:pt>
                <c:pt idx="25">
                  <c:v>-45.84</c:v>
                </c:pt>
                <c:pt idx="26">
                  <c:v>-40.64</c:v>
                </c:pt>
                <c:pt idx="27">
                  <c:v>-38.909999999999997</c:v>
                </c:pt>
                <c:pt idx="28">
                  <c:v>-35.35</c:v>
                </c:pt>
                <c:pt idx="29">
                  <c:v>-35.67</c:v>
                </c:pt>
                <c:pt idx="30">
                  <c:v>-36.049999999999997</c:v>
                </c:pt>
                <c:pt idx="31">
                  <c:v>-37.1</c:v>
                </c:pt>
                <c:pt idx="32">
                  <c:v>-37.799999999999997</c:v>
                </c:pt>
                <c:pt idx="33">
                  <c:v>-36.950000000000003</c:v>
                </c:pt>
                <c:pt idx="34">
                  <c:v>-37.049999999999997</c:v>
                </c:pt>
                <c:pt idx="35">
                  <c:v>-34.75</c:v>
                </c:pt>
                <c:pt idx="36">
                  <c:v>-31.26</c:v>
                </c:pt>
                <c:pt idx="37">
                  <c:v>-29.1</c:v>
                </c:pt>
                <c:pt idx="38">
                  <c:v>-27.15</c:v>
                </c:pt>
                <c:pt idx="39">
                  <c:v>-25.37</c:v>
                </c:pt>
                <c:pt idx="40">
                  <c:v>-23.47</c:v>
                </c:pt>
                <c:pt idx="41">
                  <c:v>-22.3</c:v>
                </c:pt>
                <c:pt idx="42">
                  <c:v>-23.05</c:v>
                </c:pt>
                <c:pt idx="43">
                  <c:v>-23.87</c:v>
                </c:pt>
                <c:pt idx="44">
                  <c:v>-24.89</c:v>
                </c:pt>
                <c:pt idx="45">
                  <c:v>-25.59</c:v>
                </c:pt>
                <c:pt idx="46">
                  <c:v>-26.23</c:v>
                </c:pt>
                <c:pt idx="47">
                  <c:v>-26.68</c:v>
                </c:pt>
                <c:pt idx="48">
                  <c:v>-28</c:v>
                </c:pt>
                <c:pt idx="49">
                  <c:v>-29.12</c:v>
                </c:pt>
                <c:pt idx="50">
                  <c:v>-30.04</c:v>
                </c:pt>
                <c:pt idx="51">
                  <c:v>-31.8</c:v>
                </c:pt>
                <c:pt idx="52">
                  <c:v>-33.35</c:v>
                </c:pt>
                <c:pt idx="53">
                  <c:v>-35.24</c:v>
                </c:pt>
                <c:pt idx="54">
                  <c:v>-25.82</c:v>
                </c:pt>
                <c:pt idx="55">
                  <c:v>-20.28</c:v>
                </c:pt>
                <c:pt idx="56">
                  <c:v>-18.64</c:v>
                </c:pt>
                <c:pt idx="57">
                  <c:v>-18.18</c:v>
                </c:pt>
                <c:pt idx="58">
                  <c:v>-18.14</c:v>
                </c:pt>
                <c:pt idx="59">
                  <c:v>-17.21</c:v>
                </c:pt>
                <c:pt idx="60">
                  <c:v>-16.84</c:v>
                </c:pt>
                <c:pt idx="61">
                  <c:v>-14.03</c:v>
                </c:pt>
                <c:pt idx="62">
                  <c:v>-9.9700000000000006</c:v>
                </c:pt>
                <c:pt idx="63">
                  <c:v>-9.67</c:v>
                </c:pt>
                <c:pt idx="64">
                  <c:v>-16.149999999999999</c:v>
                </c:pt>
                <c:pt idx="65">
                  <c:v>-24.6</c:v>
                </c:pt>
                <c:pt idx="66">
                  <c:v>-21.26</c:v>
                </c:pt>
                <c:pt idx="67">
                  <c:v>-28.47</c:v>
                </c:pt>
                <c:pt idx="68">
                  <c:v>-26.73</c:v>
                </c:pt>
                <c:pt idx="69">
                  <c:v>-24.15</c:v>
                </c:pt>
                <c:pt idx="70">
                  <c:v>-21.59</c:v>
                </c:pt>
                <c:pt idx="71">
                  <c:v>-14.37</c:v>
                </c:pt>
                <c:pt idx="72">
                  <c:v>-20.260000000000002</c:v>
                </c:pt>
                <c:pt idx="73">
                  <c:v>-32.119999999999997</c:v>
                </c:pt>
                <c:pt idx="74">
                  <c:v>-42.39</c:v>
                </c:pt>
                <c:pt idx="75">
                  <c:v>-86.79</c:v>
                </c:pt>
                <c:pt idx="76">
                  <c:v>-85.74</c:v>
                </c:pt>
                <c:pt idx="77">
                  <c:v>-94.71</c:v>
                </c:pt>
                <c:pt idx="78">
                  <c:v>-83.15</c:v>
                </c:pt>
                <c:pt idx="79">
                  <c:v>-88.81</c:v>
                </c:pt>
                <c:pt idx="80">
                  <c:v>-87.77</c:v>
                </c:pt>
              </c:numCache>
            </c:numRef>
          </c:yVal>
          <c:smooth val="0"/>
        </c:ser>
        <c:ser>
          <c:idx val="18"/>
          <c:order val="4"/>
          <c:tx>
            <c:strRef>
              <c:f>'Average data'!$AV$5</c:f>
              <c:strCache>
                <c:ptCount val="1"/>
                <c:pt idx="0">
                  <c:v>10Front_LDiff~..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data'!$AV$6:$AV$86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21"/>
          <c:order val="5"/>
          <c:tx>
            <c:strRef>
              <c:f>'Average data'!$AY$5</c:f>
              <c:strCache>
                <c:ptCount val="1"/>
                <c:pt idx="0">
                  <c:v>10Rear_LDiff~..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data'!$AY$6:$AY$86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53712"/>
        <c:axId val="475054104"/>
      </c:scatterChart>
      <c:valAx>
        <c:axId val="475053712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2400932400932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4104"/>
        <c:crosses val="autoZero"/>
        <c:crossBetween val="midCat"/>
      </c:valAx>
      <c:valAx>
        <c:axId val="475054104"/>
        <c:scaling>
          <c:orientation val="minMax"/>
          <c:max val="2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7.1755527600470053E-3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3712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1939047559883419"/>
          <c:y val="0.66631536442560069"/>
          <c:w val="0.45349837187511316"/>
          <c:h val="0.257176366940146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Front Rear mic for Delhi90_StandardSamples 5 Overview</a:t>
            </a:r>
          </a:p>
        </c:rich>
      </c:tx>
      <c:layout>
        <c:manualLayout>
          <c:xMode val="edge"/>
          <c:yMode val="edge"/>
          <c:x val="0.13306082301842448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062389742265822E-2"/>
          <c:y val="0.11983260833654537"/>
          <c:w val="0.91384944709780191"/>
          <c:h val="0.79141824055209886"/>
        </c:manualLayout>
      </c:layout>
      <c:scatterChart>
        <c:scatterStyle val="lineMarker"/>
        <c:varyColors val="0"/>
        <c:ser>
          <c:idx val="4"/>
          <c:order val="0"/>
          <c:tx>
            <c:strRef>
              <c:f>'Average data'!$AI$5</c:f>
              <c:strCache>
                <c:ptCount val="1"/>
                <c:pt idx="0">
                  <c:v>10Front_HRMax.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data'!$AI$6:$AI$86</c:f>
              <c:numCache>
                <c:formatCode>General</c:formatCode>
                <c:ptCount val="81"/>
                <c:pt idx="0">
                  <c:v>-58.13</c:v>
                </c:pt>
                <c:pt idx="1">
                  <c:v>-60.04</c:v>
                </c:pt>
                <c:pt idx="2">
                  <c:v>-61.99</c:v>
                </c:pt>
                <c:pt idx="3">
                  <c:v>-67.73</c:v>
                </c:pt>
                <c:pt idx="4">
                  <c:v>-56.97</c:v>
                </c:pt>
                <c:pt idx="5">
                  <c:v>-57.18</c:v>
                </c:pt>
                <c:pt idx="6">
                  <c:v>-55.94</c:v>
                </c:pt>
                <c:pt idx="7">
                  <c:v>-53.38</c:v>
                </c:pt>
                <c:pt idx="8">
                  <c:v>-73.290000000000006</c:v>
                </c:pt>
                <c:pt idx="9">
                  <c:v>-68.66</c:v>
                </c:pt>
                <c:pt idx="10">
                  <c:v>-61.21</c:v>
                </c:pt>
                <c:pt idx="11">
                  <c:v>-54.28</c:v>
                </c:pt>
                <c:pt idx="12">
                  <c:v>-53.6</c:v>
                </c:pt>
                <c:pt idx="13">
                  <c:v>-58.96</c:v>
                </c:pt>
                <c:pt idx="14">
                  <c:v>-64.92</c:v>
                </c:pt>
                <c:pt idx="15">
                  <c:v>-53.57</c:v>
                </c:pt>
                <c:pt idx="16">
                  <c:v>-50.55</c:v>
                </c:pt>
                <c:pt idx="17">
                  <c:v>-51.2</c:v>
                </c:pt>
                <c:pt idx="18">
                  <c:v>-47.95</c:v>
                </c:pt>
                <c:pt idx="19">
                  <c:v>-49.5</c:v>
                </c:pt>
                <c:pt idx="20">
                  <c:v>-46.95</c:v>
                </c:pt>
                <c:pt idx="21">
                  <c:v>-53.73</c:v>
                </c:pt>
                <c:pt idx="22">
                  <c:v>-47.95</c:v>
                </c:pt>
                <c:pt idx="23">
                  <c:v>-47.8</c:v>
                </c:pt>
                <c:pt idx="24">
                  <c:v>-44.38</c:v>
                </c:pt>
                <c:pt idx="25">
                  <c:v>-41.62</c:v>
                </c:pt>
                <c:pt idx="26">
                  <c:v>-43.27</c:v>
                </c:pt>
                <c:pt idx="27">
                  <c:v>-45.28</c:v>
                </c:pt>
                <c:pt idx="28">
                  <c:v>-45.4</c:v>
                </c:pt>
                <c:pt idx="29">
                  <c:v>-42.59</c:v>
                </c:pt>
                <c:pt idx="30">
                  <c:v>-42.9</c:v>
                </c:pt>
                <c:pt idx="31">
                  <c:v>-44.31</c:v>
                </c:pt>
                <c:pt idx="32">
                  <c:v>-47.63</c:v>
                </c:pt>
                <c:pt idx="33">
                  <c:v>-43.65</c:v>
                </c:pt>
                <c:pt idx="34">
                  <c:v>-41.49</c:v>
                </c:pt>
                <c:pt idx="35">
                  <c:v>-40.450000000000003</c:v>
                </c:pt>
                <c:pt idx="36">
                  <c:v>-40.33</c:v>
                </c:pt>
                <c:pt idx="37">
                  <c:v>-39.799999999999997</c:v>
                </c:pt>
                <c:pt idx="38">
                  <c:v>-39.47</c:v>
                </c:pt>
                <c:pt idx="39">
                  <c:v>-41</c:v>
                </c:pt>
                <c:pt idx="40">
                  <c:v>-44.44</c:v>
                </c:pt>
                <c:pt idx="41">
                  <c:v>-46.04</c:v>
                </c:pt>
                <c:pt idx="42">
                  <c:v>-47.12</c:v>
                </c:pt>
                <c:pt idx="43">
                  <c:v>-55.93</c:v>
                </c:pt>
                <c:pt idx="44">
                  <c:v>-49</c:v>
                </c:pt>
                <c:pt idx="45">
                  <c:v>-47.73</c:v>
                </c:pt>
                <c:pt idx="46">
                  <c:v>-57.51</c:v>
                </c:pt>
                <c:pt idx="47">
                  <c:v>-54.04</c:v>
                </c:pt>
                <c:pt idx="48">
                  <c:v>-50.75</c:v>
                </c:pt>
                <c:pt idx="49">
                  <c:v>-46.07</c:v>
                </c:pt>
                <c:pt idx="50">
                  <c:v>-43.3</c:v>
                </c:pt>
                <c:pt idx="51">
                  <c:v>-42.64</c:v>
                </c:pt>
                <c:pt idx="52">
                  <c:v>-37.72</c:v>
                </c:pt>
                <c:pt idx="53">
                  <c:v>-31.63</c:v>
                </c:pt>
                <c:pt idx="54">
                  <c:v>-26.52</c:v>
                </c:pt>
                <c:pt idx="55">
                  <c:v>-24.77</c:v>
                </c:pt>
                <c:pt idx="56">
                  <c:v>-24.52</c:v>
                </c:pt>
                <c:pt idx="57">
                  <c:v>-23.99</c:v>
                </c:pt>
                <c:pt idx="58">
                  <c:v>-23.16</c:v>
                </c:pt>
                <c:pt idx="59">
                  <c:v>-20.68</c:v>
                </c:pt>
                <c:pt idx="60">
                  <c:v>-17.850000000000001</c:v>
                </c:pt>
                <c:pt idx="61">
                  <c:v>-12.54</c:v>
                </c:pt>
                <c:pt idx="62">
                  <c:v>-7.59</c:v>
                </c:pt>
                <c:pt idx="63">
                  <c:v>-8.2200000000000006</c:v>
                </c:pt>
                <c:pt idx="64">
                  <c:v>-13.43</c:v>
                </c:pt>
                <c:pt idx="65">
                  <c:v>-13.37</c:v>
                </c:pt>
                <c:pt idx="66">
                  <c:v>-13.11</c:v>
                </c:pt>
                <c:pt idx="67">
                  <c:v>-11.02</c:v>
                </c:pt>
                <c:pt idx="68">
                  <c:v>-15.33</c:v>
                </c:pt>
                <c:pt idx="69">
                  <c:v>-20.71</c:v>
                </c:pt>
                <c:pt idx="70">
                  <c:v>-21.19</c:v>
                </c:pt>
                <c:pt idx="71">
                  <c:v>-16.170000000000002</c:v>
                </c:pt>
                <c:pt idx="72">
                  <c:v>-23.94</c:v>
                </c:pt>
                <c:pt idx="73">
                  <c:v>-28.04</c:v>
                </c:pt>
                <c:pt idx="74">
                  <c:v>-28.74</c:v>
                </c:pt>
                <c:pt idx="75">
                  <c:v>-74.66</c:v>
                </c:pt>
                <c:pt idx="76">
                  <c:v>-75.599999999999994</c:v>
                </c:pt>
                <c:pt idx="77">
                  <c:v>-75.62</c:v>
                </c:pt>
                <c:pt idx="78">
                  <c:v>-72</c:v>
                </c:pt>
                <c:pt idx="79">
                  <c:v>-72.66</c:v>
                </c:pt>
                <c:pt idx="80">
                  <c:v>-78.2</c:v>
                </c:pt>
              </c:numCache>
            </c:numRef>
          </c:yVal>
          <c:smooth val="0"/>
        </c:ser>
        <c:ser>
          <c:idx val="8"/>
          <c:order val="1"/>
          <c:tx>
            <c:strRef>
              <c:f>'Average data'!$AL$5</c:f>
              <c:strCache>
                <c:ptCount val="1"/>
                <c:pt idx="0">
                  <c:v>10Rear_HRMax.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data'!$AL$6:$AL$86</c:f>
              <c:numCache>
                <c:formatCode>General</c:formatCode>
                <c:ptCount val="81"/>
                <c:pt idx="0">
                  <c:v>-62.48</c:v>
                </c:pt>
                <c:pt idx="1">
                  <c:v>-73.400000000000006</c:v>
                </c:pt>
                <c:pt idx="2">
                  <c:v>-63.47</c:v>
                </c:pt>
                <c:pt idx="3">
                  <c:v>-58.56</c:v>
                </c:pt>
                <c:pt idx="4">
                  <c:v>-55.15</c:v>
                </c:pt>
                <c:pt idx="5">
                  <c:v>-56.65</c:v>
                </c:pt>
                <c:pt idx="6">
                  <c:v>-68.03</c:v>
                </c:pt>
                <c:pt idx="7">
                  <c:v>-66.02</c:v>
                </c:pt>
                <c:pt idx="8">
                  <c:v>-64.599999999999994</c:v>
                </c:pt>
                <c:pt idx="9">
                  <c:v>-58.75</c:v>
                </c:pt>
                <c:pt idx="10">
                  <c:v>-69.48</c:v>
                </c:pt>
                <c:pt idx="11">
                  <c:v>-66.27</c:v>
                </c:pt>
                <c:pt idx="12">
                  <c:v>-70.099999999999994</c:v>
                </c:pt>
                <c:pt idx="13">
                  <c:v>-69.13</c:v>
                </c:pt>
                <c:pt idx="14">
                  <c:v>-55.83</c:v>
                </c:pt>
                <c:pt idx="15">
                  <c:v>-61.88</c:v>
                </c:pt>
                <c:pt idx="16">
                  <c:v>-62.48</c:v>
                </c:pt>
                <c:pt idx="17">
                  <c:v>-58.75</c:v>
                </c:pt>
                <c:pt idx="18">
                  <c:v>-55.27</c:v>
                </c:pt>
                <c:pt idx="19">
                  <c:v>-51.05</c:v>
                </c:pt>
                <c:pt idx="20">
                  <c:v>-49.62</c:v>
                </c:pt>
                <c:pt idx="21">
                  <c:v>-48.05</c:v>
                </c:pt>
                <c:pt idx="22">
                  <c:v>-49.84</c:v>
                </c:pt>
                <c:pt idx="23">
                  <c:v>-44.43</c:v>
                </c:pt>
                <c:pt idx="24">
                  <c:v>-42.28</c:v>
                </c:pt>
                <c:pt idx="25">
                  <c:v>-40.35</c:v>
                </c:pt>
                <c:pt idx="26">
                  <c:v>-37.46</c:v>
                </c:pt>
                <c:pt idx="27">
                  <c:v>-36.409999999999997</c:v>
                </c:pt>
                <c:pt idx="28">
                  <c:v>-37.049999999999997</c:v>
                </c:pt>
                <c:pt idx="29">
                  <c:v>-35.76</c:v>
                </c:pt>
                <c:pt idx="30">
                  <c:v>-37.619999999999997</c:v>
                </c:pt>
                <c:pt idx="31">
                  <c:v>-35.93</c:v>
                </c:pt>
                <c:pt idx="32">
                  <c:v>-38.01</c:v>
                </c:pt>
                <c:pt idx="33">
                  <c:v>-37.61</c:v>
                </c:pt>
                <c:pt idx="34">
                  <c:v>-35.92</c:v>
                </c:pt>
                <c:pt idx="35">
                  <c:v>-33.200000000000003</c:v>
                </c:pt>
                <c:pt idx="36">
                  <c:v>-32.909999999999997</c:v>
                </c:pt>
                <c:pt idx="37">
                  <c:v>-32.17</c:v>
                </c:pt>
                <c:pt idx="38">
                  <c:v>-30.82</c:v>
                </c:pt>
                <c:pt idx="39">
                  <c:v>-28.42</c:v>
                </c:pt>
                <c:pt idx="40">
                  <c:v>-26.92</c:v>
                </c:pt>
                <c:pt idx="41">
                  <c:v>-26.93</c:v>
                </c:pt>
                <c:pt idx="42">
                  <c:v>-28.14</c:v>
                </c:pt>
                <c:pt idx="43">
                  <c:v>-29.42</c:v>
                </c:pt>
                <c:pt idx="44">
                  <c:v>-30.27</c:v>
                </c:pt>
                <c:pt idx="45">
                  <c:v>-30.98</c:v>
                </c:pt>
                <c:pt idx="46">
                  <c:v>-30.92</c:v>
                </c:pt>
                <c:pt idx="47">
                  <c:v>-28.91</c:v>
                </c:pt>
                <c:pt idx="48">
                  <c:v>-27.33</c:v>
                </c:pt>
                <c:pt idx="49">
                  <c:v>-26.09</c:v>
                </c:pt>
                <c:pt idx="50">
                  <c:v>-25.88</c:v>
                </c:pt>
                <c:pt idx="51">
                  <c:v>-25.52</c:v>
                </c:pt>
                <c:pt idx="52">
                  <c:v>-24.41</c:v>
                </c:pt>
                <c:pt idx="53">
                  <c:v>-23.1</c:v>
                </c:pt>
                <c:pt idx="54">
                  <c:v>-22.12</c:v>
                </c:pt>
                <c:pt idx="55">
                  <c:v>-19.25</c:v>
                </c:pt>
                <c:pt idx="56">
                  <c:v>-17.53</c:v>
                </c:pt>
                <c:pt idx="57">
                  <c:v>-16.920000000000002</c:v>
                </c:pt>
                <c:pt idx="58">
                  <c:v>-15.92</c:v>
                </c:pt>
                <c:pt idx="59">
                  <c:v>-14.59</c:v>
                </c:pt>
                <c:pt idx="60">
                  <c:v>-13.58</c:v>
                </c:pt>
                <c:pt idx="61">
                  <c:v>-11.2</c:v>
                </c:pt>
                <c:pt idx="62">
                  <c:v>-9.67</c:v>
                </c:pt>
                <c:pt idx="63">
                  <c:v>-11.74</c:v>
                </c:pt>
                <c:pt idx="64">
                  <c:v>-17.37</c:v>
                </c:pt>
                <c:pt idx="65">
                  <c:v>-15.2</c:v>
                </c:pt>
                <c:pt idx="66">
                  <c:v>-19.32</c:v>
                </c:pt>
                <c:pt idx="67">
                  <c:v>-28.57</c:v>
                </c:pt>
                <c:pt idx="68">
                  <c:v>-25.79</c:v>
                </c:pt>
                <c:pt idx="69">
                  <c:v>-23.4</c:v>
                </c:pt>
                <c:pt idx="70">
                  <c:v>-19.45</c:v>
                </c:pt>
                <c:pt idx="71">
                  <c:v>-13.29</c:v>
                </c:pt>
                <c:pt idx="72">
                  <c:v>-21.24</c:v>
                </c:pt>
                <c:pt idx="73">
                  <c:v>-33.119999999999997</c:v>
                </c:pt>
                <c:pt idx="74">
                  <c:v>-45.17</c:v>
                </c:pt>
                <c:pt idx="75">
                  <c:v>-71.52</c:v>
                </c:pt>
                <c:pt idx="76">
                  <c:v>-78.52</c:v>
                </c:pt>
                <c:pt idx="77">
                  <c:v>-81.319999999999993</c:v>
                </c:pt>
                <c:pt idx="78">
                  <c:v>-80.25</c:v>
                </c:pt>
                <c:pt idx="79">
                  <c:v>-73.61</c:v>
                </c:pt>
                <c:pt idx="80">
                  <c:v>-67.680000000000007</c:v>
                </c:pt>
              </c:numCache>
            </c:numRef>
          </c:yVal>
          <c:smooth val="0"/>
        </c:ser>
        <c:ser>
          <c:idx val="11"/>
          <c:order val="2"/>
          <c:tx>
            <c:strRef>
              <c:f>'Average data'!$AO$5</c:f>
              <c:strCache>
                <c:ptCount val="1"/>
                <c:pt idx="0">
                  <c:v>10Front_HRMin..</c:v>
                </c:pt>
              </c:strCache>
            </c:strRef>
          </c:tx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data'!$AO$6:$AO$86</c:f>
              <c:numCache>
                <c:formatCode>General</c:formatCode>
                <c:ptCount val="81"/>
                <c:pt idx="0">
                  <c:v>-58.13</c:v>
                </c:pt>
                <c:pt idx="1">
                  <c:v>-60.04</c:v>
                </c:pt>
                <c:pt idx="2">
                  <c:v>-61.99</c:v>
                </c:pt>
                <c:pt idx="3">
                  <c:v>-67.73</c:v>
                </c:pt>
                <c:pt idx="4">
                  <c:v>-56.97</c:v>
                </c:pt>
                <c:pt idx="5">
                  <c:v>-57.18</c:v>
                </c:pt>
                <c:pt idx="6">
                  <c:v>-55.94</c:v>
                </c:pt>
                <c:pt idx="7">
                  <c:v>-53.38</c:v>
                </c:pt>
                <c:pt idx="8">
                  <c:v>-73.290000000000006</c:v>
                </c:pt>
                <c:pt idx="9">
                  <c:v>-68.66</c:v>
                </c:pt>
                <c:pt idx="10">
                  <c:v>-61.21</c:v>
                </c:pt>
                <c:pt idx="11">
                  <c:v>-54.28</c:v>
                </c:pt>
                <c:pt idx="12">
                  <c:v>-53.6</c:v>
                </c:pt>
                <c:pt idx="13">
                  <c:v>-58.96</c:v>
                </c:pt>
                <c:pt idx="14">
                  <c:v>-64.92</c:v>
                </c:pt>
                <c:pt idx="15">
                  <c:v>-53.57</c:v>
                </c:pt>
                <c:pt idx="16">
                  <c:v>-50.55</c:v>
                </c:pt>
                <c:pt idx="17">
                  <c:v>-51.2</c:v>
                </c:pt>
                <c:pt idx="18">
                  <c:v>-47.95</c:v>
                </c:pt>
                <c:pt idx="19">
                  <c:v>-49.5</c:v>
                </c:pt>
                <c:pt idx="20">
                  <c:v>-46.95</c:v>
                </c:pt>
                <c:pt idx="21">
                  <c:v>-53.73</c:v>
                </c:pt>
                <c:pt idx="22">
                  <c:v>-47.95</c:v>
                </c:pt>
                <c:pt idx="23">
                  <c:v>-47.8</c:v>
                </c:pt>
                <c:pt idx="24">
                  <c:v>-44.38</c:v>
                </c:pt>
                <c:pt idx="25">
                  <c:v>-41.62</c:v>
                </c:pt>
                <c:pt idx="26">
                  <c:v>-43.27</c:v>
                </c:pt>
                <c:pt idx="27">
                  <c:v>-45.28</c:v>
                </c:pt>
                <c:pt idx="28">
                  <c:v>-45.4</c:v>
                </c:pt>
                <c:pt idx="29">
                  <c:v>-42.59</c:v>
                </c:pt>
                <c:pt idx="30">
                  <c:v>-42.9</c:v>
                </c:pt>
                <c:pt idx="31">
                  <c:v>-44.31</c:v>
                </c:pt>
                <c:pt idx="32">
                  <c:v>-47.63</c:v>
                </c:pt>
                <c:pt idx="33">
                  <c:v>-43.65</c:v>
                </c:pt>
                <c:pt idx="34">
                  <c:v>-41.49</c:v>
                </c:pt>
                <c:pt idx="35">
                  <c:v>-40.450000000000003</c:v>
                </c:pt>
                <c:pt idx="36">
                  <c:v>-40.33</c:v>
                </c:pt>
                <c:pt idx="37">
                  <c:v>-39.799999999999997</c:v>
                </c:pt>
                <c:pt idx="38">
                  <c:v>-39.47</c:v>
                </c:pt>
                <c:pt idx="39">
                  <c:v>-41</c:v>
                </c:pt>
                <c:pt idx="40">
                  <c:v>-44.44</c:v>
                </c:pt>
                <c:pt idx="41">
                  <c:v>-46.04</c:v>
                </c:pt>
                <c:pt idx="42">
                  <c:v>-47.12</c:v>
                </c:pt>
                <c:pt idx="43">
                  <c:v>-55.93</c:v>
                </c:pt>
                <c:pt idx="44">
                  <c:v>-49</c:v>
                </c:pt>
                <c:pt idx="45">
                  <c:v>-47.73</c:v>
                </c:pt>
                <c:pt idx="46">
                  <c:v>-57.51</c:v>
                </c:pt>
                <c:pt idx="47">
                  <c:v>-54.04</c:v>
                </c:pt>
                <c:pt idx="48">
                  <c:v>-50.75</c:v>
                </c:pt>
                <c:pt idx="49">
                  <c:v>-46.07</c:v>
                </c:pt>
                <c:pt idx="50">
                  <c:v>-43.3</c:v>
                </c:pt>
                <c:pt idx="51">
                  <c:v>-42.64</c:v>
                </c:pt>
                <c:pt idx="52">
                  <c:v>-37.72</c:v>
                </c:pt>
                <c:pt idx="53">
                  <c:v>-31.63</c:v>
                </c:pt>
                <c:pt idx="54">
                  <c:v>-26.52</c:v>
                </c:pt>
                <c:pt idx="55">
                  <c:v>-24.77</c:v>
                </c:pt>
                <c:pt idx="56">
                  <c:v>-24.52</c:v>
                </c:pt>
                <c:pt idx="57">
                  <c:v>-23.99</c:v>
                </c:pt>
                <c:pt idx="58">
                  <c:v>-23.16</c:v>
                </c:pt>
                <c:pt idx="59">
                  <c:v>-20.68</c:v>
                </c:pt>
                <c:pt idx="60">
                  <c:v>-17.850000000000001</c:v>
                </c:pt>
                <c:pt idx="61">
                  <c:v>-12.54</c:v>
                </c:pt>
                <c:pt idx="62">
                  <c:v>-7.59</c:v>
                </c:pt>
                <c:pt idx="63">
                  <c:v>-8.2200000000000006</c:v>
                </c:pt>
                <c:pt idx="64">
                  <c:v>-13.43</c:v>
                </c:pt>
                <c:pt idx="65">
                  <c:v>-13.37</c:v>
                </c:pt>
                <c:pt idx="66">
                  <c:v>-13.11</c:v>
                </c:pt>
                <c:pt idx="67">
                  <c:v>-11.02</c:v>
                </c:pt>
                <c:pt idx="68">
                  <c:v>-15.33</c:v>
                </c:pt>
                <c:pt idx="69">
                  <c:v>-20.71</c:v>
                </c:pt>
                <c:pt idx="70">
                  <c:v>-21.19</c:v>
                </c:pt>
                <c:pt idx="71">
                  <c:v>-16.170000000000002</c:v>
                </c:pt>
                <c:pt idx="72">
                  <c:v>-23.94</c:v>
                </c:pt>
                <c:pt idx="73">
                  <c:v>-28.04</c:v>
                </c:pt>
                <c:pt idx="74">
                  <c:v>-28.74</c:v>
                </c:pt>
                <c:pt idx="75">
                  <c:v>-74.66</c:v>
                </c:pt>
                <c:pt idx="76">
                  <c:v>-75.599999999999994</c:v>
                </c:pt>
                <c:pt idx="77">
                  <c:v>-75.62</c:v>
                </c:pt>
                <c:pt idx="78">
                  <c:v>-72</c:v>
                </c:pt>
                <c:pt idx="79">
                  <c:v>-72.66</c:v>
                </c:pt>
                <c:pt idx="80">
                  <c:v>-78.2</c:v>
                </c:pt>
              </c:numCache>
            </c:numRef>
          </c:yVal>
          <c:smooth val="0"/>
        </c:ser>
        <c:ser>
          <c:idx val="14"/>
          <c:order val="3"/>
          <c:tx>
            <c:strRef>
              <c:f>'Average data'!$AR$5</c:f>
              <c:strCache>
                <c:ptCount val="1"/>
                <c:pt idx="0">
                  <c:v>10Rear_HRMin..</c:v>
                </c:pt>
              </c:strCache>
            </c:strRef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data'!$AR$6:$AR$86</c:f>
              <c:numCache>
                <c:formatCode>General</c:formatCode>
                <c:ptCount val="81"/>
                <c:pt idx="0">
                  <c:v>-62.48</c:v>
                </c:pt>
                <c:pt idx="1">
                  <c:v>-73.400000000000006</c:v>
                </c:pt>
                <c:pt idx="2">
                  <c:v>-63.47</c:v>
                </c:pt>
                <c:pt idx="3">
                  <c:v>-58.56</c:v>
                </c:pt>
                <c:pt idx="4">
                  <c:v>-55.15</c:v>
                </c:pt>
                <c:pt idx="5">
                  <c:v>-56.65</c:v>
                </c:pt>
                <c:pt idx="6">
                  <c:v>-68.03</c:v>
                </c:pt>
                <c:pt idx="7">
                  <c:v>-66.02</c:v>
                </c:pt>
                <c:pt idx="8">
                  <c:v>-64.599999999999994</c:v>
                </c:pt>
                <c:pt idx="9">
                  <c:v>-58.75</c:v>
                </c:pt>
                <c:pt idx="10">
                  <c:v>-69.48</c:v>
                </c:pt>
                <c:pt idx="11">
                  <c:v>-66.27</c:v>
                </c:pt>
                <c:pt idx="12">
                  <c:v>-70.099999999999994</c:v>
                </c:pt>
                <c:pt idx="13">
                  <c:v>-69.13</c:v>
                </c:pt>
                <c:pt idx="14">
                  <c:v>-55.83</c:v>
                </c:pt>
                <c:pt idx="15">
                  <c:v>-61.88</c:v>
                </c:pt>
                <c:pt idx="16">
                  <c:v>-62.48</c:v>
                </c:pt>
                <c:pt idx="17">
                  <c:v>-58.75</c:v>
                </c:pt>
                <c:pt idx="18">
                  <c:v>-55.27</c:v>
                </c:pt>
                <c:pt idx="19">
                  <c:v>-51.05</c:v>
                </c:pt>
                <c:pt idx="20">
                  <c:v>-49.62</c:v>
                </c:pt>
                <c:pt idx="21">
                  <c:v>-48.05</c:v>
                </c:pt>
                <c:pt idx="22">
                  <c:v>-49.84</c:v>
                </c:pt>
                <c:pt idx="23">
                  <c:v>-44.43</c:v>
                </c:pt>
                <c:pt idx="24">
                  <c:v>-42.28</c:v>
                </c:pt>
                <c:pt idx="25">
                  <c:v>-40.35</c:v>
                </c:pt>
                <c:pt idx="26">
                  <c:v>-37.46</c:v>
                </c:pt>
                <c:pt idx="27">
                  <c:v>-36.409999999999997</c:v>
                </c:pt>
                <c:pt idx="28">
                  <c:v>-37.049999999999997</c:v>
                </c:pt>
                <c:pt idx="29">
                  <c:v>-35.76</c:v>
                </c:pt>
                <c:pt idx="30">
                  <c:v>-37.619999999999997</c:v>
                </c:pt>
                <c:pt idx="31">
                  <c:v>-35.93</c:v>
                </c:pt>
                <c:pt idx="32">
                  <c:v>-38.01</c:v>
                </c:pt>
                <c:pt idx="33">
                  <c:v>-37.61</c:v>
                </c:pt>
                <c:pt idx="34">
                  <c:v>-35.92</c:v>
                </c:pt>
                <c:pt idx="35">
                  <c:v>-33.200000000000003</c:v>
                </c:pt>
                <c:pt idx="36">
                  <c:v>-32.909999999999997</c:v>
                </c:pt>
                <c:pt idx="37">
                  <c:v>-32.17</c:v>
                </c:pt>
                <c:pt idx="38">
                  <c:v>-30.82</c:v>
                </c:pt>
                <c:pt idx="39">
                  <c:v>-28.42</c:v>
                </c:pt>
                <c:pt idx="40">
                  <c:v>-26.92</c:v>
                </c:pt>
                <c:pt idx="41">
                  <c:v>-26.93</c:v>
                </c:pt>
                <c:pt idx="42">
                  <c:v>-28.14</c:v>
                </c:pt>
                <c:pt idx="43">
                  <c:v>-29.42</c:v>
                </c:pt>
                <c:pt idx="44">
                  <c:v>-30.27</c:v>
                </c:pt>
                <c:pt idx="45">
                  <c:v>-30.98</c:v>
                </c:pt>
                <c:pt idx="46">
                  <c:v>-30.92</c:v>
                </c:pt>
                <c:pt idx="47">
                  <c:v>-28.91</c:v>
                </c:pt>
                <c:pt idx="48">
                  <c:v>-27.33</c:v>
                </c:pt>
                <c:pt idx="49">
                  <c:v>-26.09</c:v>
                </c:pt>
                <c:pt idx="50">
                  <c:v>-25.88</c:v>
                </c:pt>
                <c:pt idx="51">
                  <c:v>-25.52</c:v>
                </c:pt>
                <c:pt idx="52">
                  <c:v>-24.41</c:v>
                </c:pt>
                <c:pt idx="53">
                  <c:v>-23.1</c:v>
                </c:pt>
                <c:pt idx="54">
                  <c:v>-22.12</c:v>
                </c:pt>
                <c:pt idx="55">
                  <c:v>-19.25</c:v>
                </c:pt>
                <c:pt idx="56">
                  <c:v>-17.53</c:v>
                </c:pt>
                <c:pt idx="57">
                  <c:v>-16.920000000000002</c:v>
                </c:pt>
                <c:pt idx="58">
                  <c:v>-15.92</c:v>
                </c:pt>
                <c:pt idx="59">
                  <c:v>-14.59</c:v>
                </c:pt>
                <c:pt idx="60">
                  <c:v>-13.58</c:v>
                </c:pt>
                <c:pt idx="61">
                  <c:v>-11.2</c:v>
                </c:pt>
                <c:pt idx="62">
                  <c:v>-9.67</c:v>
                </c:pt>
                <c:pt idx="63">
                  <c:v>-11.74</c:v>
                </c:pt>
                <c:pt idx="64">
                  <c:v>-17.37</c:v>
                </c:pt>
                <c:pt idx="65">
                  <c:v>-15.2</c:v>
                </c:pt>
                <c:pt idx="66">
                  <c:v>-19.32</c:v>
                </c:pt>
                <c:pt idx="67">
                  <c:v>-28.57</c:v>
                </c:pt>
                <c:pt idx="68">
                  <c:v>-25.79</c:v>
                </c:pt>
                <c:pt idx="69">
                  <c:v>-23.4</c:v>
                </c:pt>
                <c:pt idx="70">
                  <c:v>-19.45</c:v>
                </c:pt>
                <c:pt idx="71">
                  <c:v>-13.29</c:v>
                </c:pt>
                <c:pt idx="72">
                  <c:v>-21.24</c:v>
                </c:pt>
                <c:pt idx="73">
                  <c:v>-33.119999999999997</c:v>
                </c:pt>
                <c:pt idx="74">
                  <c:v>-45.17</c:v>
                </c:pt>
                <c:pt idx="75">
                  <c:v>-71.52</c:v>
                </c:pt>
                <c:pt idx="76">
                  <c:v>-78.52</c:v>
                </c:pt>
                <c:pt idx="77">
                  <c:v>-81.319999999999993</c:v>
                </c:pt>
                <c:pt idx="78">
                  <c:v>-80.25</c:v>
                </c:pt>
                <c:pt idx="79">
                  <c:v>-73.61</c:v>
                </c:pt>
                <c:pt idx="80">
                  <c:v>-67.680000000000007</c:v>
                </c:pt>
              </c:numCache>
            </c:numRef>
          </c:yVal>
          <c:smooth val="0"/>
        </c:ser>
        <c:ser>
          <c:idx val="17"/>
          <c:order val="4"/>
          <c:tx>
            <c:strRef>
              <c:f>'Average data'!$AU$5</c:f>
              <c:strCache>
                <c:ptCount val="1"/>
                <c:pt idx="0">
                  <c:v>10Front_HRDiff~..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data'!$AU$6:$AU$86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20"/>
          <c:order val="5"/>
          <c:tx>
            <c:strRef>
              <c:f>'Average data'!$AX$5</c:f>
              <c:strCache>
                <c:ptCount val="1"/>
                <c:pt idx="0">
                  <c:v>10Rear_HRDiff~..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data'!$AX$6:$AX$86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54888"/>
        <c:axId val="475055280"/>
      </c:scatterChart>
      <c:valAx>
        <c:axId val="47505488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2400932400932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5280"/>
        <c:crosses val="autoZero"/>
        <c:crossBetween val="midCat"/>
      </c:valAx>
      <c:valAx>
        <c:axId val="475055280"/>
        <c:scaling>
          <c:orientation val="minMax"/>
          <c:max val="2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4888"/>
        <c:crosses val="autoZero"/>
        <c:crossBetween val="midCat"/>
        <c:majorUnit val="10"/>
        <c:minorUnit val="5"/>
      </c:valAx>
      <c:spPr>
        <a:noFill/>
        <a:ln w="12700">
          <a:solidFill>
            <a:srgbClr val="FF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1939047559883419"/>
          <c:y val="0.66631536442560069"/>
          <c:w val="0.45349837187511316"/>
          <c:h val="0.257176366940146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Rear HL for Delhi90_StandardSamples</a:t>
            </a:r>
            <a:r>
              <a:rPr lang="da-DK" altLang="en-US" sz="1000" baseline="0"/>
              <a:t> 5 Overview</a:t>
            </a:r>
            <a:endParaRPr lang="da-DK" altLang="en-US" sz="1000"/>
          </a:p>
        </c:rich>
      </c:tx>
      <c:layout>
        <c:manualLayout>
          <c:xMode val="edge"/>
          <c:yMode val="edge"/>
          <c:x val="0.20932643774557766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8.637766433042024E-2"/>
          <c:w val="0.9015544041450777"/>
          <c:h val="0.79200080759135882"/>
        </c:manualLayout>
      </c:layout>
      <c:scatterChart>
        <c:scatterStyle val="lineMarker"/>
        <c:varyColors val="0"/>
        <c:ser>
          <c:idx val="16"/>
          <c:order val="0"/>
          <c:tx>
            <c:v>9Rear_HLDiff~..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Lit>
              <c:formatCode>General</c:formatCode>
              <c:ptCount val="81"/>
              <c:pt idx="0">
                <c:v>11.648000000000003</c:v>
              </c:pt>
              <c:pt idx="1">
                <c:v>9.0010999999999974</c:v>
              </c:pt>
              <c:pt idx="2">
                <c:v>12.09</c:v>
              </c:pt>
              <c:pt idx="3">
                <c:v>12.748000000000001</c:v>
              </c:pt>
              <c:pt idx="4">
                <c:v>7.0760000000000005</c:v>
              </c:pt>
              <c:pt idx="5">
                <c:v>9.2659999999999982</c:v>
              </c:pt>
              <c:pt idx="6">
                <c:v>6.5590000000000046</c:v>
              </c:pt>
              <c:pt idx="7">
                <c:v>14.242999999999999</c:v>
              </c:pt>
              <c:pt idx="8">
                <c:v>7.2740000000000009</c:v>
              </c:pt>
              <c:pt idx="9">
                <c:v>2.2429999999999986</c:v>
              </c:pt>
              <c:pt idx="10">
                <c:v>4.8609000000000009</c:v>
              </c:pt>
              <c:pt idx="11">
                <c:v>3.5151000000000003</c:v>
              </c:pt>
              <c:pt idx="12">
                <c:v>7.4708000000000006</c:v>
              </c:pt>
              <c:pt idx="13">
                <c:v>1.4426999999999985</c:v>
              </c:pt>
              <c:pt idx="14">
                <c:v>4.0576000000000008</c:v>
              </c:pt>
              <c:pt idx="15">
                <c:v>3.9135999999999989</c:v>
              </c:pt>
              <c:pt idx="16">
                <c:v>4.1285000000000025</c:v>
              </c:pt>
              <c:pt idx="17">
                <c:v>2.1110000000000007</c:v>
              </c:pt>
              <c:pt idx="18">
                <c:v>2.1905999999999999</c:v>
              </c:pt>
              <c:pt idx="19">
                <c:v>3.9144000000000005</c:v>
              </c:pt>
              <c:pt idx="20">
                <c:v>5.0999999999999979</c:v>
              </c:pt>
              <c:pt idx="21">
                <c:v>7.3077000000000005</c:v>
              </c:pt>
              <c:pt idx="22">
                <c:v>9.2187000000000001</c:v>
              </c:pt>
              <c:pt idx="23">
                <c:v>7.1968999999999976</c:v>
              </c:pt>
              <c:pt idx="24">
                <c:v>5.7034000000000002</c:v>
              </c:pt>
              <c:pt idx="25">
                <c:v>6.9035999999999991</c:v>
              </c:pt>
              <c:pt idx="26">
                <c:v>8.3392999999999979</c:v>
              </c:pt>
              <c:pt idx="27">
                <c:v>3.6753</c:v>
              </c:pt>
              <c:pt idx="28">
                <c:v>9.5237000000000016</c:v>
              </c:pt>
              <c:pt idx="29">
                <c:v>1.1481999999999992</c:v>
              </c:pt>
              <c:pt idx="30">
                <c:v>4.668099999999999</c:v>
              </c:pt>
              <c:pt idx="31">
                <c:v>4.2387999999999995</c:v>
              </c:pt>
              <c:pt idx="32">
                <c:v>4.3094000000000001</c:v>
              </c:pt>
              <c:pt idx="33">
                <c:v>4.0042999999999997</c:v>
              </c:pt>
              <c:pt idx="34">
                <c:v>4.4283999999999999</c:v>
              </c:pt>
              <c:pt idx="35">
                <c:v>3.4558999999999997</c:v>
              </c:pt>
              <c:pt idx="36">
                <c:v>3.1228000000000007</c:v>
              </c:pt>
              <c:pt idx="37">
                <c:v>2.8228999999999997</c:v>
              </c:pt>
              <c:pt idx="38">
                <c:v>2.3382000000000005</c:v>
              </c:pt>
              <c:pt idx="39">
                <c:v>2.0689999999999991</c:v>
              </c:pt>
              <c:pt idx="40">
                <c:v>1.6125999999999996</c:v>
              </c:pt>
              <c:pt idx="41">
                <c:v>1.019000000000001</c:v>
              </c:pt>
              <c:pt idx="42">
                <c:v>0.83680000000000021</c:v>
              </c:pt>
              <c:pt idx="43">
                <c:v>0.83879999999999999</c:v>
              </c:pt>
              <c:pt idx="44">
                <c:v>0.75370000000000115</c:v>
              </c:pt>
              <c:pt idx="45">
                <c:v>1.9389999999999992</c:v>
              </c:pt>
              <c:pt idx="46">
                <c:v>1.008700000000001</c:v>
              </c:pt>
              <c:pt idx="47">
                <c:v>0.32149999999999945</c:v>
              </c:pt>
              <c:pt idx="48">
                <c:v>0.63200000000000056</c:v>
              </c:pt>
              <c:pt idx="49">
                <c:v>1.3102</c:v>
              </c:pt>
              <c:pt idx="50">
                <c:v>1.5986000000000002</c:v>
              </c:pt>
              <c:pt idx="51">
                <c:v>1.3356999999999992</c:v>
              </c:pt>
              <c:pt idx="52">
                <c:v>1.5276999999999994</c:v>
              </c:pt>
              <c:pt idx="53">
                <c:v>4.541500000000001</c:v>
              </c:pt>
              <c:pt idx="54">
                <c:v>2.7501999999999995</c:v>
              </c:pt>
              <c:pt idx="55">
                <c:v>4.8943999999999992</c:v>
              </c:pt>
              <c:pt idx="56">
                <c:v>5.9038000000000004</c:v>
              </c:pt>
              <c:pt idx="57">
                <c:v>2.1476999999999986</c:v>
              </c:pt>
              <c:pt idx="58">
                <c:v>1.5887999999999991</c:v>
              </c:pt>
              <c:pt idx="59">
                <c:v>2.164299999999999</c:v>
              </c:pt>
              <c:pt idx="60">
                <c:v>1.4081000000000001</c:v>
              </c:pt>
              <c:pt idx="61">
                <c:v>1.2423999999999999</c:v>
              </c:pt>
              <c:pt idx="62">
                <c:v>2.9859999999999998</c:v>
              </c:pt>
              <c:pt idx="63">
                <c:v>4.329600000000001</c:v>
              </c:pt>
              <c:pt idx="64">
                <c:v>2.4051000000000009</c:v>
              </c:pt>
              <c:pt idx="65">
                <c:v>14.0025</c:v>
              </c:pt>
              <c:pt idx="66">
                <c:v>9.0518000000000001</c:v>
              </c:pt>
              <c:pt idx="67">
                <c:v>6.7271999999999981</c:v>
              </c:pt>
              <c:pt idx="68">
                <c:v>3.5709999999999997</c:v>
              </c:pt>
              <c:pt idx="69">
                <c:v>4.6610000000000014</c:v>
              </c:pt>
              <c:pt idx="70">
                <c:v>7.2838999999999992</c:v>
              </c:pt>
              <c:pt idx="71">
                <c:v>3.2467999999999986</c:v>
              </c:pt>
              <c:pt idx="72">
                <c:v>4.1334</c:v>
              </c:pt>
              <c:pt idx="73">
                <c:v>6.8136999999999972</c:v>
              </c:pt>
              <c:pt idx="74">
                <c:v>2.8580000000000041</c:v>
              </c:pt>
              <c:pt idx="75">
                <c:v>3.597999999999999</c:v>
              </c:pt>
              <c:pt idx="76">
                <c:v>3.0579999999999998</c:v>
              </c:pt>
              <c:pt idx="77">
                <c:v>2.7040000000000006</c:v>
              </c:pt>
              <c:pt idx="78">
                <c:v>1.8840000000000003</c:v>
              </c:pt>
              <c:pt idx="79">
                <c:v>1.7779999999999987</c:v>
              </c:pt>
              <c:pt idx="80">
                <c:v>0.84900000000000375</c:v>
              </c:pt>
            </c:numLit>
          </c:yVal>
          <c:smooth val="0"/>
        </c:ser>
        <c:ser>
          <c:idx val="2"/>
          <c:order val="1"/>
          <c:tx>
            <c:v>9Front_HLDiff~..</c:v>
          </c:tx>
          <c:spPr>
            <a:ln w="1587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Lit>
              <c:formatCode>General</c:formatCode>
              <c:ptCount val="81"/>
              <c:pt idx="0">
                <c:v>8.320999999999998</c:v>
              </c:pt>
              <c:pt idx="1">
                <c:v>10.745000000000001</c:v>
              </c:pt>
              <c:pt idx="2">
                <c:v>10.983000000000004</c:v>
              </c:pt>
              <c:pt idx="3">
                <c:v>10.048999999999999</c:v>
              </c:pt>
              <c:pt idx="4">
                <c:v>5.9720000000000013</c:v>
              </c:pt>
              <c:pt idx="5">
                <c:v>9.3669999999999973</c:v>
              </c:pt>
              <c:pt idx="6">
                <c:v>5.0120000000000005</c:v>
              </c:pt>
              <c:pt idx="7">
                <c:v>8.3980000000000032</c:v>
              </c:pt>
              <c:pt idx="8">
                <c:v>20.335000000000001</c:v>
              </c:pt>
              <c:pt idx="9">
                <c:v>14.731600000000004</c:v>
              </c:pt>
              <c:pt idx="10">
                <c:v>9.3073000000000015</c:v>
              </c:pt>
              <c:pt idx="11">
                <c:v>4.5019999999999989</c:v>
              </c:pt>
              <c:pt idx="12">
                <c:v>13.364899999999999</c:v>
              </c:pt>
              <c:pt idx="13">
                <c:v>12.916299999999996</c:v>
              </c:pt>
              <c:pt idx="14">
                <c:v>11.292699999999996</c:v>
              </c:pt>
              <c:pt idx="15">
                <c:v>5.2667000000000002</c:v>
              </c:pt>
              <c:pt idx="16">
                <c:v>7.0483000000000011</c:v>
              </c:pt>
              <c:pt idx="17">
                <c:v>8.1972000000000023</c:v>
              </c:pt>
              <c:pt idx="18">
                <c:v>5.9455000000000027</c:v>
              </c:pt>
              <c:pt idx="19">
                <c:v>4.7711000000000006</c:v>
              </c:pt>
              <c:pt idx="20">
                <c:v>9.526600000000002</c:v>
              </c:pt>
              <c:pt idx="21">
                <c:v>8.4114000000000004</c:v>
              </c:pt>
              <c:pt idx="22">
                <c:v>12.505699999999999</c:v>
              </c:pt>
              <c:pt idx="23">
                <c:v>5.8805000000000014</c:v>
              </c:pt>
              <c:pt idx="24">
                <c:v>5.2405000000000008</c:v>
              </c:pt>
              <c:pt idx="25">
                <c:v>5.6597000000000008</c:v>
              </c:pt>
              <c:pt idx="26">
                <c:v>12.946999999999999</c:v>
              </c:pt>
              <c:pt idx="27">
                <c:v>7.7090000000000014</c:v>
              </c:pt>
              <c:pt idx="28">
                <c:v>6.8842999999999996</c:v>
              </c:pt>
              <c:pt idx="29">
                <c:v>5.8393999999999995</c:v>
              </c:pt>
              <c:pt idx="30">
                <c:v>5.1283999999999992</c:v>
              </c:pt>
              <c:pt idx="31">
                <c:v>4.4573999999999998</c:v>
              </c:pt>
              <c:pt idx="32">
                <c:v>3.3505000000000003</c:v>
              </c:pt>
              <c:pt idx="33">
                <c:v>3.724400000000001</c:v>
              </c:pt>
              <c:pt idx="34">
                <c:v>2.8567</c:v>
              </c:pt>
              <c:pt idx="35">
                <c:v>5.3790999999999993</c:v>
              </c:pt>
              <c:pt idx="36">
                <c:v>4.9423000000000012</c:v>
              </c:pt>
              <c:pt idx="37">
                <c:v>6.4190000000000005</c:v>
              </c:pt>
              <c:pt idx="38">
                <c:v>2.5581999999999994</c:v>
              </c:pt>
              <c:pt idx="39">
                <c:v>4.6812999999999985</c:v>
              </c:pt>
              <c:pt idx="40">
                <c:v>3.5153999999999996</c:v>
              </c:pt>
              <c:pt idx="41">
                <c:v>4.3178000000000019</c:v>
              </c:pt>
              <c:pt idx="42">
                <c:v>4.4243000000000006</c:v>
              </c:pt>
              <c:pt idx="43">
                <c:v>2.7307000000000006</c:v>
              </c:pt>
              <c:pt idx="44">
                <c:v>3.0515999999999988</c:v>
              </c:pt>
              <c:pt idx="45">
                <c:v>5.5080000000000009</c:v>
              </c:pt>
              <c:pt idx="46">
                <c:v>4.2554999999999978</c:v>
              </c:pt>
              <c:pt idx="47">
                <c:v>2.3370999999999995</c:v>
              </c:pt>
              <c:pt idx="48">
                <c:v>6.7614999999999998</c:v>
              </c:pt>
              <c:pt idx="49">
                <c:v>5.9681999999999995</c:v>
              </c:pt>
              <c:pt idx="50">
                <c:v>9.504900000000001</c:v>
              </c:pt>
              <c:pt idx="51">
                <c:v>9.4115999999999982</c:v>
              </c:pt>
              <c:pt idx="52">
                <c:v>4.3856000000000002</c:v>
              </c:pt>
              <c:pt idx="53">
                <c:v>1.7880000000000003</c:v>
              </c:pt>
              <c:pt idx="54">
                <c:v>3.8036999999999992</c:v>
              </c:pt>
              <c:pt idx="55">
                <c:v>3.3501999999999992</c:v>
              </c:pt>
              <c:pt idx="56">
                <c:v>3.5555000000000003</c:v>
              </c:pt>
              <c:pt idx="57">
                <c:v>3.2015999999999991</c:v>
              </c:pt>
              <c:pt idx="58">
                <c:v>4.3411000000000008</c:v>
              </c:pt>
              <c:pt idx="59">
                <c:v>9.0625</c:v>
              </c:pt>
              <c:pt idx="60">
                <c:v>5.4632999999999994</c:v>
              </c:pt>
              <c:pt idx="61">
                <c:v>4.5159000000000002</c:v>
              </c:pt>
              <c:pt idx="62">
                <c:v>7.4280999999999988</c:v>
              </c:pt>
              <c:pt idx="63">
                <c:v>8.9664000000000001</c:v>
              </c:pt>
              <c:pt idx="64">
                <c:v>9.3605</c:v>
              </c:pt>
              <c:pt idx="65">
                <c:v>7.0560000000000009</c:v>
              </c:pt>
              <c:pt idx="66">
                <c:v>14.7028</c:v>
              </c:pt>
              <c:pt idx="67">
                <c:v>4.1471000000000009</c:v>
              </c:pt>
              <c:pt idx="68">
                <c:v>4.5882000000000005</c:v>
              </c:pt>
              <c:pt idx="69">
                <c:v>6.1509</c:v>
              </c:pt>
              <c:pt idx="70">
                <c:v>3.677999999999999</c:v>
              </c:pt>
              <c:pt idx="71">
                <c:v>3.3978000000000002</c:v>
              </c:pt>
              <c:pt idx="72">
                <c:v>4.2952999999999992</c:v>
              </c:pt>
              <c:pt idx="73">
                <c:v>4.7732000000000028</c:v>
              </c:pt>
              <c:pt idx="74">
                <c:v>4.3525999999999989</c:v>
              </c:pt>
              <c:pt idx="75">
                <c:v>5.0230000000000032</c:v>
              </c:pt>
              <c:pt idx="76">
                <c:v>2.4080000000000013</c:v>
              </c:pt>
              <c:pt idx="77">
                <c:v>3.4580000000000055</c:v>
              </c:pt>
              <c:pt idx="78">
                <c:v>2.3329999999999984</c:v>
              </c:pt>
              <c:pt idx="79">
                <c:v>2.7250000000000014</c:v>
              </c:pt>
              <c:pt idx="80">
                <c:v>1.8740000000000023</c:v>
              </c:pt>
            </c:numLit>
          </c:yVal>
          <c:smooth val="0"/>
        </c:ser>
        <c:ser>
          <c:idx val="3"/>
          <c:order val="2"/>
          <c:tx>
            <c:strRef>
              <c:f>'Average data'!$AT$5</c:f>
              <c:strCache>
                <c:ptCount val="1"/>
                <c:pt idx="0">
                  <c:v>10Front_HLDiff~..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data'!$AT$6:$AT$86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'Average data'!$AW$5</c:f>
              <c:strCache>
                <c:ptCount val="1"/>
                <c:pt idx="0">
                  <c:v>10Rear_HLDiff~..</c:v>
                </c:pt>
              </c:strCache>
            </c:strRef>
          </c:tx>
          <c:spPr>
            <a:ln w="1587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data'!$AW$6:$AW$86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56064"/>
        <c:axId val="475056456"/>
      </c:scatterChart>
      <c:valAx>
        <c:axId val="475056064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074316759356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6456"/>
        <c:crosses val="autoZero"/>
        <c:crossBetween val="midCat"/>
      </c:valAx>
      <c:valAx>
        <c:axId val="475056456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6064"/>
        <c:crosses val="autoZero"/>
        <c:crossBetween val="midCat"/>
        <c:majorUnit val="10"/>
        <c:minorUnit val="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140903984635055"/>
          <c:y val="9.6972633665547064E-2"/>
          <c:w val="0.43563382979494425"/>
          <c:h val="0.216907659269864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Rear mic for Delhi90_StandardSamples#07</a:t>
            </a:r>
          </a:p>
        </c:rich>
      </c:tx>
      <c:layout>
        <c:manualLayout>
          <c:xMode val="edge"/>
          <c:yMode val="edge"/>
          <c:x val="0.20932643774557766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8.6251373750695026E-2"/>
          <c:w val="0.9015544041450777"/>
          <c:h val="0.79212701860543311"/>
        </c:manualLayout>
      </c:layout>
      <c:scatterChart>
        <c:scatterStyle val="lineMarker"/>
        <c:varyColors val="0"/>
        <c:ser>
          <c:idx val="13"/>
          <c:order val="0"/>
          <c:tx>
            <c:v>9Front_HLDiff~..</c:v>
          </c:tx>
          <c:spPr>
            <a:ln w="15875"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Lit>
              <c:formatCode>General</c:formatCode>
              <c:ptCount val="81"/>
              <c:pt idx="0">
                <c:v>8.320999999999998</c:v>
              </c:pt>
              <c:pt idx="1">
                <c:v>10.745000000000001</c:v>
              </c:pt>
              <c:pt idx="2">
                <c:v>10.983000000000004</c:v>
              </c:pt>
              <c:pt idx="3">
                <c:v>10.048999999999999</c:v>
              </c:pt>
              <c:pt idx="4">
                <c:v>5.9720000000000013</c:v>
              </c:pt>
              <c:pt idx="5">
                <c:v>9.3669999999999973</c:v>
              </c:pt>
              <c:pt idx="6">
                <c:v>5.0120000000000005</c:v>
              </c:pt>
              <c:pt idx="7">
                <c:v>8.3980000000000032</c:v>
              </c:pt>
              <c:pt idx="8">
                <c:v>20.335000000000001</c:v>
              </c:pt>
              <c:pt idx="9">
                <c:v>14.731600000000004</c:v>
              </c:pt>
              <c:pt idx="10">
                <c:v>9.3073000000000015</c:v>
              </c:pt>
              <c:pt idx="11">
                <c:v>4.5019999999999989</c:v>
              </c:pt>
              <c:pt idx="12">
                <c:v>13.364899999999999</c:v>
              </c:pt>
              <c:pt idx="13">
                <c:v>12.916299999999996</c:v>
              </c:pt>
              <c:pt idx="14">
                <c:v>11.292699999999996</c:v>
              </c:pt>
              <c:pt idx="15">
                <c:v>5.2667000000000002</c:v>
              </c:pt>
              <c:pt idx="16">
                <c:v>7.0483000000000011</c:v>
              </c:pt>
              <c:pt idx="17">
                <c:v>8.1972000000000023</c:v>
              </c:pt>
              <c:pt idx="18">
                <c:v>5.9455000000000027</c:v>
              </c:pt>
              <c:pt idx="19">
                <c:v>4.7711000000000006</c:v>
              </c:pt>
              <c:pt idx="20">
                <c:v>9.526600000000002</c:v>
              </c:pt>
              <c:pt idx="21">
                <c:v>8.4114000000000004</c:v>
              </c:pt>
              <c:pt idx="22">
                <c:v>12.505699999999999</c:v>
              </c:pt>
              <c:pt idx="23">
                <c:v>5.8805000000000014</c:v>
              </c:pt>
              <c:pt idx="24">
                <c:v>5.2405000000000008</c:v>
              </c:pt>
              <c:pt idx="25">
                <c:v>5.6597000000000008</c:v>
              </c:pt>
              <c:pt idx="26">
                <c:v>12.946999999999999</c:v>
              </c:pt>
              <c:pt idx="27">
                <c:v>7.7090000000000014</c:v>
              </c:pt>
              <c:pt idx="28">
                <c:v>6.8842999999999996</c:v>
              </c:pt>
              <c:pt idx="29">
                <c:v>5.8393999999999995</c:v>
              </c:pt>
              <c:pt idx="30">
                <c:v>5.1283999999999992</c:v>
              </c:pt>
              <c:pt idx="31">
                <c:v>4.4573999999999998</c:v>
              </c:pt>
              <c:pt idx="32">
                <c:v>3.3505000000000003</c:v>
              </c:pt>
              <c:pt idx="33">
                <c:v>3.724400000000001</c:v>
              </c:pt>
              <c:pt idx="34">
                <c:v>2.8567</c:v>
              </c:pt>
              <c:pt idx="35">
                <c:v>5.3790999999999993</c:v>
              </c:pt>
              <c:pt idx="36">
                <c:v>4.9423000000000012</c:v>
              </c:pt>
              <c:pt idx="37">
                <c:v>6.4190000000000005</c:v>
              </c:pt>
              <c:pt idx="38">
                <c:v>2.5581999999999994</c:v>
              </c:pt>
              <c:pt idx="39">
                <c:v>4.6812999999999985</c:v>
              </c:pt>
              <c:pt idx="40">
                <c:v>3.5153999999999996</c:v>
              </c:pt>
              <c:pt idx="41">
                <c:v>4.3178000000000019</c:v>
              </c:pt>
              <c:pt idx="42">
                <c:v>4.4243000000000006</c:v>
              </c:pt>
              <c:pt idx="43">
                <c:v>2.7307000000000006</c:v>
              </c:pt>
              <c:pt idx="44">
                <c:v>3.0515999999999988</c:v>
              </c:pt>
              <c:pt idx="45">
                <c:v>5.5080000000000009</c:v>
              </c:pt>
              <c:pt idx="46">
                <c:v>4.2554999999999978</c:v>
              </c:pt>
              <c:pt idx="47">
                <c:v>2.3370999999999995</c:v>
              </c:pt>
              <c:pt idx="48">
                <c:v>6.7614999999999998</c:v>
              </c:pt>
              <c:pt idx="49">
                <c:v>5.9681999999999995</c:v>
              </c:pt>
              <c:pt idx="50">
                <c:v>9.504900000000001</c:v>
              </c:pt>
              <c:pt idx="51">
                <c:v>9.4115999999999982</c:v>
              </c:pt>
              <c:pt idx="52">
                <c:v>4.3856000000000002</c:v>
              </c:pt>
              <c:pt idx="53">
                <c:v>1.7880000000000003</c:v>
              </c:pt>
              <c:pt idx="54">
                <c:v>3.8036999999999992</c:v>
              </c:pt>
              <c:pt idx="55">
                <c:v>3.3501999999999992</c:v>
              </c:pt>
              <c:pt idx="56">
                <c:v>3.5555000000000003</c:v>
              </c:pt>
              <c:pt idx="57">
                <c:v>3.2015999999999991</c:v>
              </c:pt>
              <c:pt idx="58">
                <c:v>4.3411000000000008</c:v>
              </c:pt>
              <c:pt idx="59">
                <c:v>9.0625</c:v>
              </c:pt>
              <c:pt idx="60">
                <c:v>5.4632999999999994</c:v>
              </c:pt>
              <c:pt idx="61">
                <c:v>4.5159000000000002</c:v>
              </c:pt>
              <c:pt idx="62">
                <c:v>7.4280999999999988</c:v>
              </c:pt>
              <c:pt idx="63">
                <c:v>8.9664000000000001</c:v>
              </c:pt>
              <c:pt idx="64">
                <c:v>9.3605</c:v>
              </c:pt>
              <c:pt idx="65">
                <c:v>7.0560000000000009</c:v>
              </c:pt>
              <c:pt idx="66">
                <c:v>14.7028</c:v>
              </c:pt>
              <c:pt idx="67">
                <c:v>4.1471000000000009</c:v>
              </c:pt>
              <c:pt idx="68">
                <c:v>4.5882000000000005</c:v>
              </c:pt>
              <c:pt idx="69">
                <c:v>6.1509</c:v>
              </c:pt>
              <c:pt idx="70">
                <c:v>3.677999999999999</c:v>
              </c:pt>
              <c:pt idx="71">
                <c:v>3.3978000000000002</c:v>
              </c:pt>
              <c:pt idx="72">
                <c:v>4.2952999999999992</c:v>
              </c:pt>
              <c:pt idx="73">
                <c:v>4.7732000000000028</c:v>
              </c:pt>
              <c:pt idx="74">
                <c:v>4.3525999999999989</c:v>
              </c:pt>
              <c:pt idx="75">
                <c:v>5.0230000000000032</c:v>
              </c:pt>
              <c:pt idx="76">
                <c:v>2.4080000000000013</c:v>
              </c:pt>
              <c:pt idx="77">
                <c:v>3.4580000000000055</c:v>
              </c:pt>
              <c:pt idx="78">
                <c:v>2.3329999999999984</c:v>
              </c:pt>
              <c:pt idx="79">
                <c:v>2.7250000000000014</c:v>
              </c:pt>
              <c:pt idx="80">
                <c:v>1.8740000000000023</c:v>
              </c:pt>
            </c:numLit>
          </c:yVal>
          <c:smooth val="0"/>
        </c:ser>
        <c:ser>
          <c:idx val="16"/>
          <c:order val="1"/>
          <c:tx>
            <c:v>9Rear_HLDiff~..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Lit>
              <c:formatCode>General</c:formatCode>
              <c:ptCount val="81"/>
              <c:pt idx="0">
                <c:v>11.648000000000003</c:v>
              </c:pt>
              <c:pt idx="1">
                <c:v>9.0010999999999974</c:v>
              </c:pt>
              <c:pt idx="2">
                <c:v>12.09</c:v>
              </c:pt>
              <c:pt idx="3">
                <c:v>12.748000000000001</c:v>
              </c:pt>
              <c:pt idx="4">
                <c:v>7.0760000000000005</c:v>
              </c:pt>
              <c:pt idx="5">
                <c:v>9.2659999999999982</c:v>
              </c:pt>
              <c:pt idx="6">
                <c:v>6.5590000000000046</c:v>
              </c:pt>
              <c:pt idx="7">
                <c:v>14.242999999999999</c:v>
              </c:pt>
              <c:pt idx="8">
                <c:v>7.2740000000000009</c:v>
              </c:pt>
              <c:pt idx="9">
                <c:v>2.2429999999999986</c:v>
              </c:pt>
              <c:pt idx="10">
                <c:v>4.8609000000000009</c:v>
              </c:pt>
              <c:pt idx="11">
                <c:v>3.5151000000000003</c:v>
              </c:pt>
              <c:pt idx="12">
                <c:v>7.4708000000000006</c:v>
              </c:pt>
              <c:pt idx="13">
                <c:v>1.4426999999999985</c:v>
              </c:pt>
              <c:pt idx="14">
                <c:v>4.0576000000000008</c:v>
              </c:pt>
              <c:pt idx="15">
                <c:v>3.9135999999999989</c:v>
              </c:pt>
              <c:pt idx="16">
                <c:v>4.1285000000000025</c:v>
              </c:pt>
              <c:pt idx="17">
                <c:v>2.1110000000000007</c:v>
              </c:pt>
              <c:pt idx="18">
                <c:v>2.1905999999999999</c:v>
              </c:pt>
              <c:pt idx="19">
                <c:v>3.9144000000000005</c:v>
              </c:pt>
              <c:pt idx="20">
                <c:v>5.0999999999999979</c:v>
              </c:pt>
              <c:pt idx="21">
                <c:v>7.3077000000000005</c:v>
              </c:pt>
              <c:pt idx="22">
                <c:v>9.2187000000000001</c:v>
              </c:pt>
              <c:pt idx="23">
                <c:v>7.1968999999999976</c:v>
              </c:pt>
              <c:pt idx="24">
                <c:v>5.7034000000000002</c:v>
              </c:pt>
              <c:pt idx="25">
                <c:v>6.9035999999999991</c:v>
              </c:pt>
              <c:pt idx="26">
                <c:v>8.3392999999999979</c:v>
              </c:pt>
              <c:pt idx="27">
                <c:v>3.6753</c:v>
              </c:pt>
              <c:pt idx="28">
                <c:v>9.5237000000000016</c:v>
              </c:pt>
              <c:pt idx="29">
                <c:v>1.1481999999999992</c:v>
              </c:pt>
              <c:pt idx="30">
                <c:v>4.668099999999999</c:v>
              </c:pt>
              <c:pt idx="31">
                <c:v>4.2387999999999995</c:v>
              </c:pt>
              <c:pt idx="32">
                <c:v>4.3094000000000001</c:v>
              </c:pt>
              <c:pt idx="33">
                <c:v>4.0042999999999997</c:v>
              </c:pt>
              <c:pt idx="34">
                <c:v>4.4283999999999999</c:v>
              </c:pt>
              <c:pt idx="35">
                <c:v>3.4558999999999997</c:v>
              </c:pt>
              <c:pt idx="36">
                <c:v>3.1228000000000007</c:v>
              </c:pt>
              <c:pt idx="37">
                <c:v>2.8228999999999997</c:v>
              </c:pt>
              <c:pt idx="38">
                <c:v>2.3382000000000005</c:v>
              </c:pt>
              <c:pt idx="39">
                <c:v>2.0689999999999991</c:v>
              </c:pt>
              <c:pt idx="40">
                <c:v>1.6125999999999996</c:v>
              </c:pt>
              <c:pt idx="41">
                <c:v>1.019000000000001</c:v>
              </c:pt>
              <c:pt idx="42">
                <c:v>0.83680000000000021</c:v>
              </c:pt>
              <c:pt idx="43">
                <c:v>0.83879999999999999</c:v>
              </c:pt>
              <c:pt idx="44">
                <c:v>0.75370000000000115</c:v>
              </c:pt>
              <c:pt idx="45">
                <c:v>1.9389999999999992</c:v>
              </c:pt>
              <c:pt idx="46">
                <c:v>1.008700000000001</c:v>
              </c:pt>
              <c:pt idx="47">
                <c:v>0.32149999999999945</c:v>
              </c:pt>
              <c:pt idx="48">
                <c:v>0.63200000000000056</c:v>
              </c:pt>
              <c:pt idx="49">
                <c:v>1.3102</c:v>
              </c:pt>
              <c:pt idx="50">
                <c:v>1.5986000000000002</c:v>
              </c:pt>
              <c:pt idx="51">
                <c:v>1.3356999999999992</c:v>
              </c:pt>
              <c:pt idx="52">
                <c:v>1.5276999999999994</c:v>
              </c:pt>
              <c:pt idx="53">
                <c:v>4.541500000000001</c:v>
              </c:pt>
              <c:pt idx="54">
                <c:v>2.7501999999999995</c:v>
              </c:pt>
              <c:pt idx="55">
                <c:v>4.8943999999999992</c:v>
              </c:pt>
              <c:pt idx="56">
                <c:v>5.9038000000000004</c:v>
              </c:pt>
              <c:pt idx="57">
                <c:v>2.1476999999999986</c:v>
              </c:pt>
              <c:pt idx="58">
                <c:v>1.5887999999999991</c:v>
              </c:pt>
              <c:pt idx="59">
                <c:v>2.164299999999999</c:v>
              </c:pt>
              <c:pt idx="60">
                <c:v>1.4081000000000001</c:v>
              </c:pt>
              <c:pt idx="61">
                <c:v>1.2423999999999999</c:v>
              </c:pt>
              <c:pt idx="62">
                <c:v>2.9859999999999998</c:v>
              </c:pt>
              <c:pt idx="63">
                <c:v>4.329600000000001</c:v>
              </c:pt>
              <c:pt idx="64">
                <c:v>2.4051000000000009</c:v>
              </c:pt>
              <c:pt idx="65">
                <c:v>14.0025</c:v>
              </c:pt>
              <c:pt idx="66">
                <c:v>9.0518000000000001</c:v>
              </c:pt>
              <c:pt idx="67">
                <c:v>6.7271999999999981</c:v>
              </c:pt>
              <c:pt idx="68">
                <c:v>3.5709999999999997</c:v>
              </c:pt>
              <c:pt idx="69">
                <c:v>4.6610000000000014</c:v>
              </c:pt>
              <c:pt idx="70">
                <c:v>7.2838999999999992</c:v>
              </c:pt>
              <c:pt idx="71">
                <c:v>3.2467999999999986</c:v>
              </c:pt>
              <c:pt idx="72">
                <c:v>4.1334</c:v>
              </c:pt>
              <c:pt idx="73">
                <c:v>6.8136999999999972</c:v>
              </c:pt>
              <c:pt idx="74">
                <c:v>2.8580000000000041</c:v>
              </c:pt>
              <c:pt idx="75">
                <c:v>3.597999999999999</c:v>
              </c:pt>
              <c:pt idx="76">
                <c:v>3.0579999999999998</c:v>
              </c:pt>
              <c:pt idx="77">
                <c:v>2.7040000000000006</c:v>
              </c:pt>
              <c:pt idx="78">
                <c:v>1.8840000000000003</c:v>
              </c:pt>
              <c:pt idx="79">
                <c:v>1.7779999999999987</c:v>
              </c:pt>
              <c:pt idx="80">
                <c:v>0.84900000000000375</c:v>
              </c:pt>
            </c:numLit>
          </c:yVal>
          <c:smooth val="0"/>
        </c:ser>
        <c:ser>
          <c:idx val="0"/>
          <c:order val="2"/>
          <c:tx>
            <c:strRef>
              <c:f>'Average data'!$AU$5</c:f>
              <c:strCache>
                <c:ptCount val="1"/>
                <c:pt idx="0">
                  <c:v>10Front_HRDiff~..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data'!$AU$6:$AU$86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'Average data'!$AX$5</c:f>
              <c:strCache>
                <c:ptCount val="1"/>
                <c:pt idx="0">
                  <c:v>10Rear_HRDiff~..</c:v>
                </c:pt>
              </c:strCache>
            </c:strRef>
          </c:tx>
          <c:spPr>
            <a:ln w="1587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data'!$AX$6:$AX$86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57240"/>
        <c:axId val="475057632"/>
      </c:scatterChart>
      <c:valAx>
        <c:axId val="475057240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074316759356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7632"/>
        <c:crosses val="autoZero"/>
        <c:crossBetween val="midCat"/>
      </c:valAx>
      <c:valAx>
        <c:axId val="475057632"/>
        <c:scaling>
          <c:orientation val="minMax"/>
          <c:max val="30"/>
          <c:min val="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7240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49272391246958"/>
          <c:y val="0.60107409650716737"/>
          <c:w val="0.49350727608753042"/>
          <c:h val="0.277417910173815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Rear mic for Delhi90_StandardSamples#07</a:t>
            </a:r>
          </a:p>
        </c:rich>
      </c:tx>
      <c:layout>
        <c:manualLayout>
          <c:xMode val="edge"/>
          <c:yMode val="edge"/>
          <c:x val="0.20932643774557766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8.5334070782835322E-2"/>
          <c:w val="0.9015544041450777"/>
          <c:h val="0.79304453348449921"/>
        </c:manualLayout>
      </c:layout>
      <c:scatterChart>
        <c:scatterStyle val="lineMarker"/>
        <c:varyColors val="0"/>
        <c:ser>
          <c:idx val="15"/>
          <c:order val="0"/>
          <c:tx>
            <c:v>9Front_LDiff~..</c:v>
          </c:tx>
          <c:spPr>
            <a:ln w="15875"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Lit>
              <c:formatCode>General</c:formatCode>
              <c:ptCount val="81"/>
              <c:pt idx="0">
                <c:v>4.7340000000000018</c:v>
              </c:pt>
              <c:pt idx="1">
                <c:v>9.7111000000000018</c:v>
              </c:pt>
              <c:pt idx="2">
                <c:v>5.3230000000000004</c:v>
              </c:pt>
              <c:pt idx="3">
                <c:v>14.400999999999996</c:v>
              </c:pt>
              <c:pt idx="4">
                <c:v>10.193999999999996</c:v>
              </c:pt>
              <c:pt idx="5">
                <c:v>8.2959999999999994</c:v>
              </c:pt>
              <c:pt idx="6">
                <c:v>2.8810000000000002</c:v>
              </c:pt>
              <c:pt idx="7">
                <c:v>6.0769999999999982</c:v>
              </c:pt>
              <c:pt idx="8">
                <c:v>8.8969999999999985</c:v>
              </c:pt>
              <c:pt idx="9">
                <c:v>5.5039999999999978</c:v>
              </c:pt>
              <c:pt idx="10">
                <c:v>2.2340000000000018</c:v>
              </c:pt>
              <c:pt idx="11">
                <c:v>5.7460000000000022</c:v>
              </c:pt>
              <c:pt idx="12">
                <c:v>2.5201999999999991</c:v>
              </c:pt>
              <c:pt idx="13">
                <c:v>4.9604999999999997</c:v>
              </c:pt>
              <c:pt idx="14">
                <c:v>7.4049999999999976</c:v>
              </c:pt>
              <c:pt idx="15">
                <c:v>3.799000000000003</c:v>
              </c:pt>
              <c:pt idx="16">
                <c:v>8.2296999999999976</c:v>
              </c:pt>
              <c:pt idx="17">
                <c:v>7.075999999999997</c:v>
              </c:pt>
              <c:pt idx="18">
                <c:v>2.014400000000002</c:v>
              </c:pt>
              <c:pt idx="19">
                <c:v>10.771300000000004</c:v>
              </c:pt>
              <c:pt idx="20">
                <c:v>5.1416000000000004</c:v>
              </c:pt>
              <c:pt idx="21">
                <c:v>8.8780000000000001</c:v>
              </c:pt>
              <c:pt idx="22">
                <c:v>7.3814999999999991</c:v>
              </c:pt>
              <c:pt idx="23">
                <c:v>5.9343000000000004</c:v>
              </c:pt>
              <c:pt idx="24">
                <c:v>5.9625999999999983</c:v>
              </c:pt>
              <c:pt idx="25">
                <c:v>4.555299999999999</c:v>
              </c:pt>
              <c:pt idx="26">
                <c:v>4.9741</c:v>
              </c:pt>
              <c:pt idx="27">
                <c:v>3.4076000000000004</c:v>
              </c:pt>
              <c:pt idx="28">
                <c:v>2.6569000000000003</c:v>
              </c:pt>
              <c:pt idx="29">
                <c:v>1.5462000000000007</c:v>
              </c:pt>
              <c:pt idx="30">
                <c:v>1.1021000000000001</c:v>
              </c:pt>
              <c:pt idx="31">
                <c:v>1.416599999999999</c:v>
              </c:pt>
              <c:pt idx="32">
                <c:v>1.4002999999999997</c:v>
              </c:pt>
              <c:pt idx="33">
                <c:v>1.9735999999999994</c:v>
              </c:pt>
              <c:pt idx="34">
                <c:v>1.3887999999999998</c:v>
              </c:pt>
              <c:pt idx="35">
                <c:v>0.85010000000000119</c:v>
              </c:pt>
              <c:pt idx="36">
                <c:v>0.67620000000000147</c:v>
              </c:pt>
              <c:pt idx="37">
                <c:v>0.91019999999999968</c:v>
              </c:pt>
              <c:pt idx="38">
                <c:v>1.3766999999999996</c:v>
              </c:pt>
              <c:pt idx="39">
                <c:v>0.70160000000000089</c:v>
              </c:pt>
              <c:pt idx="40">
                <c:v>0.8556000000000008</c:v>
              </c:pt>
              <c:pt idx="41">
                <c:v>1.9694000000000003</c:v>
              </c:pt>
              <c:pt idx="42">
                <c:v>1.8003</c:v>
              </c:pt>
              <c:pt idx="43">
                <c:v>2.9059999999999988</c:v>
              </c:pt>
              <c:pt idx="44">
                <c:v>2.2355999999999998</c:v>
              </c:pt>
              <c:pt idx="45">
                <c:v>1.4156000000000013</c:v>
              </c:pt>
              <c:pt idx="46">
                <c:v>6.5968000000000018</c:v>
              </c:pt>
              <c:pt idx="47">
                <c:v>7.3164000000000016</c:v>
              </c:pt>
              <c:pt idx="48">
                <c:v>7.1413000000000011</c:v>
              </c:pt>
              <c:pt idx="49">
                <c:v>8.0579999999999998</c:v>
              </c:pt>
              <c:pt idx="50">
                <c:v>11.6051</c:v>
              </c:pt>
              <c:pt idx="51">
                <c:v>10.0694</c:v>
              </c:pt>
              <c:pt idx="52">
                <c:v>9.5009999999999994</c:v>
              </c:pt>
              <c:pt idx="53">
                <c:v>9.4710000000000019</c:v>
              </c:pt>
              <c:pt idx="54">
                <c:v>4.6281999999999979</c:v>
              </c:pt>
              <c:pt idx="55">
                <c:v>7.0888000000000009</c:v>
              </c:pt>
              <c:pt idx="56">
                <c:v>5.4743999999999993</c:v>
              </c:pt>
              <c:pt idx="57">
                <c:v>5.0119000000000007</c:v>
              </c:pt>
              <c:pt idx="58">
                <c:v>5.702399999999999</c:v>
              </c:pt>
              <c:pt idx="59">
                <c:v>7.7424999999999997</c:v>
              </c:pt>
              <c:pt idx="60">
                <c:v>6.9262000000000006</c:v>
              </c:pt>
              <c:pt idx="61">
                <c:v>5.8449</c:v>
              </c:pt>
              <c:pt idx="62">
                <c:v>15.336100000000002</c:v>
              </c:pt>
              <c:pt idx="63">
                <c:v>13.962100000000001</c:v>
              </c:pt>
              <c:pt idx="64">
                <c:v>11.261799999999999</c:v>
              </c:pt>
              <c:pt idx="65">
                <c:v>8.4783000000000008</c:v>
              </c:pt>
              <c:pt idx="66">
                <c:v>16.393900000000002</c:v>
              </c:pt>
              <c:pt idx="67">
                <c:v>3.9433999999999996</c:v>
              </c:pt>
              <c:pt idx="68">
                <c:v>6.1844999999999999</c:v>
              </c:pt>
              <c:pt idx="69">
                <c:v>4.6010999999999989</c:v>
              </c:pt>
              <c:pt idx="70">
                <c:v>1.2485999999999997</c:v>
              </c:pt>
              <c:pt idx="71">
                <c:v>2.9685000000000006</c:v>
              </c:pt>
              <c:pt idx="72">
                <c:v>4.1280000000000001</c:v>
              </c:pt>
              <c:pt idx="73">
                <c:v>4.8618999999999986</c:v>
              </c:pt>
              <c:pt idx="74">
                <c:v>4.5299999999999976</c:v>
              </c:pt>
              <c:pt idx="75">
                <c:v>1.5859999999999985</c:v>
              </c:pt>
              <c:pt idx="76">
                <c:v>1.3070000000000022</c:v>
              </c:pt>
              <c:pt idx="77">
                <c:v>2.0240000000000009</c:v>
              </c:pt>
              <c:pt idx="78">
                <c:v>1.6559999999999988</c:v>
              </c:pt>
              <c:pt idx="79">
                <c:v>1.1829999999999998</c:v>
              </c:pt>
              <c:pt idx="80">
                <c:v>2.2280000000000015</c:v>
              </c:pt>
            </c:numLit>
          </c:yVal>
          <c:smooth val="0"/>
        </c:ser>
        <c:ser>
          <c:idx val="18"/>
          <c:order val="1"/>
          <c:tx>
            <c:v>9Rear_LDiff~..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Lit>
              <c:formatCode>General</c:formatCode>
              <c:ptCount val="81"/>
              <c:pt idx="0">
                <c:v>5.5489999999999995</c:v>
              </c:pt>
              <c:pt idx="1">
                <c:v>6.7040000000000006</c:v>
              </c:pt>
              <c:pt idx="2">
                <c:v>6.6379999999999981</c:v>
              </c:pt>
              <c:pt idx="3">
                <c:v>10.291000000000004</c:v>
              </c:pt>
              <c:pt idx="4">
                <c:v>5.7149999999999963</c:v>
              </c:pt>
              <c:pt idx="5">
                <c:v>5.0559999999999974</c:v>
              </c:pt>
              <c:pt idx="6">
                <c:v>3.7620000000000005</c:v>
              </c:pt>
              <c:pt idx="7">
                <c:v>6.9390000000000001</c:v>
              </c:pt>
              <c:pt idx="8">
                <c:v>5.5790000000000006</c:v>
              </c:pt>
              <c:pt idx="9">
                <c:v>9.5450000000000017</c:v>
              </c:pt>
              <c:pt idx="10">
                <c:v>6.3359999999999985</c:v>
              </c:pt>
              <c:pt idx="11">
                <c:v>3.2249999999999979</c:v>
              </c:pt>
              <c:pt idx="12">
                <c:v>2.066399999999998</c:v>
              </c:pt>
              <c:pt idx="13">
                <c:v>1.5079999999999991</c:v>
              </c:pt>
              <c:pt idx="14">
                <c:v>7.4879999999999995</c:v>
              </c:pt>
              <c:pt idx="15">
                <c:v>5.2970000000000041</c:v>
              </c:pt>
              <c:pt idx="16">
                <c:v>6.4029999999999987</c:v>
              </c:pt>
              <c:pt idx="17">
                <c:v>7.3030000000000008</c:v>
              </c:pt>
              <c:pt idx="18">
                <c:v>4.6844000000000001</c:v>
              </c:pt>
              <c:pt idx="19">
                <c:v>12.112099999999998</c:v>
              </c:pt>
              <c:pt idx="20">
                <c:v>5.8178999999999981</c:v>
              </c:pt>
              <c:pt idx="21">
                <c:v>9.4128000000000007</c:v>
              </c:pt>
              <c:pt idx="22">
                <c:v>8.9803999999999995</c:v>
              </c:pt>
              <c:pt idx="23">
                <c:v>6.6195999999999984</c:v>
              </c:pt>
              <c:pt idx="24">
                <c:v>8.3582999999999998</c:v>
              </c:pt>
              <c:pt idx="25">
                <c:v>6.0393999999999988</c:v>
              </c:pt>
              <c:pt idx="26">
                <c:v>8.3577000000000012</c:v>
              </c:pt>
              <c:pt idx="27">
                <c:v>7.9681000000000015</c:v>
              </c:pt>
              <c:pt idx="28">
                <c:v>9.3978999999999999</c:v>
              </c:pt>
              <c:pt idx="29">
                <c:v>6.8976000000000006</c:v>
              </c:pt>
              <c:pt idx="30">
                <c:v>5.3445999999999998</c:v>
              </c:pt>
              <c:pt idx="31">
                <c:v>3.0208999999999993</c:v>
              </c:pt>
              <c:pt idx="32">
                <c:v>4.0931999999999995</c:v>
              </c:pt>
              <c:pt idx="33">
                <c:v>3.3061000000000007</c:v>
              </c:pt>
              <c:pt idx="34">
                <c:v>3.7885999999999997</c:v>
              </c:pt>
              <c:pt idx="35">
                <c:v>3.4353999999999996</c:v>
              </c:pt>
              <c:pt idx="36">
                <c:v>2.7846999999999991</c:v>
              </c:pt>
              <c:pt idx="37">
                <c:v>2.7727999999999993</c:v>
              </c:pt>
              <c:pt idx="38">
                <c:v>1.7378</c:v>
              </c:pt>
              <c:pt idx="39">
                <c:v>1.1292999999999997</c:v>
              </c:pt>
              <c:pt idx="40">
                <c:v>0.93439999999999923</c:v>
              </c:pt>
              <c:pt idx="41">
                <c:v>1.226</c:v>
              </c:pt>
              <c:pt idx="42">
                <c:v>0.54060000000000041</c:v>
              </c:pt>
              <c:pt idx="43">
                <c:v>0.45560000000000045</c:v>
              </c:pt>
              <c:pt idx="44">
                <c:v>0.60239999999999938</c:v>
              </c:pt>
              <c:pt idx="45">
                <c:v>1.2157999999999998</c:v>
              </c:pt>
              <c:pt idx="46">
                <c:v>1.2230000000000008</c:v>
              </c:pt>
              <c:pt idx="47">
                <c:v>0.45859999999999879</c:v>
              </c:pt>
              <c:pt idx="48">
                <c:v>1.0454000000000008</c:v>
              </c:pt>
              <c:pt idx="49">
                <c:v>2.4501999999999997</c:v>
              </c:pt>
              <c:pt idx="50">
                <c:v>1.8754000000000008</c:v>
              </c:pt>
              <c:pt idx="51">
                <c:v>1.5281000000000002</c:v>
              </c:pt>
              <c:pt idx="52">
                <c:v>2.1529999999999987</c:v>
              </c:pt>
              <c:pt idx="53">
                <c:v>6.2226999999999997</c:v>
              </c:pt>
              <c:pt idx="54">
                <c:v>5.5890000000000004</c:v>
              </c:pt>
              <c:pt idx="55">
                <c:v>1.4774999999999991</c:v>
              </c:pt>
              <c:pt idx="56">
                <c:v>1.791599999999999</c:v>
              </c:pt>
              <c:pt idx="57">
                <c:v>1.4843999999999991</c:v>
              </c:pt>
              <c:pt idx="58">
                <c:v>1.4538000000000002</c:v>
              </c:pt>
              <c:pt idx="59">
                <c:v>2.2599999999999998</c:v>
              </c:pt>
              <c:pt idx="60">
                <c:v>1.7534000000000001</c:v>
              </c:pt>
              <c:pt idx="61">
                <c:v>1.7294999999999998</c:v>
              </c:pt>
              <c:pt idx="62">
                <c:v>3.9002999999999997</c:v>
              </c:pt>
              <c:pt idx="63">
                <c:v>6.8049999999999979</c:v>
              </c:pt>
              <c:pt idx="64">
                <c:v>3.7618000000000009</c:v>
              </c:pt>
              <c:pt idx="65">
                <c:v>17.411499999999997</c:v>
              </c:pt>
              <c:pt idx="66">
                <c:v>11.160300000000001</c:v>
              </c:pt>
              <c:pt idx="67">
                <c:v>9.0998999999999999</c:v>
              </c:pt>
              <c:pt idx="68">
                <c:v>11.208800000000002</c:v>
              </c:pt>
              <c:pt idx="69">
                <c:v>6.2297000000000011</c:v>
              </c:pt>
              <c:pt idx="70">
                <c:v>9.1820999999999984</c:v>
              </c:pt>
              <c:pt idx="71">
                <c:v>1.8239000000000019</c:v>
              </c:pt>
              <c:pt idx="72">
                <c:v>4.7535999999999987</c:v>
              </c:pt>
              <c:pt idx="73">
                <c:v>6.3028999999999975</c:v>
              </c:pt>
              <c:pt idx="74">
                <c:v>2.3109999999999999</c:v>
              </c:pt>
              <c:pt idx="75">
                <c:v>2.2629999999999981</c:v>
              </c:pt>
              <c:pt idx="76">
                <c:v>1.9470000000000027</c:v>
              </c:pt>
              <c:pt idx="77">
                <c:v>2.3260000000000005</c:v>
              </c:pt>
              <c:pt idx="78">
                <c:v>2.2539999999999978</c:v>
              </c:pt>
              <c:pt idx="79">
                <c:v>1.6869999999999976</c:v>
              </c:pt>
              <c:pt idx="80">
                <c:v>2.3670000000000044</c:v>
              </c:pt>
            </c:numLit>
          </c:yVal>
          <c:smooth val="0"/>
        </c:ser>
        <c:ser>
          <c:idx val="0"/>
          <c:order val="2"/>
          <c:tx>
            <c:strRef>
              <c:f>'Average data'!$AV$5</c:f>
              <c:strCache>
                <c:ptCount val="1"/>
                <c:pt idx="0">
                  <c:v>10Front_LDiff~..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data'!$AV$6:$AV$86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'Average data'!$AY$5</c:f>
              <c:strCache>
                <c:ptCount val="1"/>
                <c:pt idx="0">
                  <c:v>10Rear_LDiff~..</c:v>
                </c:pt>
              </c:strCache>
            </c:strRef>
          </c:tx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'Data #3'!$J$6:$J$86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'Average data'!$AY$6:$AY$86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58416"/>
        <c:axId val="475058808"/>
      </c:scatterChart>
      <c:valAx>
        <c:axId val="475058416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074316759356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8808"/>
        <c:crosses val="autoZero"/>
        <c:crossBetween val="midCat"/>
      </c:valAx>
      <c:valAx>
        <c:axId val="475058808"/>
        <c:scaling>
          <c:orientation val="minMax"/>
          <c:max val="30"/>
          <c:min val="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58416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769230769230778"/>
          <c:y val="0.66616742837215281"/>
          <c:w val="0.39907271946036327"/>
          <c:h val="0.200885413798799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Rear 10-9 for Delhi90_StandardSamples</a:t>
            </a:r>
            <a:r>
              <a:rPr lang="da-DK" altLang="en-US" sz="1000" baseline="0"/>
              <a:t> 3position Overview</a:t>
            </a:r>
            <a:endParaRPr lang="da-DK" altLang="en-US" sz="1000"/>
          </a:p>
        </c:rich>
      </c:tx>
      <c:layout>
        <c:manualLayout>
          <c:xMode val="edge"/>
          <c:yMode val="edge"/>
          <c:x val="0.20932643774557766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8.637766433042024E-2"/>
          <c:w val="0.9015544041450777"/>
          <c:h val="0.79200080759135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'Average data'!$BF$5</c:f>
              <c:strCache>
                <c:ptCount val="1"/>
                <c:pt idx="0">
                  <c:v>10-9Front_HLDiff~..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400</c:v>
              </c:pt>
              <c:pt idx="1">
                <c:v>425</c:v>
              </c:pt>
              <c:pt idx="2">
                <c:v>450</c:v>
              </c:pt>
              <c:pt idx="3">
                <c:v>475</c:v>
              </c:pt>
              <c:pt idx="4">
                <c:v>500</c:v>
              </c:pt>
              <c:pt idx="5">
                <c:v>530</c:v>
              </c:pt>
              <c:pt idx="6">
                <c:v>560</c:v>
              </c:pt>
              <c:pt idx="7">
                <c:v>600</c:v>
              </c:pt>
              <c:pt idx="8">
                <c:v>630</c:v>
              </c:pt>
              <c:pt idx="9">
                <c:v>670</c:v>
              </c:pt>
              <c:pt idx="10">
                <c:v>710</c:v>
              </c:pt>
              <c:pt idx="11">
                <c:v>750</c:v>
              </c:pt>
              <c:pt idx="12">
                <c:v>800</c:v>
              </c:pt>
              <c:pt idx="13">
                <c:v>850</c:v>
              </c:pt>
              <c:pt idx="14">
                <c:v>900</c:v>
              </c:pt>
              <c:pt idx="15">
                <c:v>950</c:v>
              </c:pt>
              <c:pt idx="16">
                <c:v>1000</c:v>
              </c:pt>
              <c:pt idx="17">
                <c:v>1060</c:v>
              </c:pt>
              <c:pt idx="18">
                <c:v>1120</c:v>
              </c:pt>
              <c:pt idx="19">
                <c:v>1180</c:v>
              </c:pt>
              <c:pt idx="20">
                <c:v>1250</c:v>
              </c:pt>
              <c:pt idx="21">
                <c:v>1320</c:v>
              </c:pt>
              <c:pt idx="22">
                <c:v>1400</c:v>
              </c:pt>
              <c:pt idx="23">
                <c:v>1500</c:v>
              </c:pt>
              <c:pt idx="24">
                <c:v>1600</c:v>
              </c:pt>
              <c:pt idx="25">
                <c:v>1700</c:v>
              </c:pt>
              <c:pt idx="26">
                <c:v>1800</c:v>
              </c:pt>
              <c:pt idx="27">
                <c:v>1900</c:v>
              </c:pt>
              <c:pt idx="28">
                <c:v>2000</c:v>
              </c:pt>
              <c:pt idx="29">
                <c:v>2120</c:v>
              </c:pt>
              <c:pt idx="30">
                <c:v>2240</c:v>
              </c:pt>
              <c:pt idx="31">
                <c:v>2360</c:v>
              </c:pt>
              <c:pt idx="32">
                <c:v>2500</c:v>
              </c:pt>
              <c:pt idx="33">
                <c:v>2650</c:v>
              </c:pt>
              <c:pt idx="34">
                <c:v>2800</c:v>
              </c:pt>
              <c:pt idx="35">
                <c:v>3000</c:v>
              </c:pt>
              <c:pt idx="36">
                <c:v>3150</c:v>
              </c:pt>
              <c:pt idx="37">
                <c:v>3350</c:v>
              </c:pt>
              <c:pt idx="38">
                <c:v>3550</c:v>
              </c:pt>
              <c:pt idx="39">
                <c:v>3750</c:v>
              </c:pt>
              <c:pt idx="40">
                <c:v>4000</c:v>
              </c:pt>
              <c:pt idx="41">
                <c:v>4250</c:v>
              </c:pt>
              <c:pt idx="42">
                <c:v>4500</c:v>
              </c:pt>
              <c:pt idx="43">
                <c:v>4750</c:v>
              </c:pt>
              <c:pt idx="44">
                <c:v>5000</c:v>
              </c:pt>
              <c:pt idx="45">
                <c:v>5300</c:v>
              </c:pt>
              <c:pt idx="46">
                <c:v>5600</c:v>
              </c:pt>
              <c:pt idx="47">
                <c:v>6000</c:v>
              </c:pt>
            </c:numLit>
          </c:xVal>
          <c:yVal>
            <c:numRef>
              <c:f>'Average data'!$BF$30:$BF$77</c:f>
              <c:numCache>
                <c:formatCode>General</c:formatCode>
                <c:ptCount val="48"/>
                <c:pt idx="0">
                  <c:v>-5.2405000000000008</c:v>
                </c:pt>
                <c:pt idx="1">
                  <c:v>-5.6597000000000008</c:v>
                </c:pt>
                <c:pt idx="2">
                  <c:v>-12.946999999999999</c:v>
                </c:pt>
                <c:pt idx="3">
                  <c:v>-7.7090000000000014</c:v>
                </c:pt>
                <c:pt idx="4">
                  <c:v>-6.8842999999999996</c:v>
                </c:pt>
                <c:pt idx="5">
                  <c:v>-5.8393999999999995</c:v>
                </c:pt>
                <c:pt idx="6">
                  <c:v>-5.1283999999999992</c:v>
                </c:pt>
                <c:pt idx="7">
                  <c:v>-4.4573999999999998</c:v>
                </c:pt>
                <c:pt idx="8">
                  <c:v>-3.3505000000000003</c:v>
                </c:pt>
                <c:pt idx="9">
                  <c:v>-3.724400000000001</c:v>
                </c:pt>
                <c:pt idx="10">
                  <c:v>-2.8567</c:v>
                </c:pt>
                <c:pt idx="11">
                  <c:v>-5.3790999999999993</c:v>
                </c:pt>
                <c:pt idx="12">
                  <c:v>-4.9423000000000012</c:v>
                </c:pt>
                <c:pt idx="13">
                  <c:v>-6.4190000000000005</c:v>
                </c:pt>
                <c:pt idx="14">
                  <c:v>-2.5581999999999994</c:v>
                </c:pt>
                <c:pt idx="15">
                  <c:v>-4.6812999999999985</c:v>
                </c:pt>
                <c:pt idx="16">
                  <c:v>-3.5153999999999996</c:v>
                </c:pt>
                <c:pt idx="17">
                  <c:v>-4.3178000000000019</c:v>
                </c:pt>
                <c:pt idx="18">
                  <c:v>-4.4243000000000006</c:v>
                </c:pt>
                <c:pt idx="19">
                  <c:v>-2.7307000000000006</c:v>
                </c:pt>
                <c:pt idx="20">
                  <c:v>-3.0515999999999988</c:v>
                </c:pt>
                <c:pt idx="21">
                  <c:v>-5.5080000000000009</c:v>
                </c:pt>
                <c:pt idx="22">
                  <c:v>-4.2554999999999978</c:v>
                </c:pt>
                <c:pt idx="23">
                  <c:v>-2.3370999999999995</c:v>
                </c:pt>
                <c:pt idx="24">
                  <c:v>-6.7614999999999998</c:v>
                </c:pt>
                <c:pt idx="25">
                  <c:v>-5.9681999999999995</c:v>
                </c:pt>
                <c:pt idx="26">
                  <c:v>-9.504900000000001</c:v>
                </c:pt>
                <c:pt idx="27">
                  <c:v>-9.4115999999999982</c:v>
                </c:pt>
                <c:pt idx="28">
                  <c:v>-4.3856000000000002</c:v>
                </c:pt>
                <c:pt idx="29">
                  <c:v>-1.7880000000000003</c:v>
                </c:pt>
                <c:pt idx="30">
                  <c:v>-3.8036999999999992</c:v>
                </c:pt>
                <c:pt idx="31">
                  <c:v>-3.3501999999999992</c:v>
                </c:pt>
                <c:pt idx="32">
                  <c:v>-3.5555000000000003</c:v>
                </c:pt>
                <c:pt idx="33">
                  <c:v>-3.2015999999999991</c:v>
                </c:pt>
                <c:pt idx="34">
                  <c:v>-4.3411000000000008</c:v>
                </c:pt>
                <c:pt idx="35">
                  <c:v>-9.0625</c:v>
                </c:pt>
                <c:pt idx="36">
                  <c:v>-5.4632999999999994</c:v>
                </c:pt>
                <c:pt idx="37">
                  <c:v>-4.5159000000000002</c:v>
                </c:pt>
                <c:pt idx="38">
                  <c:v>-7.4280999999999988</c:v>
                </c:pt>
                <c:pt idx="39">
                  <c:v>-8.9664000000000001</c:v>
                </c:pt>
                <c:pt idx="40">
                  <c:v>-9.3605</c:v>
                </c:pt>
                <c:pt idx="41">
                  <c:v>-7.0560000000000009</c:v>
                </c:pt>
                <c:pt idx="42">
                  <c:v>-14.7028</c:v>
                </c:pt>
                <c:pt idx="43">
                  <c:v>-4.1471000000000009</c:v>
                </c:pt>
                <c:pt idx="44">
                  <c:v>-4.5882000000000005</c:v>
                </c:pt>
                <c:pt idx="45">
                  <c:v>-6.1509</c:v>
                </c:pt>
                <c:pt idx="46">
                  <c:v>-3.677999999999999</c:v>
                </c:pt>
                <c:pt idx="47">
                  <c:v>-3.3978000000000002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'Average data'!$BG$5</c:f>
              <c:strCache>
                <c:ptCount val="1"/>
                <c:pt idx="0">
                  <c:v>10-9Front_HRDiff~..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400</c:v>
              </c:pt>
              <c:pt idx="1">
                <c:v>425</c:v>
              </c:pt>
              <c:pt idx="2">
                <c:v>450</c:v>
              </c:pt>
              <c:pt idx="3">
                <c:v>475</c:v>
              </c:pt>
              <c:pt idx="4">
                <c:v>500</c:v>
              </c:pt>
              <c:pt idx="5">
                <c:v>530</c:v>
              </c:pt>
              <c:pt idx="6">
                <c:v>560</c:v>
              </c:pt>
              <c:pt idx="7">
                <c:v>600</c:v>
              </c:pt>
              <c:pt idx="8">
                <c:v>630</c:v>
              </c:pt>
              <c:pt idx="9">
                <c:v>670</c:v>
              </c:pt>
              <c:pt idx="10">
                <c:v>710</c:v>
              </c:pt>
              <c:pt idx="11">
                <c:v>750</c:v>
              </c:pt>
              <c:pt idx="12">
                <c:v>800</c:v>
              </c:pt>
              <c:pt idx="13">
                <c:v>850</c:v>
              </c:pt>
              <c:pt idx="14">
                <c:v>900</c:v>
              </c:pt>
              <c:pt idx="15">
                <c:v>950</c:v>
              </c:pt>
              <c:pt idx="16">
                <c:v>1000</c:v>
              </c:pt>
              <c:pt idx="17">
                <c:v>1060</c:v>
              </c:pt>
              <c:pt idx="18">
                <c:v>1120</c:v>
              </c:pt>
              <c:pt idx="19">
                <c:v>1180</c:v>
              </c:pt>
              <c:pt idx="20">
                <c:v>1250</c:v>
              </c:pt>
              <c:pt idx="21">
                <c:v>1320</c:v>
              </c:pt>
              <c:pt idx="22">
                <c:v>1400</c:v>
              </c:pt>
              <c:pt idx="23">
                <c:v>1500</c:v>
              </c:pt>
              <c:pt idx="24">
                <c:v>1600</c:v>
              </c:pt>
              <c:pt idx="25">
                <c:v>1700</c:v>
              </c:pt>
              <c:pt idx="26">
                <c:v>1800</c:v>
              </c:pt>
              <c:pt idx="27">
                <c:v>1900</c:v>
              </c:pt>
              <c:pt idx="28">
                <c:v>2000</c:v>
              </c:pt>
              <c:pt idx="29">
                <c:v>2120</c:v>
              </c:pt>
              <c:pt idx="30">
                <c:v>2240</c:v>
              </c:pt>
              <c:pt idx="31">
                <c:v>2360</c:v>
              </c:pt>
              <c:pt idx="32">
                <c:v>2500</c:v>
              </c:pt>
              <c:pt idx="33">
                <c:v>2650</c:v>
              </c:pt>
              <c:pt idx="34">
                <c:v>2800</c:v>
              </c:pt>
              <c:pt idx="35">
                <c:v>3000</c:v>
              </c:pt>
              <c:pt idx="36">
                <c:v>3150</c:v>
              </c:pt>
              <c:pt idx="37">
                <c:v>3350</c:v>
              </c:pt>
              <c:pt idx="38">
                <c:v>3550</c:v>
              </c:pt>
              <c:pt idx="39">
                <c:v>3750</c:v>
              </c:pt>
              <c:pt idx="40">
                <c:v>4000</c:v>
              </c:pt>
              <c:pt idx="41">
                <c:v>4250</c:v>
              </c:pt>
              <c:pt idx="42">
                <c:v>4500</c:v>
              </c:pt>
              <c:pt idx="43">
                <c:v>4750</c:v>
              </c:pt>
              <c:pt idx="44">
                <c:v>5000</c:v>
              </c:pt>
              <c:pt idx="45">
                <c:v>5300</c:v>
              </c:pt>
              <c:pt idx="46">
                <c:v>5600</c:v>
              </c:pt>
              <c:pt idx="47">
                <c:v>6000</c:v>
              </c:pt>
            </c:numLit>
          </c:xVal>
          <c:yVal>
            <c:numRef>
              <c:f>'Average data'!$BG$30:$BG$77</c:f>
              <c:numCache>
                <c:formatCode>General</c:formatCode>
                <c:ptCount val="48"/>
                <c:pt idx="0">
                  <c:v>-2.8152999999999988</c:v>
                </c:pt>
                <c:pt idx="1">
                  <c:v>-1.9747000000000003</c:v>
                </c:pt>
                <c:pt idx="2">
                  <c:v>-1.3969999999999994</c:v>
                </c:pt>
                <c:pt idx="3">
                  <c:v>-1.0821000000000005</c:v>
                </c:pt>
                <c:pt idx="4">
                  <c:v>-1.277099999999999</c:v>
                </c:pt>
                <c:pt idx="5">
                  <c:v>-1.3780000000000001</c:v>
                </c:pt>
                <c:pt idx="6">
                  <c:v>-1.7739000000000003</c:v>
                </c:pt>
                <c:pt idx="7">
                  <c:v>-1.5111999999999997</c:v>
                </c:pt>
                <c:pt idx="8">
                  <c:v>-0.66800000000000015</c:v>
                </c:pt>
                <c:pt idx="9">
                  <c:v>-1.1535999999999991</c:v>
                </c:pt>
                <c:pt idx="10">
                  <c:v>-1.307900000000001</c:v>
                </c:pt>
                <c:pt idx="11">
                  <c:v>-1.7031999999999998</c:v>
                </c:pt>
                <c:pt idx="12">
                  <c:v>-1.3182999999999998</c:v>
                </c:pt>
                <c:pt idx="13">
                  <c:v>-1.6810999999999998</c:v>
                </c:pt>
                <c:pt idx="14">
                  <c:v>-1.2772000000000006</c:v>
                </c:pt>
                <c:pt idx="15">
                  <c:v>-1.0507</c:v>
                </c:pt>
                <c:pt idx="16">
                  <c:v>-0.78299999999999947</c:v>
                </c:pt>
                <c:pt idx="17">
                  <c:v>-1.6443000000000003</c:v>
                </c:pt>
                <c:pt idx="18">
                  <c:v>-2.5876999999999999</c:v>
                </c:pt>
                <c:pt idx="19">
                  <c:v>-2.4188000000000009</c:v>
                </c:pt>
                <c:pt idx="20">
                  <c:v>-2.7324999999999999</c:v>
                </c:pt>
                <c:pt idx="21">
                  <c:v>-3.8280999999999992</c:v>
                </c:pt>
                <c:pt idx="22">
                  <c:v>-3.1829000000000001</c:v>
                </c:pt>
                <c:pt idx="23">
                  <c:v>-3.9260999999999999</c:v>
                </c:pt>
                <c:pt idx="24">
                  <c:v>-4.7644000000000002</c:v>
                </c:pt>
                <c:pt idx="25">
                  <c:v>-4.6384000000000007</c:v>
                </c:pt>
                <c:pt idx="26">
                  <c:v>-10.9864</c:v>
                </c:pt>
                <c:pt idx="27">
                  <c:v>-7.8023999999999987</c:v>
                </c:pt>
                <c:pt idx="28">
                  <c:v>-12.746300000000002</c:v>
                </c:pt>
                <c:pt idx="29">
                  <c:v>-10.6005</c:v>
                </c:pt>
                <c:pt idx="30">
                  <c:v>-8.1894999999999989</c:v>
                </c:pt>
                <c:pt idx="31">
                  <c:v>-4.8843999999999976</c:v>
                </c:pt>
                <c:pt idx="32">
                  <c:v>-5.0647000000000002</c:v>
                </c:pt>
                <c:pt idx="33">
                  <c:v>-3.8298000000000005</c:v>
                </c:pt>
                <c:pt idx="34">
                  <c:v>-4.8541000000000007</c:v>
                </c:pt>
                <c:pt idx="35">
                  <c:v>-6.7865999999999991</c:v>
                </c:pt>
                <c:pt idx="36">
                  <c:v>-4.6471</c:v>
                </c:pt>
                <c:pt idx="37">
                  <c:v>-3.3724999999999996</c:v>
                </c:pt>
                <c:pt idx="38">
                  <c:v>-5.4657999999999998</c:v>
                </c:pt>
                <c:pt idx="39">
                  <c:v>-10.386200000000001</c:v>
                </c:pt>
                <c:pt idx="40">
                  <c:v>-10.365700000000002</c:v>
                </c:pt>
                <c:pt idx="41">
                  <c:v>-7.6178999999999988</c:v>
                </c:pt>
                <c:pt idx="42">
                  <c:v>-19.471299999999999</c:v>
                </c:pt>
                <c:pt idx="43">
                  <c:v>-2.870000000000001</c:v>
                </c:pt>
                <c:pt idx="44">
                  <c:v>-5.4704000000000006</c:v>
                </c:pt>
                <c:pt idx="45">
                  <c:v>-5.1151</c:v>
                </c:pt>
                <c:pt idx="46">
                  <c:v>-4.3356999999999992</c:v>
                </c:pt>
                <c:pt idx="47">
                  <c:v>-2.7677999999999994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'Average data'!$BH$5</c:f>
              <c:strCache>
                <c:ptCount val="1"/>
                <c:pt idx="0">
                  <c:v>10-9Front_LDiff~..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400</c:v>
              </c:pt>
              <c:pt idx="1">
                <c:v>425</c:v>
              </c:pt>
              <c:pt idx="2">
                <c:v>450</c:v>
              </c:pt>
              <c:pt idx="3">
                <c:v>475</c:v>
              </c:pt>
              <c:pt idx="4">
                <c:v>500</c:v>
              </c:pt>
              <c:pt idx="5">
                <c:v>530</c:v>
              </c:pt>
              <c:pt idx="6">
                <c:v>560</c:v>
              </c:pt>
              <c:pt idx="7">
                <c:v>600</c:v>
              </c:pt>
              <c:pt idx="8">
                <c:v>630</c:v>
              </c:pt>
              <c:pt idx="9">
                <c:v>670</c:v>
              </c:pt>
              <c:pt idx="10">
                <c:v>710</c:v>
              </c:pt>
              <c:pt idx="11">
                <c:v>750</c:v>
              </c:pt>
              <c:pt idx="12">
                <c:v>800</c:v>
              </c:pt>
              <c:pt idx="13">
                <c:v>850</c:v>
              </c:pt>
              <c:pt idx="14">
                <c:v>900</c:v>
              </c:pt>
              <c:pt idx="15">
                <c:v>950</c:v>
              </c:pt>
              <c:pt idx="16">
                <c:v>1000</c:v>
              </c:pt>
              <c:pt idx="17">
                <c:v>1060</c:v>
              </c:pt>
              <c:pt idx="18">
                <c:v>1120</c:v>
              </c:pt>
              <c:pt idx="19">
                <c:v>1180</c:v>
              </c:pt>
              <c:pt idx="20">
                <c:v>1250</c:v>
              </c:pt>
              <c:pt idx="21">
                <c:v>1320</c:v>
              </c:pt>
              <c:pt idx="22">
                <c:v>1400</c:v>
              </c:pt>
              <c:pt idx="23">
                <c:v>1500</c:v>
              </c:pt>
              <c:pt idx="24">
                <c:v>1600</c:v>
              </c:pt>
              <c:pt idx="25">
                <c:v>1700</c:v>
              </c:pt>
              <c:pt idx="26">
                <c:v>1800</c:v>
              </c:pt>
              <c:pt idx="27">
                <c:v>1900</c:v>
              </c:pt>
              <c:pt idx="28">
                <c:v>2000</c:v>
              </c:pt>
              <c:pt idx="29">
                <c:v>2120</c:v>
              </c:pt>
              <c:pt idx="30">
                <c:v>2240</c:v>
              </c:pt>
              <c:pt idx="31">
                <c:v>2360</c:v>
              </c:pt>
              <c:pt idx="32">
                <c:v>2500</c:v>
              </c:pt>
              <c:pt idx="33">
                <c:v>2650</c:v>
              </c:pt>
              <c:pt idx="34">
                <c:v>2800</c:v>
              </c:pt>
              <c:pt idx="35">
                <c:v>3000</c:v>
              </c:pt>
              <c:pt idx="36">
                <c:v>3150</c:v>
              </c:pt>
              <c:pt idx="37">
                <c:v>3350</c:v>
              </c:pt>
              <c:pt idx="38">
                <c:v>3550</c:v>
              </c:pt>
              <c:pt idx="39">
                <c:v>3750</c:v>
              </c:pt>
              <c:pt idx="40">
                <c:v>4000</c:v>
              </c:pt>
              <c:pt idx="41">
                <c:v>4250</c:v>
              </c:pt>
              <c:pt idx="42">
                <c:v>4500</c:v>
              </c:pt>
              <c:pt idx="43">
                <c:v>4750</c:v>
              </c:pt>
              <c:pt idx="44">
                <c:v>5000</c:v>
              </c:pt>
              <c:pt idx="45">
                <c:v>5300</c:v>
              </c:pt>
              <c:pt idx="46">
                <c:v>5600</c:v>
              </c:pt>
              <c:pt idx="47">
                <c:v>6000</c:v>
              </c:pt>
            </c:numLit>
          </c:xVal>
          <c:yVal>
            <c:numRef>
              <c:f>'Average data'!$BH$30:$BH$77</c:f>
              <c:numCache>
                <c:formatCode>General</c:formatCode>
                <c:ptCount val="48"/>
                <c:pt idx="0">
                  <c:v>-5.9625999999999983</c:v>
                </c:pt>
                <c:pt idx="1">
                  <c:v>-4.555299999999999</c:v>
                </c:pt>
                <c:pt idx="2">
                  <c:v>-4.9741</c:v>
                </c:pt>
                <c:pt idx="3">
                  <c:v>-3.4076000000000004</c:v>
                </c:pt>
                <c:pt idx="4">
                  <c:v>-2.6569000000000003</c:v>
                </c:pt>
                <c:pt idx="5">
                  <c:v>-1.5462000000000007</c:v>
                </c:pt>
                <c:pt idx="6">
                  <c:v>-1.1021000000000001</c:v>
                </c:pt>
                <c:pt idx="7">
                  <c:v>-1.416599999999999</c:v>
                </c:pt>
                <c:pt idx="8">
                  <c:v>-1.4002999999999997</c:v>
                </c:pt>
                <c:pt idx="9">
                  <c:v>-1.9735999999999994</c:v>
                </c:pt>
                <c:pt idx="10">
                  <c:v>-1.3887999999999998</c:v>
                </c:pt>
                <c:pt idx="11">
                  <c:v>-0.85010000000000119</c:v>
                </c:pt>
                <c:pt idx="12">
                  <c:v>-0.67620000000000147</c:v>
                </c:pt>
                <c:pt idx="13">
                  <c:v>-0.91019999999999968</c:v>
                </c:pt>
                <c:pt idx="14">
                  <c:v>-1.3766999999999996</c:v>
                </c:pt>
                <c:pt idx="15">
                  <c:v>-0.70160000000000089</c:v>
                </c:pt>
                <c:pt idx="16">
                  <c:v>-0.8556000000000008</c:v>
                </c:pt>
                <c:pt idx="17">
                  <c:v>-1.9694000000000003</c:v>
                </c:pt>
                <c:pt idx="18">
                  <c:v>-1.8003</c:v>
                </c:pt>
                <c:pt idx="19">
                  <c:v>-2.9059999999999988</c:v>
                </c:pt>
                <c:pt idx="20">
                  <c:v>-2.2355999999999998</c:v>
                </c:pt>
                <c:pt idx="21">
                  <c:v>-1.4156000000000013</c:v>
                </c:pt>
                <c:pt idx="22">
                  <c:v>-6.5968000000000018</c:v>
                </c:pt>
                <c:pt idx="23">
                  <c:v>-7.3164000000000016</c:v>
                </c:pt>
                <c:pt idx="24">
                  <c:v>-7.1413000000000011</c:v>
                </c:pt>
                <c:pt idx="25">
                  <c:v>-8.0579999999999998</c:v>
                </c:pt>
                <c:pt idx="26">
                  <c:v>-11.6051</c:v>
                </c:pt>
                <c:pt idx="27">
                  <c:v>-10.0694</c:v>
                </c:pt>
                <c:pt idx="28">
                  <c:v>-9.5009999999999994</c:v>
                </c:pt>
                <c:pt idx="29">
                  <c:v>-9.4710000000000019</c:v>
                </c:pt>
                <c:pt idx="30">
                  <c:v>-4.6281999999999979</c:v>
                </c:pt>
                <c:pt idx="31">
                  <c:v>-7.0888000000000009</c:v>
                </c:pt>
                <c:pt idx="32">
                  <c:v>-5.4743999999999993</c:v>
                </c:pt>
                <c:pt idx="33">
                  <c:v>-5.0119000000000007</c:v>
                </c:pt>
                <c:pt idx="34">
                  <c:v>-5.702399999999999</c:v>
                </c:pt>
                <c:pt idx="35">
                  <c:v>-7.7424999999999997</c:v>
                </c:pt>
                <c:pt idx="36">
                  <c:v>-6.9262000000000006</c:v>
                </c:pt>
                <c:pt idx="37">
                  <c:v>-5.8449</c:v>
                </c:pt>
                <c:pt idx="38">
                  <c:v>-15.336100000000002</c:v>
                </c:pt>
                <c:pt idx="39">
                  <c:v>-13.962100000000001</c:v>
                </c:pt>
                <c:pt idx="40">
                  <c:v>-11.261799999999999</c:v>
                </c:pt>
                <c:pt idx="41">
                  <c:v>-8.4783000000000008</c:v>
                </c:pt>
                <c:pt idx="42">
                  <c:v>-16.393900000000002</c:v>
                </c:pt>
                <c:pt idx="43">
                  <c:v>-3.9433999999999996</c:v>
                </c:pt>
                <c:pt idx="44">
                  <c:v>-6.1844999999999999</c:v>
                </c:pt>
                <c:pt idx="45">
                  <c:v>-4.6010999999999989</c:v>
                </c:pt>
                <c:pt idx="46">
                  <c:v>-1.2485999999999997</c:v>
                </c:pt>
                <c:pt idx="47">
                  <c:v>-2.9685000000000006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12768"/>
        <c:axId val="476013160"/>
      </c:scatterChart>
      <c:valAx>
        <c:axId val="47601276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074316759356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013160"/>
        <c:crosses val="autoZero"/>
        <c:crossBetween val="midCat"/>
      </c:valAx>
      <c:valAx>
        <c:axId val="476013160"/>
        <c:scaling>
          <c:orientation val="minMax"/>
          <c:max val="20"/>
          <c:min val="-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012768"/>
        <c:crosses val="autoZero"/>
        <c:crossBetween val="midCat"/>
        <c:majorUnit val="10"/>
        <c:minorUnit val="2"/>
      </c:valAx>
      <c:spPr>
        <a:noFill/>
        <a:ln w="12700">
          <a:solidFill>
            <a:srgbClr val="0000F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816117659848726"/>
          <c:y val="0.74965328634619977"/>
          <c:w val="0.30151154182650253"/>
          <c:h val="0.1982596406218453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Rear 10-9 for Delhi90_StandardSamples</a:t>
            </a:r>
            <a:r>
              <a:rPr lang="da-DK" altLang="en-US" sz="1000" baseline="0"/>
              <a:t> 3position Overview</a:t>
            </a:r>
            <a:endParaRPr lang="da-DK" altLang="en-US" sz="1000"/>
          </a:p>
        </c:rich>
      </c:tx>
      <c:layout>
        <c:manualLayout>
          <c:xMode val="edge"/>
          <c:yMode val="edge"/>
          <c:x val="0.20932643774557766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8.637766433042024E-2"/>
          <c:w val="0.9015544041450777"/>
          <c:h val="0.79200080759135882"/>
        </c:manualLayout>
      </c:layout>
      <c:scatterChart>
        <c:scatterStyle val="lineMarker"/>
        <c:varyColors val="0"/>
        <c:ser>
          <c:idx val="6"/>
          <c:order val="0"/>
          <c:tx>
            <c:strRef>
              <c:f>'Average data'!$BI$5</c:f>
              <c:strCache>
                <c:ptCount val="1"/>
                <c:pt idx="0">
                  <c:v>10-9Rear_HLDiff~..</c:v>
                </c:pt>
              </c:strCache>
            </c:strRef>
          </c:tx>
          <c:spPr>
            <a:ln w="190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400</c:v>
              </c:pt>
              <c:pt idx="1">
                <c:v>425</c:v>
              </c:pt>
              <c:pt idx="2">
                <c:v>450</c:v>
              </c:pt>
              <c:pt idx="3">
                <c:v>475</c:v>
              </c:pt>
              <c:pt idx="4">
                <c:v>500</c:v>
              </c:pt>
              <c:pt idx="5">
                <c:v>530</c:v>
              </c:pt>
              <c:pt idx="6">
                <c:v>560</c:v>
              </c:pt>
              <c:pt idx="7">
                <c:v>600</c:v>
              </c:pt>
              <c:pt idx="8">
                <c:v>630</c:v>
              </c:pt>
              <c:pt idx="9">
                <c:v>670</c:v>
              </c:pt>
              <c:pt idx="10">
                <c:v>710</c:v>
              </c:pt>
              <c:pt idx="11">
                <c:v>750</c:v>
              </c:pt>
              <c:pt idx="12">
                <c:v>800</c:v>
              </c:pt>
              <c:pt idx="13">
                <c:v>850</c:v>
              </c:pt>
              <c:pt idx="14">
                <c:v>900</c:v>
              </c:pt>
              <c:pt idx="15">
                <c:v>950</c:v>
              </c:pt>
              <c:pt idx="16">
                <c:v>1000</c:v>
              </c:pt>
              <c:pt idx="17">
                <c:v>1060</c:v>
              </c:pt>
              <c:pt idx="18">
                <c:v>1120</c:v>
              </c:pt>
              <c:pt idx="19">
                <c:v>1180</c:v>
              </c:pt>
              <c:pt idx="20">
                <c:v>1250</c:v>
              </c:pt>
              <c:pt idx="21">
                <c:v>1320</c:v>
              </c:pt>
              <c:pt idx="22">
                <c:v>1400</c:v>
              </c:pt>
              <c:pt idx="23">
                <c:v>1500</c:v>
              </c:pt>
              <c:pt idx="24">
                <c:v>1600</c:v>
              </c:pt>
              <c:pt idx="25">
                <c:v>1700</c:v>
              </c:pt>
              <c:pt idx="26">
                <c:v>1800</c:v>
              </c:pt>
              <c:pt idx="27">
                <c:v>1900</c:v>
              </c:pt>
              <c:pt idx="28">
                <c:v>2000</c:v>
              </c:pt>
              <c:pt idx="29">
                <c:v>2120</c:v>
              </c:pt>
              <c:pt idx="30">
                <c:v>2240</c:v>
              </c:pt>
              <c:pt idx="31">
                <c:v>2360</c:v>
              </c:pt>
              <c:pt idx="32">
                <c:v>2500</c:v>
              </c:pt>
              <c:pt idx="33">
                <c:v>2650</c:v>
              </c:pt>
              <c:pt idx="34">
                <c:v>2800</c:v>
              </c:pt>
              <c:pt idx="35">
                <c:v>3000</c:v>
              </c:pt>
              <c:pt idx="36">
                <c:v>3150</c:v>
              </c:pt>
              <c:pt idx="37">
                <c:v>3350</c:v>
              </c:pt>
              <c:pt idx="38">
                <c:v>3550</c:v>
              </c:pt>
              <c:pt idx="39">
                <c:v>3750</c:v>
              </c:pt>
              <c:pt idx="40">
                <c:v>4000</c:v>
              </c:pt>
              <c:pt idx="41">
                <c:v>4250</c:v>
              </c:pt>
              <c:pt idx="42">
                <c:v>4500</c:v>
              </c:pt>
              <c:pt idx="43">
                <c:v>4750</c:v>
              </c:pt>
              <c:pt idx="44">
                <c:v>5000</c:v>
              </c:pt>
              <c:pt idx="45">
                <c:v>5300</c:v>
              </c:pt>
              <c:pt idx="46">
                <c:v>5600</c:v>
              </c:pt>
              <c:pt idx="47">
                <c:v>6000</c:v>
              </c:pt>
            </c:numLit>
          </c:xVal>
          <c:yVal>
            <c:numRef>
              <c:f>'Average data'!$BI$30:$BI$77</c:f>
              <c:numCache>
                <c:formatCode>General</c:formatCode>
                <c:ptCount val="48"/>
                <c:pt idx="0">
                  <c:v>-5.7034000000000002</c:v>
                </c:pt>
                <c:pt idx="1">
                  <c:v>-6.9035999999999991</c:v>
                </c:pt>
                <c:pt idx="2">
                  <c:v>-8.3392999999999979</c:v>
                </c:pt>
                <c:pt idx="3">
                  <c:v>-3.6753</c:v>
                </c:pt>
                <c:pt idx="4">
                  <c:v>-9.5237000000000016</c:v>
                </c:pt>
                <c:pt idx="5">
                  <c:v>-1.1481999999999992</c:v>
                </c:pt>
                <c:pt idx="6">
                  <c:v>-4.668099999999999</c:v>
                </c:pt>
                <c:pt idx="7">
                  <c:v>-4.2387999999999995</c:v>
                </c:pt>
                <c:pt idx="8">
                  <c:v>-4.3094000000000001</c:v>
                </c:pt>
                <c:pt idx="9">
                  <c:v>-4.0042999999999997</c:v>
                </c:pt>
                <c:pt idx="10">
                  <c:v>-4.4283999999999999</c:v>
                </c:pt>
                <c:pt idx="11">
                  <c:v>-3.4558999999999997</c:v>
                </c:pt>
                <c:pt idx="12">
                  <c:v>-3.1228000000000007</c:v>
                </c:pt>
                <c:pt idx="13">
                  <c:v>-2.8228999999999997</c:v>
                </c:pt>
                <c:pt idx="14">
                  <c:v>-2.3382000000000005</c:v>
                </c:pt>
                <c:pt idx="15">
                  <c:v>-2.0689999999999991</c:v>
                </c:pt>
                <c:pt idx="16">
                  <c:v>-1.6125999999999996</c:v>
                </c:pt>
                <c:pt idx="17">
                  <c:v>-1.019000000000001</c:v>
                </c:pt>
                <c:pt idx="18">
                  <c:v>-0.83680000000000021</c:v>
                </c:pt>
                <c:pt idx="19">
                  <c:v>-0.83879999999999999</c:v>
                </c:pt>
                <c:pt idx="20">
                  <c:v>-0.75370000000000115</c:v>
                </c:pt>
                <c:pt idx="21">
                  <c:v>-1.9389999999999992</c:v>
                </c:pt>
                <c:pt idx="22">
                  <c:v>-1.008700000000001</c:v>
                </c:pt>
                <c:pt idx="23">
                  <c:v>-0.32149999999999945</c:v>
                </c:pt>
                <c:pt idx="24">
                  <c:v>-0.63200000000000056</c:v>
                </c:pt>
                <c:pt idx="25">
                  <c:v>-1.3102</c:v>
                </c:pt>
                <c:pt idx="26">
                  <c:v>-1.5986000000000002</c:v>
                </c:pt>
                <c:pt idx="27">
                  <c:v>-1.3356999999999992</c:v>
                </c:pt>
                <c:pt idx="28">
                  <c:v>-1.5276999999999994</c:v>
                </c:pt>
                <c:pt idx="29">
                  <c:v>-4.541500000000001</c:v>
                </c:pt>
                <c:pt idx="30">
                  <c:v>-2.7501999999999995</c:v>
                </c:pt>
                <c:pt idx="31">
                  <c:v>-4.8943999999999992</c:v>
                </c:pt>
                <c:pt idx="32">
                  <c:v>-5.9038000000000004</c:v>
                </c:pt>
                <c:pt idx="33">
                  <c:v>-2.1476999999999986</c:v>
                </c:pt>
                <c:pt idx="34">
                  <c:v>-1.5887999999999991</c:v>
                </c:pt>
                <c:pt idx="35">
                  <c:v>-2.164299999999999</c:v>
                </c:pt>
                <c:pt idx="36">
                  <c:v>-1.4081000000000001</c:v>
                </c:pt>
                <c:pt idx="37">
                  <c:v>-1.2423999999999999</c:v>
                </c:pt>
                <c:pt idx="38">
                  <c:v>-2.9859999999999998</c:v>
                </c:pt>
                <c:pt idx="39">
                  <c:v>-4.329600000000001</c:v>
                </c:pt>
                <c:pt idx="40">
                  <c:v>-2.4051000000000009</c:v>
                </c:pt>
                <c:pt idx="41">
                  <c:v>-14.0025</c:v>
                </c:pt>
                <c:pt idx="42">
                  <c:v>-9.0518000000000001</c:v>
                </c:pt>
                <c:pt idx="43">
                  <c:v>-6.7271999999999981</c:v>
                </c:pt>
                <c:pt idx="44">
                  <c:v>-3.5709999999999997</c:v>
                </c:pt>
                <c:pt idx="45">
                  <c:v>-4.6610000000000014</c:v>
                </c:pt>
                <c:pt idx="46">
                  <c:v>-7.2838999999999992</c:v>
                </c:pt>
                <c:pt idx="47">
                  <c:v>-3.2467999999999986</c:v>
                </c:pt>
              </c:numCache>
            </c:numRef>
          </c:yVal>
          <c:smooth val="0"/>
        </c:ser>
        <c:ser>
          <c:idx val="7"/>
          <c:order val="1"/>
          <c:tx>
            <c:strRef>
              <c:f>'Average data'!$BJ$5</c:f>
              <c:strCache>
                <c:ptCount val="1"/>
                <c:pt idx="0">
                  <c:v>10-9Rear_HRDiff~..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400</c:v>
              </c:pt>
              <c:pt idx="1">
                <c:v>425</c:v>
              </c:pt>
              <c:pt idx="2">
                <c:v>450</c:v>
              </c:pt>
              <c:pt idx="3">
                <c:v>475</c:v>
              </c:pt>
              <c:pt idx="4">
                <c:v>500</c:v>
              </c:pt>
              <c:pt idx="5">
                <c:v>530</c:v>
              </c:pt>
              <c:pt idx="6">
                <c:v>560</c:v>
              </c:pt>
              <c:pt idx="7">
                <c:v>600</c:v>
              </c:pt>
              <c:pt idx="8">
                <c:v>630</c:v>
              </c:pt>
              <c:pt idx="9">
                <c:v>670</c:v>
              </c:pt>
              <c:pt idx="10">
                <c:v>710</c:v>
              </c:pt>
              <c:pt idx="11">
                <c:v>750</c:v>
              </c:pt>
              <c:pt idx="12">
                <c:v>800</c:v>
              </c:pt>
              <c:pt idx="13">
                <c:v>850</c:v>
              </c:pt>
              <c:pt idx="14">
                <c:v>900</c:v>
              </c:pt>
              <c:pt idx="15">
                <c:v>950</c:v>
              </c:pt>
              <c:pt idx="16">
                <c:v>1000</c:v>
              </c:pt>
              <c:pt idx="17">
                <c:v>1060</c:v>
              </c:pt>
              <c:pt idx="18">
                <c:v>1120</c:v>
              </c:pt>
              <c:pt idx="19">
                <c:v>1180</c:v>
              </c:pt>
              <c:pt idx="20">
                <c:v>1250</c:v>
              </c:pt>
              <c:pt idx="21">
                <c:v>1320</c:v>
              </c:pt>
              <c:pt idx="22">
                <c:v>1400</c:v>
              </c:pt>
              <c:pt idx="23">
                <c:v>1500</c:v>
              </c:pt>
              <c:pt idx="24">
                <c:v>1600</c:v>
              </c:pt>
              <c:pt idx="25">
                <c:v>1700</c:v>
              </c:pt>
              <c:pt idx="26">
                <c:v>1800</c:v>
              </c:pt>
              <c:pt idx="27">
                <c:v>1900</c:v>
              </c:pt>
              <c:pt idx="28">
                <c:v>2000</c:v>
              </c:pt>
              <c:pt idx="29">
                <c:v>2120</c:v>
              </c:pt>
              <c:pt idx="30">
                <c:v>2240</c:v>
              </c:pt>
              <c:pt idx="31">
                <c:v>2360</c:v>
              </c:pt>
              <c:pt idx="32">
                <c:v>2500</c:v>
              </c:pt>
              <c:pt idx="33">
                <c:v>2650</c:v>
              </c:pt>
              <c:pt idx="34">
                <c:v>2800</c:v>
              </c:pt>
              <c:pt idx="35">
                <c:v>3000</c:v>
              </c:pt>
              <c:pt idx="36">
                <c:v>3150</c:v>
              </c:pt>
              <c:pt idx="37">
                <c:v>3350</c:v>
              </c:pt>
              <c:pt idx="38">
                <c:v>3550</c:v>
              </c:pt>
              <c:pt idx="39">
                <c:v>3750</c:v>
              </c:pt>
              <c:pt idx="40">
                <c:v>4000</c:v>
              </c:pt>
              <c:pt idx="41">
                <c:v>4250</c:v>
              </c:pt>
              <c:pt idx="42">
                <c:v>4500</c:v>
              </c:pt>
              <c:pt idx="43">
                <c:v>4750</c:v>
              </c:pt>
              <c:pt idx="44">
                <c:v>5000</c:v>
              </c:pt>
              <c:pt idx="45">
                <c:v>5300</c:v>
              </c:pt>
              <c:pt idx="46">
                <c:v>5600</c:v>
              </c:pt>
              <c:pt idx="47">
                <c:v>6000</c:v>
              </c:pt>
            </c:numLit>
          </c:xVal>
          <c:yVal>
            <c:numRef>
              <c:f>'Average data'!$BJ$30:$BJ$77</c:f>
              <c:numCache>
                <c:formatCode>General</c:formatCode>
                <c:ptCount val="48"/>
                <c:pt idx="0">
                  <c:v>-5.2676999999999996</c:v>
                </c:pt>
                <c:pt idx="1">
                  <c:v>-2.6907999999999994</c:v>
                </c:pt>
                <c:pt idx="2">
                  <c:v>-2.8815999999999988</c:v>
                </c:pt>
                <c:pt idx="3">
                  <c:v>-2.4494000000000007</c:v>
                </c:pt>
                <c:pt idx="4">
                  <c:v>-4.4420999999999999</c:v>
                </c:pt>
                <c:pt idx="5">
                  <c:v>-3.3205</c:v>
                </c:pt>
                <c:pt idx="6">
                  <c:v>-3.4101000000000008</c:v>
                </c:pt>
                <c:pt idx="7">
                  <c:v>-3.0519999999999996</c:v>
                </c:pt>
                <c:pt idx="8">
                  <c:v>-4.0592999999999995</c:v>
                </c:pt>
                <c:pt idx="9">
                  <c:v>-4.1548999999999996</c:v>
                </c:pt>
                <c:pt idx="10">
                  <c:v>-4.4357999999999995</c:v>
                </c:pt>
                <c:pt idx="11">
                  <c:v>-3.0864000000000011</c:v>
                </c:pt>
                <c:pt idx="12">
                  <c:v>-3.1878000000000011</c:v>
                </c:pt>
                <c:pt idx="13">
                  <c:v>-2.0720999999999998</c:v>
                </c:pt>
                <c:pt idx="14">
                  <c:v>-1.6258999999999988</c:v>
                </c:pt>
                <c:pt idx="15">
                  <c:v>-1.0686</c:v>
                </c:pt>
                <c:pt idx="16">
                  <c:v>-1.1870000000000003</c:v>
                </c:pt>
                <c:pt idx="17">
                  <c:v>-1.4108999999999998</c:v>
                </c:pt>
                <c:pt idx="18">
                  <c:v>-1.4828999999999999</c:v>
                </c:pt>
                <c:pt idx="19">
                  <c:v>-1.4397000000000002</c:v>
                </c:pt>
                <c:pt idx="20">
                  <c:v>-1.6108000000000002</c:v>
                </c:pt>
                <c:pt idx="21">
                  <c:v>-1.7267000000000001</c:v>
                </c:pt>
                <c:pt idx="22">
                  <c:v>-1.4775</c:v>
                </c:pt>
                <c:pt idx="23">
                  <c:v>-0.76500000000000057</c:v>
                </c:pt>
                <c:pt idx="24">
                  <c:v>-1.4455</c:v>
                </c:pt>
                <c:pt idx="25">
                  <c:v>-2.4844999999999997</c:v>
                </c:pt>
                <c:pt idx="26">
                  <c:v>-2.0950000000000006</c:v>
                </c:pt>
                <c:pt idx="27">
                  <c:v>-1.5159000000000002</c:v>
                </c:pt>
                <c:pt idx="28">
                  <c:v>-2.7224000000000004</c:v>
                </c:pt>
                <c:pt idx="29">
                  <c:v>-5.6658000000000008</c:v>
                </c:pt>
                <c:pt idx="30">
                  <c:v>-4.4634999999999998</c:v>
                </c:pt>
                <c:pt idx="31">
                  <c:v>-6.2393000000000018</c:v>
                </c:pt>
                <c:pt idx="32">
                  <c:v>-2.9147999999999996</c:v>
                </c:pt>
                <c:pt idx="33">
                  <c:v>-1.5538999999999987</c:v>
                </c:pt>
                <c:pt idx="34">
                  <c:v>-2.0390999999999995</c:v>
                </c:pt>
                <c:pt idx="35">
                  <c:v>-2.8991999999999996</c:v>
                </c:pt>
                <c:pt idx="36">
                  <c:v>-2.6432000000000002</c:v>
                </c:pt>
                <c:pt idx="37">
                  <c:v>-1.6405000000000003</c:v>
                </c:pt>
                <c:pt idx="38">
                  <c:v>-2.7981999999999996</c:v>
                </c:pt>
                <c:pt idx="39">
                  <c:v>-5.4657</c:v>
                </c:pt>
                <c:pt idx="40">
                  <c:v>-1.5035999999999987</c:v>
                </c:pt>
                <c:pt idx="41">
                  <c:v>-11.6419</c:v>
                </c:pt>
                <c:pt idx="42">
                  <c:v>-6.9225999999999992</c:v>
                </c:pt>
                <c:pt idx="43">
                  <c:v>-8.4262999999999977</c:v>
                </c:pt>
                <c:pt idx="44">
                  <c:v>-4.3593000000000011</c:v>
                </c:pt>
                <c:pt idx="45">
                  <c:v>-5.5005999999999986</c:v>
                </c:pt>
                <c:pt idx="46">
                  <c:v>-6.127600000000001</c:v>
                </c:pt>
                <c:pt idx="47">
                  <c:v>-2.4954999999999998</c:v>
                </c:pt>
              </c:numCache>
            </c:numRef>
          </c:yVal>
          <c:smooth val="0"/>
        </c:ser>
        <c:ser>
          <c:idx val="8"/>
          <c:order val="2"/>
          <c:tx>
            <c:strRef>
              <c:f>'Average data'!$BK$5</c:f>
              <c:strCache>
                <c:ptCount val="1"/>
                <c:pt idx="0">
                  <c:v>10-9Rear_LDiff~..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400</c:v>
              </c:pt>
              <c:pt idx="1">
                <c:v>425</c:v>
              </c:pt>
              <c:pt idx="2">
                <c:v>450</c:v>
              </c:pt>
              <c:pt idx="3">
                <c:v>475</c:v>
              </c:pt>
              <c:pt idx="4">
                <c:v>500</c:v>
              </c:pt>
              <c:pt idx="5">
                <c:v>530</c:v>
              </c:pt>
              <c:pt idx="6">
                <c:v>560</c:v>
              </c:pt>
              <c:pt idx="7">
                <c:v>600</c:v>
              </c:pt>
              <c:pt idx="8">
                <c:v>630</c:v>
              </c:pt>
              <c:pt idx="9">
                <c:v>670</c:v>
              </c:pt>
              <c:pt idx="10">
                <c:v>710</c:v>
              </c:pt>
              <c:pt idx="11">
                <c:v>750</c:v>
              </c:pt>
              <c:pt idx="12">
                <c:v>800</c:v>
              </c:pt>
              <c:pt idx="13">
                <c:v>850</c:v>
              </c:pt>
              <c:pt idx="14">
                <c:v>900</c:v>
              </c:pt>
              <c:pt idx="15">
                <c:v>950</c:v>
              </c:pt>
              <c:pt idx="16">
                <c:v>1000</c:v>
              </c:pt>
              <c:pt idx="17">
                <c:v>1060</c:v>
              </c:pt>
              <c:pt idx="18">
                <c:v>1120</c:v>
              </c:pt>
              <c:pt idx="19">
                <c:v>1180</c:v>
              </c:pt>
              <c:pt idx="20">
                <c:v>1250</c:v>
              </c:pt>
              <c:pt idx="21">
                <c:v>1320</c:v>
              </c:pt>
              <c:pt idx="22">
                <c:v>1400</c:v>
              </c:pt>
              <c:pt idx="23">
                <c:v>1500</c:v>
              </c:pt>
              <c:pt idx="24">
                <c:v>1600</c:v>
              </c:pt>
              <c:pt idx="25">
                <c:v>1700</c:v>
              </c:pt>
              <c:pt idx="26">
                <c:v>1800</c:v>
              </c:pt>
              <c:pt idx="27">
                <c:v>1900</c:v>
              </c:pt>
              <c:pt idx="28">
                <c:v>2000</c:v>
              </c:pt>
              <c:pt idx="29">
                <c:v>2120</c:v>
              </c:pt>
              <c:pt idx="30">
                <c:v>2240</c:v>
              </c:pt>
              <c:pt idx="31">
                <c:v>2360</c:v>
              </c:pt>
              <c:pt idx="32">
                <c:v>2500</c:v>
              </c:pt>
              <c:pt idx="33">
                <c:v>2650</c:v>
              </c:pt>
              <c:pt idx="34">
                <c:v>2800</c:v>
              </c:pt>
              <c:pt idx="35">
                <c:v>3000</c:v>
              </c:pt>
              <c:pt idx="36">
                <c:v>3150</c:v>
              </c:pt>
              <c:pt idx="37">
                <c:v>3350</c:v>
              </c:pt>
              <c:pt idx="38">
                <c:v>3550</c:v>
              </c:pt>
              <c:pt idx="39">
                <c:v>3750</c:v>
              </c:pt>
              <c:pt idx="40">
                <c:v>4000</c:v>
              </c:pt>
              <c:pt idx="41">
                <c:v>4250</c:v>
              </c:pt>
              <c:pt idx="42">
                <c:v>4500</c:v>
              </c:pt>
              <c:pt idx="43">
                <c:v>4750</c:v>
              </c:pt>
              <c:pt idx="44">
                <c:v>5000</c:v>
              </c:pt>
              <c:pt idx="45">
                <c:v>5300</c:v>
              </c:pt>
              <c:pt idx="46">
                <c:v>5600</c:v>
              </c:pt>
              <c:pt idx="47">
                <c:v>6000</c:v>
              </c:pt>
            </c:numLit>
          </c:xVal>
          <c:yVal>
            <c:numRef>
              <c:f>'Average data'!$BK$30:$BK$77</c:f>
              <c:numCache>
                <c:formatCode>General</c:formatCode>
                <c:ptCount val="48"/>
                <c:pt idx="0">
                  <c:v>-8.3582999999999998</c:v>
                </c:pt>
                <c:pt idx="1">
                  <c:v>-6.0393999999999988</c:v>
                </c:pt>
                <c:pt idx="2">
                  <c:v>-8.3577000000000012</c:v>
                </c:pt>
                <c:pt idx="3">
                  <c:v>-7.9681000000000015</c:v>
                </c:pt>
                <c:pt idx="4">
                  <c:v>-9.3978999999999999</c:v>
                </c:pt>
                <c:pt idx="5">
                  <c:v>-6.8976000000000006</c:v>
                </c:pt>
                <c:pt idx="6">
                  <c:v>-5.3445999999999998</c:v>
                </c:pt>
                <c:pt idx="7">
                  <c:v>-3.0208999999999993</c:v>
                </c:pt>
                <c:pt idx="8">
                  <c:v>-4.0931999999999995</c:v>
                </c:pt>
                <c:pt idx="9">
                  <c:v>-3.3061000000000007</c:v>
                </c:pt>
                <c:pt idx="10">
                  <c:v>-3.7885999999999997</c:v>
                </c:pt>
                <c:pt idx="11">
                  <c:v>-3.4353999999999996</c:v>
                </c:pt>
                <c:pt idx="12">
                  <c:v>-2.7846999999999991</c:v>
                </c:pt>
                <c:pt idx="13">
                  <c:v>-2.7727999999999993</c:v>
                </c:pt>
                <c:pt idx="14">
                  <c:v>-1.7378</c:v>
                </c:pt>
                <c:pt idx="15">
                  <c:v>-1.1292999999999997</c:v>
                </c:pt>
                <c:pt idx="16">
                  <c:v>-0.93439999999999923</c:v>
                </c:pt>
                <c:pt idx="17">
                  <c:v>-1.226</c:v>
                </c:pt>
                <c:pt idx="18">
                  <c:v>-0.54060000000000041</c:v>
                </c:pt>
                <c:pt idx="19">
                  <c:v>-0.45560000000000045</c:v>
                </c:pt>
                <c:pt idx="20">
                  <c:v>-0.60239999999999938</c:v>
                </c:pt>
                <c:pt idx="21">
                  <c:v>-1.2157999999999998</c:v>
                </c:pt>
                <c:pt idx="22">
                  <c:v>-1.2230000000000008</c:v>
                </c:pt>
                <c:pt idx="23">
                  <c:v>-0.45859999999999879</c:v>
                </c:pt>
                <c:pt idx="24">
                  <c:v>-1.0454000000000008</c:v>
                </c:pt>
                <c:pt idx="25">
                  <c:v>-2.4501999999999997</c:v>
                </c:pt>
                <c:pt idx="26">
                  <c:v>-1.8754000000000008</c:v>
                </c:pt>
                <c:pt idx="27">
                  <c:v>-1.5281000000000002</c:v>
                </c:pt>
                <c:pt idx="28">
                  <c:v>-2.1529999999999987</c:v>
                </c:pt>
                <c:pt idx="29">
                  <c:v>-6.2226999999999997</c:v>
                </c:pt>
                <c:pt idx="30">
                  <c:v>-5.5890000000000004</c:v>
                </c:pt>
                <c:pt idx="31">
                  <c:v>-1.4774999999999991</c:v>
                </c:pt>
                <c:pt idx="32">
                  <c:v>-1.791599999999999</c:v>
                </c:pt>
                <c:pt idx="33">
                  <c:v>-1.4843999999999991</c:v>
                </c:pt>
                <c:pt idx="34">
                  <c:v>-1.4538000000000002</c:v>
                </c:pt>
                <c:pt idx="35">
                  <c:v>-2.2599999999999998</c:v>
                </c:pt>
                <c:pt idx="36">
                  <c:v>-1.7534000000000001</c:v>
                </c:pt>
                <c:pt idx="37">
                  <c:v>-1.7294999999999998</c:v>
                </c:pt>
                <c:pt idx="38">
                  <c:v>-3.9002999999999997</c:v>
                </c:pt>
                <c:pt idx="39">
                  <c:v>-6.8049999999999979</c:v>
                </c:pt>
                <c:pt idx="40">
                  <c:v>-3.7618000000000009</c:v>
                </c:pt>
                <c:pt idx="41">
                  <c:v>-17.411499999999997</c:v>
                </c:pt>
                <c:pt idx="42">
                  <c:v>-11.160300000000001</c:v>
                </c:pt>
                <c:pt idx="43">
                  <c:v>-9.0998999999999999</c:v>
                </c:pt>
                <c:pt idx="44">
                  <c:v>-11.208800000000002</c:v>
                </c:pt>
                <c:pt idx="45">
                  <c:v>-6.2297000000000011</c:v>
                </c:pt>
                <c:pt idx="46">
                  <c:v>-9.1820999999999984</c:v>
                </c:pt>
                <c:pt idx="47">
                  <c:v>-1.8239000000000019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16296"/>
        <c:axId val="476016688"/>
      </c:scatterChart>
      <c:valAx>
        <c:axId val="476016296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074316759356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016688"/>
        <c:crosses val="autoZero"/>
        <c:crossBetween val="midCat"/>
      </c:valAx>
      <c:valAx>
        <c:axId val="476016688"/>
        <c:scaling>
          <c:orientation val="minMax"/>
          <c:max val="20"/>
          <c:min val="-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016296"/>
        <c:crosses val="autoZero"/>
        <c:crossBetween val="midCat"/>
        <c:majorUnit val="10"/>
        <c:minorUnit val="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290147903109739"/>
          <c:y val="0.74965328634619977"/>
          <c:w val="0.30677123939389239"/>
          <c:h val="0.1982596406218453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 altLang="en-US" sz="1000"/>
              <a:t>OPL Rear HL for Delhi90_StandardSamples</a:t>
            </a:r>
            <a:r>
              <a:rPr lang="da-DK" altLang="en-US" sz="1000" baseline="0"/>
              <a:t> 5 Overview</a:t>
            </a:r>
            <a:endParaRPr lang="da-DK" altLang="en-US" sz="1000"/>
          </a:p>
        </c:rich>
      </c:tx>
      <c:layout>
        <c:manualLayout>
          <c:xMode val="edge"/>
          <c:yMode val="edge"/>
          <c:x val="0.20932643774557766"/>
          <c:y val="2.02701760182075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8.637766433042024E-2"/>
          <c:w val="0.9015544041450777"/>
          <c:h val="0.79200080759135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'Average data'!$BF$5</c:f>
              <c:strCache>
                <c:ptCount val="1"/>
                <c:pt idx="0">
                  <c:v>10-9Front_HLDiff~..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Ref>
              <c:f>'Average data'!$BF$6:$BF$86</c:f>
              <c:numCache>
                <c:formatCode>General</c:formatCode>
                <c:ptCount val="81"/>
                <c:pt idx="0">
                  <c:v>-8.320999999999998</c:v>
                </c:pt>
                <c:pt idx="1">
                  <c:v>-10.745000000000001</c:v>
                </c:pt>
                <c:pt idx="2">
                  <c:v>-10.983000000000004</c:v>
                </c:pt>
                <c:pt idx="3">
                  <c:v>-10.048999999999999</c:v>
                </c:pt>
                <c:pt idx="4">
                  <c:v>-5.9720000000000013</c:v>
                </c:pt>
                <c:pt idx="5">
                  <c:v>-9.3669999999999973</c:v>
                </c:pt>
                <c:pt idx="6">
                  <c:v>-5.0120000000000005</c:v>
                </c:pt>
                <c:pt idx="7">
                  <c:v>-8.3980000000000032</c:v>
                </c:pt>
                <c:pt idx="8">
                  <c:v>-20.335000000000001</c:v>
                </c:pt>
                <c:pt idx="9">
                  <c:v>-14.731600000000004</c:v>
                </c:pt>
                <c:pt idx="10">
                  <c:v>-9.3073000000000015</c:v>
                </c:pt>
                <c:pt idx="11">
                  <c:v>-4.5019999999999989</c:v>
                </c:pt>
                <c:pt idx="12">
                  <c:v>-13.364899999999999</c:v>
                </c:pt>
                <c:pt idx="13">
                  <c:v>-12.916299999999996</c:v>
                </c:pt>
                <c:pt idx="14">
                  <c:v>-11.292699999999996</c:v>
                </c:pt>
                <c:pt idx="15">
                  <c:v>-5.2667000000000002</c:v>
                </c:pt>
                <c:pt idx="16">
                  <c:v>-7.0483000000000011</c:v>
                </c:pt>
                <c:pt idx="17">
                  <c:v>-8.1972000000000023</c:v>
                </c:pt>
                <c:pt idx="18">
                  <c:v>-5.9455000000000027</c:v>
                </c:pt>
                <c:pt idx="19">
                  <c:v>-4.7711000000000006</c:v>
                </c:pt>
                <c:pt idx="20">
                  <c:v>-9.526600000000002</c:v>
                </c:pt>
                <c:pt idx="21">
                  <c:v>-8.4114000000000004</c:v>
                </c:pt>
                <c:pt idx="22">
                  <c:v>-12.505699999999999</c:v>
                </c:pt>
                <c:pt idx="23">
                  <c:v>-5.8805000000000014</c:v>
                </c:pt>
                <c:pt idx="24">
                  <c:v>-5.2405000000000008</c:v>
                </c:pt>
                <c:pt idx="25">
                  <c:v>-5.6597000000000008</c:v>
                </c:pt>
                <c:pt idx="26">
                  <c:v>-12.946999999999999</c:v>
                </c:pt>
                <c:pt idx="27">
                  <c:v>-7.7090000000000014</c:v>
                </c:pt>
                <c:pt idx="28">
                  <c:v>-6.8842999999999996</c:v>
                </c:pt>
                <c:pt idx="29">
                  <c:v>-5.8393999999999995</c:v>
                </c:pt>
                <c:pt idx="30">
                  <c:v>-5.1283999999999992</c:v>
                </c:pt>
                <c:pt idx="31">
                  <c:v>-4.4573999999999998</c:v>
                </c:pt>
                <c:pt idx="32">
                  <c:v>-3.3505000000000003</c:v>
                </c:pt>
                <c:pt idx="33">
                  <c:v>-3.724400000000001</c:v>
                </c:pt>
                <c:pt idx="34">
                  <c:v>-2.8567</c:v>
                </c:pt>
                <c:pt idx="35">
                  <c:v>-5.3790999999999993</c:v>
                </c:pt>
                <c:pt idx="36">
                  <c:v>-4.9423000000000012</c:v>
                </c:pt>
                <c:pt idx="37">
                  <c:v>-6.4190000000000005</c:v>
                </c:pt>
                <c:pt idx="38">
                  <c:v>-2.5581999999999994</c:v>
                </c:pt>
                <c:pt idx="39">
                  <c:v>-4.6812999999999985</c:v>
                </c:pt>
                <c:pt idx="40">
                  <c:v>-3.5153999999999996</c:v>
                </c:pt>
                <c:pt idx="41">
                  <c:v>-4.3178000000000019</c:v>
                </c:pt>
                <c:pt idx="42">
                  <c:v>-4.4243000000000006</c:v>
                </c:pt>
                <c:pt idx="43">
                  <c:v>-2.7307000000000006</c:v>
                </c:pt>
                <c:pt idx="44">
                  <c:v>-3.0515999999999988</c:v>
                </c:pt>
                <c:pt idx="45">
                  <c:v>-5.5080000000000009</c:v>
                </c:pt>
                <c:pt idx="46">
                  <c:v>-4.2554999999999978</c:v>
                </c:pt>
                <c:pt idx="47">
                  <c:v>-2.3370999999999995</c:v>
                </c:pt>
                <c:pt idx="48">
                  <c:v>-6.7614999999999998</c:v>
                </c:pt>
                <c:pt idx="49">
                  <c:v>-5.9681999999999995</c:v>
                </c:pt>
                <c:pt idx="50">
                  <c:v>-9.504900000000001</c:v>
                </c:pt>
                <c:pt idx="51">
                  <c:v>-9.4115999999999982</c:v>
                </c:pt>
                <c:pt idx="52">
                  <c:v>-4.3856000000000002</c:v>
                </c:pt>
                <c:pt idx="53">
                  <c:v>-1.7880000000000003</c:v>
                </c:pt>
                <c:pt idx="54">
                  <c:v>-3.8036999999999992</c:v>
                </c:pt>
                <c:pt idx="55">
                  <c:v>-3.3501999999999992</c:v>
                </c:pt>
                <c:pt idx="56">
                  <c:v>-3.5555000000000003</c:v>
                </c:pt>
                <c:pt idx="57">
                  <c:v>-3.2015999999999991</c:v>
                </c:pt>
                <c:pt idx="58">
                  <c:v>-4.3411000000000008</c:v>
                </c:pt>
                <c:pt idx="59">
                  <c:v>-9.0625</c:v>
                </c:pt>
                <c:pt idx="60">
                  <c:v>-5.4632999999999994</c:v>
                </c:pt>
                <c:pt idx="61">
                  <c:v>-4.5159000000000002</c:v>
                </c:pt>
                <c:pt idx="62">
                  <c:v>-7.4280999999999988</c:v>
                </c:pt>
                <c:pt idx="63">
                  <c:v>-8.9664000000000001</c:v>
                </c:pt>
                <c:pt idx="64">
                  <c:v>-9.3605</c:v>
                </c:pt>
                <c:pt idx="65">
                  <c:v>-7.0560000000000009</c:v>
                </c:pt>
                <c:pt idx="66">
                  <c:v>-14.7028</c:v>
                </c:pt>
                <c:pt idx="67">
                  <c:v>-4.1471000000000009</c:v>
                </c:pt>
                <c:pt idx="68">
                  <c:v>-4.5882000000000005</c:v>
                </c:pt>
                <c:pt idx="69">
                  <c:v>-6.1509</c:v>
                </c:pt>
                <c:pt idx="70">
                  <c:v>-3.677999999999999</c:v>
                </c:pt>
                <c:pt idx="71">
                  <c:v>-3.3978000000000002</c:v>
                </c:pt>
                <c:pt idx="72">
                  <c:v>-4.2952999999999992</c:v>
                </c:pt>
                <c:pt idx="73">
                  <c:v>-4.7732000000000028</c:v>
                </c:pt>
                <c:pt idx="74">
                  <c:v>-4.3525999999999989</c:v>
                </c:pt>
                <c:pt idx="75">
                  <c:v>-5.0230000000000032</c:v>
                </c:pt>
                <c:pt idx="76">
                  <c:v>-2.4080000000000013</c:v>
                </c:pt>
                <c:pt idx="77">
                  <c:v>-3.4580000000000055</c:v>
                </c:pt>
                <c:pt idx="78">
                  <c:v>-2.3329999999999984</c:v>
                </c:pt>
                <c:pt idx="79">
                  <c:v>-2.7250000000000014</c:v>
                </c:pt>
                <c:pt idx="80">
                  <c:v>-1.8740000000000023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'Average data'!$BG$5</c:f>
              <c:strCache>
                <c:ptCount val="1"/>
                <c:pt idx="0">
                  <c:v>10-9Front_HRDiff~..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Ref>
              <c:f>'Average data'!$BG$6:$BG$86</c:f>
              <c:numCache>
                <c:formatCode>General</c:formatCode>
                <c:ptCount val="81"/>
                <c:pt idx="0">
                  <c:v>-4.1149999999999984</c:v>
                </c:pt>
                <c:pt idx="1">
                  <c:v>-4.5366</c:v>
                </c:pt>
                <c:pt idx="2">
                  <c:v>-12.524000000000001</c:v>
                </c:pt>
                <c:pt idx="3">
                  <c:v>-8.1748000000000012</c:v>
                </c:pt>
                <c:pt idx="4">
                  <c:v>-4.1600000000000037</c:v>
                </c:pt>
                <c:pt idx="5">
                  <c:v>-5.617999999999995</c:v>
                </c:pt>
                <c:pt idx="6">
                  <c:v>-16.057000000000002</c:v>
                </c:pt>
                <c:pt idx="7">
                  <c:v>-9.3769999999999989</c:v>
                </c:pt>
                <c:pt idx="8">
                  <c:v>-8.3044000000000011</c:v>
                </c:pt>
                <c:pt idx="9">
                  <c:v>-11.177499999999998</c:v>
                </c:pt>
                <c:pt idx="10">
                  <c:v>-10.049200000000003</c:v>
                </c:pt>
                <c:pt idx="11">
                  <c:v>-5.0315999999999974</c:v>
                </c:pt>
                <c:pt idx="12">
                  <c:v>-7.0798000000000023</c:v>
                </c:pt>
                <c:pt idx="13">
                  <c:v>-3.3033999999999999</c:v>
                </c:pt>
                <c:pt idx="14">
                  <c:v>-3.9508999999999972</c:v>
                </c:pt>
                <c:pt idx="15">
                  <c:v>-6.8431999999999995</c:v>
                </c:pt>
                <c:pt idx="16">
                  <c:v>-10.974499999999999</c:v>
                </c:pt>
                <c:pt idx="17">
                  <c:v>-10.194400000000002</c:v>
                </c:pt>
                <c:pt idx="18">
                  <c:v>-13.286400000000002</c:v>
                </c:pt>
                <c:pt idx="19">
                  <c:v>-5.2409999999999979</c:v>
                </c:pt>
                <c:pt idx="20">
                  <c:v>-4.0052000000000003</c:v>
                </c:pt>
                <c:pt idx="21">
                  <c:v>-4.2578999999999994</c:v>
                </c:pt>
                <c:pt idx="22">
                  <c:v>-3.8866999999999994</c:v>
                </c:pt>
                <c:pt idx="23">
                  <c:v>-2.9875999999999987</c:v>
                </c:pt>
                <c:pt idx="24">
                  <c:v>-2.8152999999999988</c:v>
                </c:pt>
                <c:pt idx="25">
                  <c:v>-1.9747000000000003</c:v>
                </c:pt>
                <c:pt idx="26">
                  <c:v>-1.3969999999999994</c:v>
                </c:pt>
                <c:pt idx="27">
                  <c:v>-1.0821000000000005</c:v>
                </c:pt>
                <c:pt idx="28">
                  <c:v>-1.277099999999999</c:v>
                </c:pt>
                <c:pt idx="29">
                  <c:v>-1.3780000000000001</c:v>
                </c:pt>
                <c:pt idx="30">
                  <c:v>-1.7739000000000003</c:v>
                </c:pt>
                <c:pt idx="31">
                  <c:v>-1.5111999999999997</c:v>
                </c:pt>
                <c:pt idx="32">
                  <c:v>-0.66800000000000015</c:v>
                </c:pt>
                <c:pt idx="33">
                  <c:v>-1.1535999999999991</c:v>
                </c:pt>
                <c:pt idx="34">
                  <c:v>-1.307900000000001</c:v>
                </c:pt>
                <c:pt idx="35">
                  <c:v>-1.7031999999999998</c:v>
                </c:pt>
                <c:pt idx="36">
                  <c:v>-1.3182999999999998</c:v>
                </c:pt>
                <c:pt idx="37">
                  <c:v>-1.6810999999999998</c:v>
                </c:pt>
                <c:pt idx="38">
                  <c:v>-1.2772000000000006</c:v>
                </c:pt>
                <c:pt idx="39">
                  <c:v>-1.0507</c:v>
                </c:pt>
                <c:pt idx="40">
                  <c:v>-0.78299999999999947</c:v>
                </c:pt>
                <c:pt idx="41">
                  <c:v>-1.6443000000000003</c:v>
                </c:pt>
                <c:pt idx="42">
                  <c:v>-2.5876999999999999</c:v>
                </c:pt>
                <c:pt idx="43">
                  <c:v>-2.4188000000000009</c:v>
                </c:pt>
                <c:pt idx="44">
                  <c:v>-2.7324999999999999</c:v>
                </c:pt>
                <c:pt idx="45">
                  <c:v>-3.8280999999999992</c:v>
                </c:pt>
                <c:pt idx="46">
                  <c:v>-3.1829000000000001</c:v>
                </c:pt>
                <c:pt idx="47">
                  <c:v>-3.9260999999999999</c:v>
                </c:pt>
                <c:pt idx="48">
                  <c:v>-4.7644000000000002</c:v>
                </c:pt>
                <c:pt idx="49">
                  <c:v>-4.6384000000000007</c:v>
                </c:pt>
                <c:pt idx="50">
                  <c:v>-10.9864</c:v>
                </c:pt>
                <c:pt idx="51">
                  <c:v>-7.8023999999999987</c:v>
                </c:pt>
                <c:pt idx="52">
                  <c:v>-12.746300000000002</c:v>
                </c:pt>
                <c:pt idx="53">
                  <c:v>-10.6005</c:v>
                </c:pt>
                <c:pt idx="54">
                  <c:v>-8.1894999999999989</c:v>
                </c:pt>
                <c:pt idx="55">
                  <c:v>-4.8843999999999976</c:v>
                </c:pt>
                <c:pt idx="56">
                  <c:v>-5.0647000000000002</c:v>
                </c:pt>
                <c:pt idx="57">
                  <c:v>-3.8298000000000005</c:v>
                </c:pt>
                <c:pt idx="58">
                  <c:v>-4.8541000000000007</c:v>
                </c:pt>
                <c:pt idx="59">
                  <c:v>-6.7865999999999991</c:v>
                </c:pt>
                <c:pt idx="60">
                  <c:v>-4.6471</c:v>
                </c:pt>
                <c:pt idx="61">
                  <c:v>-3.3724999999999996</c:v>
                </c:pt>
                <c:pt idx="62">
                  <c:v>-5.4657999999999998</c:v>
                </c:pt>
                <c:pt idx="63">
                  <c:v>-10.386200000000001</c:v>
                </c:pt>
                <c:pt idx="64">
                  <c:v>-10.365700000000002</c:v>
                </c:pt>
                <c:pt idx="65">
                  <c:v>-7.6178999999999988</c:v>
                </c:pt>
                <c:pt idx="66">
                  <c:v>-19.471299999999999</c:v>
                </c:pt>
                <c:pt idx="67">
                  <c:v>-2.870000000000001</c:v>
                </c:pt>
                <c:pt idx="68">
                  <c:v>-5.4704000000000006</c:v>
                </c:pt>
                <c:pt idx="69">
                  <c:v>-5.1151</c:v>
                </c:pt>
                <c:pt idx="70">
                  <c:v>-4.3356999999999992</c:v>
                </c:pt>
                <c:pt idx="71">
                  <c:v>-2.7677999999999994</c:v>
                </c:pt>
                <c:pt idx="72">
                  <c:v>-3.2652999999999999</c:v>
                </c:pt>
                <c:pt idx="73">
                  <c:v>-4.6235999999999997</c:v>
                </c:pt>
                <c:pt idx="74">
                  <c:v>-5.3327000000000027</c:v>
                </c:pt>
                <c:pt idx="75">
                  <c:v>-3.6559999999999988</c:v>
                </c:pt>
                <c:pt idx="76">
                  <c:v>-2.963000000000001</c:v>
                </c:pt>
                <c:pt idx="77">
                  <c:v>-2.5910000000000011</c:v>
                </c:pt>
                <c:pt idx="78">
                  <c:v>-1.4830000000000041</c:v>
                </c:pt>
                <c:pt idx="79">
                  <c:v>-2.0700000000000003</c:v>
                </c:pt>
                <c:pt idx="80">
                  <c:v>-2.3830000000000027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'Average data'!$BH$5</c:f>
              <c:strCache>
                <c:ptCount val="1"/>
                <c:pt idx="0">
                  <c:v>10-9Front_LDiff~..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Ref>
              <c:f>'Average data'!$BH$6:$BH$86</c:f>
              <c:numCache>
                <c:formatCode>General</c:formatCode>
                <c:ptCount val="81"/>
                <c:pt idx="0">
                  <c:v>-4.7340000000000018</c:v>
                </c:pt>
                <c:pt idx="1">
                  <c:v>-9.7111000000000018</c:v>
                </c:pt>
                <c:pt idx="2">
                  <c:v>-5.3230000000000004</c:v>
                </c:pt>
                <c:pt idx="3">
                  <c:v>-14.400999999999996</c:v>
                </c:pt>
                <c:pt idx="4">
                  <c:v>-10.193999999999996</c:v>
                </c:pt>
                <c:pt idx="5">
                  <c:v>-8.2959999999999994</c:v>
                </c:pt>
                <c:pt idx="6">
                  <c:v>-2.8810000000000002</c:v>
                </c:pt>
                <c:pt idx="7">
                  <c:v>-6.0769999999999982</c:v>
                </c:pt>
                <c:pt idx="8">
                  <c:v>-8.8969999999999985</c:v>
                </c:pt>
                <c:pt idx="9">
                  <c:v>-5.5039999999999978</c:v>
                </c:pt>
                <c:pt idx="10">
                  <c:v>-2.2340000000000018</c:v>
                </c:pt>
                <c:pt idx="11">
                  <c:v>-5.7460000000000022</c:v>
                </c:pt>
                <c:pt idx="12">
                  <c:v>-2.5201999999999991</c:v>
                </c:pt>
                <c:pt idx="13">
                  <c:v>-4.9604999999999997</c:v>
                </c:pt>
                <c:pt idx="14">
                  <c:v>-7.4049999999999976</c:v>
                </c:pt>
                <c:pt idx="15">
                  <c:v>-3.799000000000003</c:v>
                </c:pt>
                <c:pt idx="16">
                  <c:v>-8.2296999999999976</c:v>
                </c:pt>
                <c:pt idx="17">
                  <c:v>-7.075999999999997</c:v>
                </c:pt>
                <c:pt idx="18">
                  <c:v>-2.014400000000002</c:v>
                </c:pt>
                <c:pt idx="19">
                  <c:v>-10.771300000000004</c:v>
                </c:pt>
                <c:pt idx="20">
                  <c:v>-5.1416000000000004</c:v>
                </c:pt>
                <c:pt idx="21">
                  <c:v>-8.8780000000000001</c:v>
                </c:pt>
                <c:pt idx="22">
                  <c:v>-7.3814999999999991</c:v>
                </c:pt>
                <c:pt idx="23">
                  <c:v>-5.9343000000000004</c:v>
                </c:pt>
                <c:pt idx="24">
                  <c:v>-5.9625999999999983</c:v>
                </c:pt>
                <c:pt idx="25">
                  <c:v>-4.555299999999999</c:v>
                </c:pt>
                <c:pt idx="26">
                  <c:v>-4.9741</c:v>
                </c:pt>
                <c:pt idx="27">
                  <c:v>-3.4076000000000004</c:v>
                </c:pt>
                <c:pt idx="28">
                  <c:v>-2.6569000000000003</c:v>
                </c:pt>
                <c:pt idx="29">
                  <c:v>-1.5462000000000007</c:v>
                </c:pt>
                <c:pt idx="30">
                  <c:v>-1.1021000000000001</c:v>
                </c:pt>
                <c:pt idx="31">
                  <c:v>-1.416599999999999</c:v>
                </c:pt>
                <c:pt idx="32">
                  <c:v>-1.4002999999999997</c:v>
                </c:pt>
                <c:pt idx="33">
                  <c:v>-1.9735999999999994</c:v>
                </c:pt>
                <c:pt idx="34">
                  <c:v>-1.3887999999999998</c:v>
                </c:pt>
                <c:pt idx="35">
                  <c:v>-0.85010000000000119</c:v>
                </c:pt>
                <c:pt idx="36">
                  <c:v>-0.67620000000000147</c:v>
                </c:pt>
                <c:pt idx="37">
                  <c:v>-0.91019999999999968</c:v>
                </c:pt>
                <c:pt idx="38">
                  <c:v>-1.3766999999999996</c:v>
                </c:pt>
                <c:pt idx="39">
                  <c:v>-0.70160000000000089</c:v>
                </c:pt>
                <c:pt idx="40">
                  <c:v>-0.8556000000000008</c:v>
                </c:pt>
                <c:pt idx="41">
                  <c:v>-1.9694000000000003</c:v>
                </c:pt>
                <c:pt idx="42">
                  <c:v>-1.8003</c:v>
                </c:pt>
                <c:pt idx="43">
                  <c:v>-2.9059999999999988</c:v>
                </c:pt>
                <c:pt idx="44">
                  <c:v>-2.2355999999999998</c:v>
                </c:pt>
                <c:pt idx="45">
                  <c:v>-1.4156000000000013</c:v>
                </c:pt>
                <c:pt idx="46">
                  <c:v>-6.5968000000000018</c:v>
                </c:pt>
                <c:pt idx="47">
                  <c:v>-7.3164000000000016</c:v>
                </c:pt>
                <c:pt idx="48">
                  <c:v>-7.1413000000000011</c:v>
                </c:pt>
                <c:pt idx="49">
                  <c:v>-8.0579999999999998</c:v>
                </c:pt>
                <c:pt idx="50">
                  <c:v>-11.6051</c:v>
                </c:pt>
                <c:pt idx="51">
                  <c:v>-10.0694</c:v>
                </c:pt>
                <c:pt idx="52">
                  <c:v>-9.5009999999999994</c:v>
                </c:pt>
                <c:pt idx="53">
                  <c:v>-9.4710000000000019</c:v>
                </c:pt>
                <c:pt idx="54">
                  <c:v>-4.6281999999999979</c:v>
                </c:pt>
                <c:pt idx="55">
                  <c:v>-7.0888000000000009</c:v>
                </c:pt>
                <c:pt idx="56">
                  <c:v>-5.4743999999999993</c:v>
                </c:pt>
                <c:pt idx="57">
                  <c:v>-5.0119000000000007</c:v>
                </c:pt>
                <c:pt idx="58">
                  <c:v>-5.702399999999999</c:v>
                </c:pt>
                <c:pt idx="59">
                  <c:v>-7.7424999999999997</c:v>
                </c:pt>
                <c:pt idx="60">
                  <c:v>-6.9262000000000006</c:v>
                </c:pt>
                <c:pt idx="61">
                  <c:v>-5.8449</c:v>
                </c:pt>
                <c:pt idx="62">
                  <c:v>-15.336100000000002</c:v>
                </c:pt>
                <c:pt idx="63">
                  <c:v>-13.962100000000001</c:v>
                </c:pt>
                <c:pt idx="64">
                  <c:v>-11.261799999999999</c:v>
                </c:pt>
                <c:pt idx="65">
                  <c:v>-8.4783000000000008</c:v>
                </c:pt>
                <c:pt idx="66">
                  <c:v>-16.393900000000002</c:v>
                </c:pt>
                <c:pt idx="67">
                  <c:v>-3.9433999999999996</c:v>
                </c:pt>
                <c:pt idx="68">
                  <c:v>-6.1844999999999999</c:v>
                </c:pt>
                <c:pt idx="69">
                  <c:v>-4.6010999999999989</c:v>
                </c:pt>
                <c:pt idx="70">
                  <c:v>-1.2485999999999997</c:v>
                </c:pt>
                <c:pt idx="71">
                  <c:v>-2.9685000000000006</c:v>
                </c:pt>
                <c:pt idx="72">
                  <c:v>-4.1280000000000001</c:v>
                </c:pt>
                <c:pt idx="73">
                  <c:v>-4.8618999999999986</c:v>
                </c:pt>
                <c:pt idx="74">
                  <c:v>-4.5299999999999976</c:v>
                </c:pt>
                <c:pt idx="75">
                  <c:v>-1.5859999999999985</c:v>
                </c:pt>
                <c:pt idx="76">
                  <c:v>-1.3070000000000022</c:v>
                </c:pt>
                <c:pt idx="77">
                  <c:v>-2.0240000000000009</c:v>
                </c:pt>
                <c:pt idx="78">
                  <c:v>-1.6559999999999988</c:v>
                </c:pt>
                <c:pt idx="79">
                  <c:v>-1.1829999999999998</c:v>
                </c:pt>
                <c:pt idx="80">
                  <c:v>-2.2280000000000015</c:v>
                </c:pt>
              </c:numCache>
            </c:numRef>
          </c:yVal>
          <c:smooth val="0"/>
        </c:ser>
        <c:ser>
          <c:idx val="6"/>
          <c:order val="3"/>
          <c:tx>
            <c:strRef>
              <c:f>'Average data'!$BI$5</c:f>
              <c:strCache>
                <c:ptCount val="1"/>
                <c:pt idx="0">
                  <c:v>10-9Rear_HLDiff~..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Ref>
              <c:f>'Average data'!$BI$6:$BI$86</c:f>
              <c:numCache>
                <c:formatCode>General</c:formatCode>
                <c:ptCount val="81"/>
                <c:pt idx="0">
                  <c:v>-11.648000000000003</c:v>
                </c:pt>
                <c:pt idx="1">
                  <c:v>-9.0010999999999974</c:v>
                </c:pt>
                <c:pt idx="2">
                  <c:v>-12.09</c:v>
                </c:pt>
                <c:pt idx="3">
                  <c:v>-12.748000000000001</c:v>
                </c:pt>
                <c:pt idx="4">
                  <c:v>-7.0760000000000005</c:v>
                </c:pt>
                <c:pt idx="5">
                  <c:v>-9.2659999999999982</c:v>
                </c:pt>
                <c:pt idx="6">
                  <c:v>-6.5590000000000046</c:v>
                </c:pt>
                <c:pt idx="7">
                  <c:v>-14.242999999999999</c:v>
                </c:pt>
                <c:pt idx="8">
                  <c:v>-7.2740000000000009</c:v>
                </c:pt>
                <c:pt idx="9">
                  <c:v>-2.2429999999999986</c:v>
                </c:pt>
                <c:pt idx="10">
                  <c:v>-4.8609000000000009</c:v>
                </c:pt>
                <c:pt idx="11">
                  <c:v>-3.5151000000000003</c:v>
                </c:pt>
                <c:pt idx="12">
                  <c:v>-7.4708000000000006</c:v>
                </c:pt>
                <c:pt idx="13">
                  <c:v>-1.4426999999999985</c:v>
                </c:pt>
                <c:pt idx="14">
                  <c:v>-4.0576000000000008</c:v>
                </c:pt>
                <c:pt idx="15">
                  <c:v>-3.9135999999999989</c:v>
                </c:pt>
                <c:pt idx="16">
                  <c:v>-4.1285000000000025</c:v>
                </c:pt>
                <c:pt idx="17">
                  <c:v>-2.1110000000000007</c:v>
                </c:pt>
                <c:pt idx="18">
                  <c:v>-2.1905999999999999</c:v>
                </c:pt>
                <c:pt idx="19">
                  <c:v>-3.9144000000000005</c:v>
                </c:pt>
                <c:pt idx="20">
                  <c:v>-5.0999999999999979</c:v>
                </c:pt>
                <c:pt idx="21">
                  <c:v>-7.3077000000000005</c:v>
                </c:pt>
                <c:pt idx="22">
                  <c:v>-9.2187000000000001</c:v>
                </c:pt>
                <c:pt idx="23">
                  <c:v>-7.1968999999999976</c:v>
                </c:pt>
                <c:pt idx="24">
                  <c:v>-5.7034000000000002</c:v>
                </c:pt>
                <c:pt idx="25">
                  <c:v>-6.9035999999999991</c:v>
                </c:pt>
                <c:pt idx="26">
                  <c:v>-8.3392999999999979</c:v>
                </c:pt>
                <c:pt idx="27">
                  <c:v>-3.6753</c:v>
                </c:pt>
                <c:pt idx="28">
                  <c:v>-9.5237000000000016</c:v>
                </c:pt>
                <c:pt idx="29">
                  <c:v>-1.1481999999999992</c:v>
                </c:pt>
                <c:pt idx="30">
                  <c:v>-4.668099999999999</c:v>
                </c:pt>
                <c:pt idx="31">
                  <c:v>-4.2387999999999995</c:v>
                </c:pt>
                <c:pt idx="32">
                  <c:v>-4.3094000000000001</c:v>
                </c:pt>
                <c:pt idx="33">
                  <c:v>-4.0042999999999997</c:v>
                </c:pt>
                <c:pt idx="34">
                  <c:v>-4.4283999999999999</c:v>
                </c:pt>
                <c:pt idx="35">
                  <c:v>-3.4558999999999997</c:v>
                </c:pt>
                <c:pt idx="36">
                  <c:v>-3.1228000000000007</c:v>
                </c:pt>
                <c:pt idx="37">
                  <c:v>-2.8228999999999997</c:v>
                </c:pt>
                <c:pt idx="38">
                  <c:v>-2.3382000000000005</c:v>
                </c:pt>
                <c:pt idx="39">
                  <c:v>-2.0689999999999991</c:v>
                </c:pt>
                <c:pt idx="40">
                  <c:v>-1.6125999999999996</c:v>
                </c:pt>
                <c:pt idx="41">
                  <c:v>-1.019000000000001</c:v>
                </c:pt>
                <c:pt idx="42">
                  <c:v>-0.83680000000000021</c:v>
                </c:pt>
                <c:pt idx="43">
                  <c:v>-0.83879999999999999</c:v>
                </c:pt>
                <c:pt idx="44">
                  <c:v>-0.75370000000000115</c:v>
                </c:pt>
                <c:pt idx="45">
                  <c:v>-1.9389999999999992</c:v>
                </c:pt>
                <c:pt idx="46">
                  <c:v>-1.008700000000001</c:v>
                </c:pt>
                <c:pt idx="47">
                  <c:v>-0.32149999999999945</c:v>
                </c:pt>
                <c:pt idx="48">
                  <c:v>-0.63200000000000056</c:v>
                </c:pt>
                <c:pt idx="49">
                  <c:v>-1.3102</c:v>
                </c:pt>
                <c:pt idx="50">
                  <c:v>-1.5986000000000002</c:v>
                </c:pt>
                <c:pt idx="51">
                  <c:v>-1.3356999999999992</c:v>
                </c:pt>
                <c:pt idx="52">
                  <c:v>-1.5276999999999994</c:v>
                </c:pt>
                <c:pt idx="53">
                  <c:v>-4.541500000000001</c:v>
                </c:pt>
                <c:pt idx="54">
                  <c:v>-2.7501999999999995</c:v>
                </c:pt>
                <c:pt idx="55">
                  <c:v>-4.8943999999999992</c:v>
                </c:pt>
                <c:pt idx="56">
                  <c:v>-5.9038000000000004</c:v>
                </c:pt>
                <c:pt idx="57">
                  <c:v>-2.1476999999999986</c:v>
                </c:pt>
                <c:pt idx="58">
                  <c:v>-1.5887999999999991</c:v>
                </c:pt>
                <c:pt idx="59">
                  <c:v>-2.164299999999999</c:v>
                </c:pt>
                <c:pt idx="60">
                  <c:v>-1.4081000000000001</c:v>
                </c:pt>
                <c:pt idx="61">
                  <c:v>-1.2423999999999999</c:v>
                </c:pt>
                <c:pt idx="62">
                  <c:v>-2.9859999999999998</c:v>
                </c:pt>
                <c:pt idx="63">
                  <c:v>-4.329600000000001</c:v>
                </c:pt>
                <c:pt idx="64">
                  <c:v>-2.4051000000000009</c:v>
                </c:pt>
                <c:pt idx="65">
                  <c:v>-14.0025</c:v>
                </c:pt>
                <c:pt idx="66">
                  <c:v>-9.0518000000000001</c:v>
                </c:pt>
                <c:pt idx="67">
                  <c:v>-6.7271999999999981</c:v>
                </c:pt>
                <c:pt idx="68">
                  <c:v>-3.5709999999999997</c:v>
                </c:pt>
                <c:pt idx="69">
                  <c:v>-4.6610000000000014</c:v>
                </c:pt>
                <c:pt idx="70">
                  <c:v>-7.2838999999999992</c:v>
                </c:pt>
                <c:pt idx="71">
                  <c:v>-3.2467999999999986</c:v>
                </c:pt>
                <c:pt idx="72">
                  <c:v>-4.1334</c:v>
                </c:pt>
                <c:pt idx="73">
                  <c:v>-6.8136999999999972</c:v>
                </c:pt>
                <c:pt idx="74">
                  <c:v>-2.8580000000000041</c:v>
                </c:pt>
                <c:pt idx="75">
                  <c:v>-3.597999999999999</c:v>
                </c:pt>
                <c:pt idx="76">
                  <c:v>-3.0579999999999998</c:v>
                </c:pt>
                <c:pt idx="77">
                  <c:v>-2.7040000000000006</c:v>
                </c:pt>
                <c:pt idx="78">
                  <c:v>-1.8840000000000003</c:v>
                </c:pt>
                <c:pt idx="79">
                  <c:v>-1.7779999999999987</c:v>
                </c:pt>
                <c:pt idx="80">
                  <c:v>-0.84900000000000375</c:v>
                </c:pt>
              </c:numCache>
            </c:numRef>
          </c:yVal>
          <c:smooth val="0"/>
        </c:ser>
        <c:ser>
          <c:idx val="7"/>
          <c:order val="4"/>
          <c:tx>
            <c:strRef>
              <c:f>'Average data'!$BJ$5</c:f>
              <c:strCache>
                <c:ptCount val="1"/>
                <c:pt idx="0">
                  <c:v>10-9Rear_HRDiff~..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Ref>
              <c:f>'Average data'!$BJ$6:$BJ$86</c:f>
              <c:numCache>
                <c:formatCode>General</c:formatCode>
                <c:ptCount val="81"/>
                <c:pt idx="0">
                  <c:v>-3.8411000000000008</c:v>
                </c:pt>
                <c:pt idx="1">
                  <c:v>-3.9175000000000004</c:v>
                </c:pt>
                <c:pt idx="2">
                  <c:v>-3.7979999999999947</c:v>
                </c:pt>
                <c:pt idx="3">
                  <c:v>-7.1579999999999977</c:v>
                </c:pt>
                <c:pt idx="4">
                  <c:v>-7.402000000000001</c:v>
                </c:pt>
                <c:pt idx="5">
                  <c:v>-14.033999999999999</c:v>
                </c:pt>
                <c:pt idx="6">
                  <c:v>-8.6350000000000051</c:v>
                </c:pt>
                <c:pt idx="7">
                  <c:v>-9.0399999999999991</c:v>
                </c:pt>
                <c:pt idx="8">
                  <c:v>-10.443000000000001</c:v>
                </c:pt>
                <c:pt idx="9">
                  <c:v>-6.0940000000000012</c:v>
                </c:pt>
                <c:pt idx="10">
                  <c:v>-3.6469999999999985</c:v>
                </c:pt>
                <c:pt idx="11">
                  <c:v>-7.3671000000000006</c:v>
                </c:pt>
                <c:pt idx="12">
                  <c:v>-8.3577000000000012</c:v>
                </c:pt>
                <c:pt idx="13">
                  <c:v>-5.5127999999999986</c:v>
                </c:pt>
                <c:pt idx="14">
                  <c:v>-4.8939999999999984</c:v>
                </c:pt>
                <c:pt idx="15">
                  <c:v>-5.2690000000000019</c:v>
                </c:pt>
                <c:pt idx="16">
                  <c:v>-7.5090999999999966</c:v>
                </c:pt>
                <c:pt idx="17">
                  <c:v>-5.7900999999999989</c:v>
                </c:pt>
                <c:pt idx="18">
                  <c:v>-5.7555999999999976</c:v>
                </c:pt>
                <c:pt idx="19">
                  <c:v>-2.0861000000000018</c:v>
                </c:pt>
                <c:pt idx="20">
                  <c:v>-7.177999999999999</c:v>
                </c:pt>
                <c:pt idx="21">
                  <c:v>-8.832399999999998</c:v>
                </c:pt>
                <c:pt idx="22">
                  <c:v>-8.3853999999999989</c:v>
                </c:pt>
                <c:pt idx="23">
                  <c:v>-4.1166999999999998</c:v>
                </c:pt>
                <c:pt idx="24">
                  <c:v>-5.2676999999999996</c:v>
                </c:pt>
                <c:pt idx="25">
                  <c:v>-2.6907999999999994</c:v>
                </c:pt>
                <c:pt idx="26">
                  <c:v>-2.8815999999999988</c:v>
                </c:pt>
                <c:pt idx="27">
                  <c:v>-2.4494000000000007</c:v>
                </c:pt>
                <c:pt idx="28">
                  <c:v>-4.4420999999999999</c:v>
                </c:pt>
                <c:pt idx="29">
                  <c:v>-3.3205</c:v>
                </c:pt>
                <c:pt idx="30">
                  <c:v>-3.4101000000000008</c:v>
                </c:pt>
                <c:pt idx="31">
                  <c:v>-3.0519999999999996</c:v>
                </c:pt>
                <c:pt idx="32">
                  <c:v>-4.0592999999999995</c:v>
                </c:pt>
                <c:pt idx="33">
                  <c:v>-4.1548999999999996</c:v>
                </c:pt>
                <c:pt idx="34">
                  <c:v>-4.4357999999999995</c:v>
                </c:pt>
                <c:pt idx="35">
                  <c:v>-3.0864000000000011</c:v>
                </c:pt>
                <c:pt idx="36">
                  <c:v>-3.1878000000000011</c:v>
                </c:pt>
                <c:pt idx="37">
                  <c:v>-2.0720999999999998</c:v>
                </c:pt>
                <c:pt idx="38">
                  <c:v>-1.6258999999999988</c:v>
                </c:pt>
                <c:pt idx="39">
                  <c:v>-1.0686</c:v>
                </c:pt>
                <c:pt idx="40">
                  <c:v>-1.1870000000000003</c:v>
                </c:pt>
                <c:pt idx="41">
                  <c:v>-1.4108999999999998</c:v>
                </c:pt>
                <c:pt idx="42">
                  <c:v>-1.4828999999999999</c:v>
                </c:pt>
                <c:pt idx="43">
                  <c:v>-1.4397000000000002</c:v>
                </c:pt>
                <c:pt idx="44">
                  <c:v>-1.6108000000000002</c:v>
                </c:pt>
                <c:pt idx="45">
                  <c:v>-1.7267000000000001</c:v>
                </c:pt>
                <c:pt idx="46">
                  <c:v>-1.4775</c:v>
                </c:pt>
                <c:pt idx="47">
                  <c:v>-0.76500000000000057</c:v>
                </c:pt>
                <c:pt idx="48">
                  <c:v>-1.4455</c:v>
                </c:pt>
                <c:pt idx="49">
                  <c:v>-2.4844999999999997</c:v>
                </c:pt>
                <c:pt idx="50">
                  <c:v>-2.0950000000000006</c:v>
                </c:pt>
                <c:pt idx="51">
                  <c:v>-1.5159000000000002</c:v>
                </c:pt>
                <c:pt idx="52">
                  <c:v>-2.7224000000000004</c:v>
                </c:pt>
                <c:pt idx="53">
                  <c:v>-5.6658000000000008</c:v>
                </c:pt>
                <c:pt idx="54">
                  <c:v>-4.4634999999999998</c:v>
                </c:pt>
                <c:pt idx="55">
                  <c:v>-6.2393000000000018</c:v>
                </c:pt>
                <c:pt idx="56">
                  <c:v>-2.9147999999999996</c:v>
                </c:pt>
                <c:pt idx="57">
                  <c:v>-1.5538999999999987</c:v>
                </c:pt>
                <c:pt idx="58">
                  <c:v>-2.0390999999999995</c:v>
                </c:pt>
                <c:pt idx="59">
                  <c:v>-2.8991999999999996</c:v>
                </c:pt>
                <c:pt idx="60">
                  <c:v>-2.6432000000000002</c:v>
                </c:pt>
                <c:pt idx="61">
                  <c:v>-1.6405000000000003</c:v>
                </c:pt>
                <c:pt idx="62">
                  <c:v>-2.7981999999999996</c:v>
                </c:pt>
                <c:pt idx="63">
                  <c:v>-5.4657</c:v>
                </c:pt>
                <c:pt idx="64">
                  <c:v>-1.5035999999999987</c:v>
                </c:pt>
                <c:pt idx="65">
                  <c:v>-11.6419</c:v>
                </c:pt>
                <c:pt idx="66">
                  <c:v>-6.9225999999999992</c:v>
                </c:pt>
                <c:pt idx="67">
                  <c:v>-8.4262999999999977</c:v>
                </c:pt>
                <c:pt idx="68">
                  <c:v>-4.3593000000000011</c:v>
                </c:pt>
                <c:pt idx="69">
                  <c:v>-5.5005999999999986</c:v>
                </c:pt>
                <c:pt idx="70">
                  <c:v>-6.127600000000001</c:v>
                </c:pt>
                <c:pt idx="71">
                  <c:v>-2.4954999999999998</c:v>
                </c:pt>
                <c:pt idx="72">
                  <c:v>-5.2881999999999998</c:v>
                </c:pt>
                <c:pt idx="73">
                  <c:v>-6.8289999999999971</c:v>
                </c:pt>
                <c:pt idx="74">
                  <c:v>-2.9050000000000011</c:v>
                </c:pt>
                <c:pt idx="75">
                  <c:v>-3.3410000000000011</c:v>
                </c:pt>
                <c:pt idx="76">
                  <c:v>-2.5169999999999959</c:v>
                </c:pt>
                <c:pt idx="77">
                  <c:v>-2.2060000000000031</c:v>
                </c:pt>
                <c:pt idx="78">
                  <c:v>-2.4089999999999989</c:v>
                </c:pt>
                <c:pt idx="79">
                  <c:v>-1.5390000000000015</c:v>
                </c:pt>
                <c:pt idx="80">
                  <c:v>-0.80799999999999983</c:v>
                </c:pt>
              </c:numCache>
            </c:numRef>
          </c:yVal>
          <c:smooth val="0"/>
        </c:ser>
        <c:ser>
          <c:idx val="8"/>
          <c:order val="5"/>
          <c:tx>
            <c:strRef>
              <c:f>'Average data'!$BK$5</c:f>
              <c:strCache>
                <c:ptCount val="1"/>
                <c:pt idx="0">
                  <c:v>10-9Rear_LDiff~..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81"/>
              <c:pt idx="0">
                <c:v>100</c:v>
              </c:pt>
              <c:pt idx="1">
                <c:v>106</c:v>
              </c:pt>
              <c:pt idx="2">
                <c:v>112</c:v>
              </c:pt>
              <c:pt idx="3">
                <c:v>118</c:v>
              </c:pt>
              <c:pt idx="4">
                <c:v>125</c:v>
              </c:pt>
              <c:pt idx="5">
                <c:v>132</c:v>
              </c:pt>
              <c:pt idx="6">
                <c:v>140</c:v>
              </c:pt>
              <c:pt idx="7">
                <c:v>150</c:v>
              </c:pt>
              <c:pt idx="8">
                <c:v>160</c:v>
              </c:pt>
              <c:pt idx="9">
                <c:v>170</c:v>
              </c:pt>
              <c:pt idx="10">
                <c:v>180</c:v>
              </c:pt>
              <c:pt idx="11">
                <c:v>190</c:v>
              </c:pt>
              <c:pt idx="12">
                <c:v>200</c:v>
              </c:pt>
              <c:pt idx="13">
                <c:v>212</c:v>
              </c:pt>
              <c:pt idx="14">
                <c:v>224</c:v>
              </c:pt>
              <c:pt idx="15">
                <c:v>236</c:v>
              </c:pt>
              <c:pt idx="16">
                <c:v>250</c:v>
              </c:pt>
              <c:pt idx="17">
                <c:v>265</c:v>
              </c:pt>
              <c:pt idx="18">
                <c:v>280</c:v>
              </c:pt>
              <c:pt idx="19">
                <c:v>300</c:v>
              </c:pt>
              <c:pt idx="20">
                <c:v>315</c:v>
              </c:pt>
              <c:pt idx="21">
                <c:v>335</c:v>
              </c:pt>
              <c:pt idx="22">
                <c:v>355</c:v>
              </c:pt>
              <c:pt idx="23">
                <c:v>375</c:v>
              </c:pt>
              <c:pt idx="24">
                <c:v>400</c:v>
              </c:pt>
              <c:pt idx="25">
                <c:v>425</c:v>
              </c:pt>
              <c:pt idx="26">
                <c:v>450</c:v>
              </c:pt>
              <c:pt idx="27">
                <c:v>475</c:v>
              </c:pt>
              <c:pt idx="28">
                <c:v>500</c:v>
              </c:pt>
              <c:pt idx="29">
                <c:v>530</c:v>
              </c:pt>
              <c:pt idx="30">
                <c:v>560</c:v>
              </c:pt>
              <c:pt idx="31">
                <c:v>600</c:v>
              </c:pt>
              <c:pt idx="32">
                <c:v>630</c:v>
              </c:pt>
              <c:pt idx="33">
                <c:v>670</c:v>
              </c:pt>
              <c:pt idx="34">
                <c:v>710</c:v>
              </c:pt>
              <c:pt idx="35">
                <c:v>750</c:v>
              </c:pt>
              <c:pt idx="36">
                <c:v>800</c:v>
              </c:pt>
              <c:pt idx="37">
                <c:v>850</c:v>
              </c:pt>
              <c:pt idx="38">
                <c:v>900</c:v>
              </c:pt>
              <c:pt idx="39">
                <c:v>950</c:v>
              </c:pt>
              <c:pt idx="40">
                <c:v>1000</c:v>
              </c:pt>
              <c:pt idx="41">
                <c:v>1060</c:v>
              </c:pt>
              <c:pt idx="42">
                <c:v>1120</c:v>
              </c:pt>
              <c:pt idx="43">
                <c:v>1180</c:v>
              </c:pt>
              <c:pt idx="44">
                <c:v>1250</c:v>
              </c:pt>
              <c:pt idx="45">
                <c:v>1320</c:v>
              </c:pt>
              <c:pt idx="46">
                <c:v>1400</c:v>
              </c:pt>
              <c:pt idx="47">
                <c:v>1500</c:v>
              </c:pt>
              <c:pt idx="48">
                <c:v>1600</c:v>
              </c:pt>
              <c:pt idx="49">
                <c:v>1700</c:v>
              </c:pt>
              <c:pt idx="50">
                <c:v>1800</c:v>
              </c:pt>
              <c:pt idx="51">
                <c:v>1900</c:v>
              </c:pt>
              <c:pt idx="52">
                <c:v>2000</c:v>
              </c:pt>
              <c:pt idx="53">
                <c:v>2120</c:v>
              </c:pt>
              <c:pt idx="54">
                <c:v>2240</c:v>
              </c:pt>
              <c:pt idx="55">
                <c:v>2360</c:v>
              </c:pt>
              <c:pt idx="56">
                <c:v>2500</c:v>
              </c:pt>
              <c:pt idx="57">
                <c:v>2650</c:v>
              </c:pt>
              <c:pt idx="58">
                <c:v>2800</c:v>
              </c:pt>
              <c:pt idx="59">
                <c:v>3000</c:v>
              </c:pt>
              <c:pt idx="60">
                <c:v>3150</c:v>
              </c:pt>
              <c:pt idx="61">
                <c:v>3350</c:v>
              </c:pt>
              <c:pt idx="62">
                <c:v>3550</c:v>
              </c:pt>
              <c:pt idx="63">
                <c:v>3750</c:v>
              </c:pt>
              <c:pt idx="64">
                <c:v>4000</c:v>
              </c:pt>
              <c:pt idx="65">
                <c:v>4250</c:v>
              </c:pt>
              <c:pt idx="66">
                <c:v>4500</c:v>
              </c:pt>
              <c:pt idx="67">
                <c:v>4750</c:v>
              </c:pt>
              <c:pt idx="68">
                <c:v>5000</c:v>
              </c:pt>
              <c:pt idx="69">
                <c:v>5300</c:v>
              </c:pt>
              <c:pt idx="70">
                <c:v>5600</c:v>
              </c:pt>
              <c:pt idx="71">
                <c:v>6000</c:v>
              </c:pt>
              <c:pt idx="72">
                <c:v>6300</c:v>
              </c:pt>
              <c:pt idx="73">
                <c:v>6700</c:v>
              </c:pt>
              <c:pt idx="74">
                <c:v>7100</c:v>
              </c:pt>
              <c:pt idx="75">
                <c:v>7500</c:v>
              </c:pt>
              <c:pt idx="76">
                <c:v>8000</c:v>
              </c:pt>
              <c:pt idx="77">
                <c:v>8500</c:v>
              </c:pt>
              <c:pt idx="78">
                <c:v>9000</c:v>
              </c:pt>
              <c:pt idx="79">
                <c:v>9500</c:v>
              </c:pt>
              <c:pt idx="80">
                <c:v>10000</c:v>
              </c:pt>
            </c:numLit>
          </c:xVal>
          <c:yVal>
            <c:numRef>
              <c:f>'Average data'!$BK$6:$BK$86</c:f>
              <c:numCache>
                <c:formatCode>General</c:formatCode>
                <c:ptCount val="81"/>
                <c:pt idx="0">
                  <c:v>-5.5489999999999995</c:v>
                </c:pt>
                <c:pt idx="1">
                  <c:v>-6.7040000000000006</c:v>
                </c:pt>
                <c:pt idx="2">
                  <c:v>-6.6379999999999981</c:v>
                </c:pt>
                <c:pt idx="3">
                  <c:v>-10.291000000000004</c:v>
                </c:pt>
                <c:pt idx="4">
                  <c:v>-5.7149999999999963</c:v>
                </c:pt>
                <c:pt idx="5">
                  <c:v>-5.0559999999999974</c:v>
                </c:pt>
                <c:pt idx="6">
                  <c:v>-3.7620000000000005</c:v>
                </c:pt>
                <c:pt idx="7">
                  <c:v>-6.9390000000000001</c:v>
                </c:pt>
                <c:pt idx="8">
                  <c:v>-5.5790000000000006</c:v>
                </c:pt>
                <c:pt idx="9">
                  <c:v>-9.5450000000000017</c:v>
                </c:pt>
                <c:pt idx="10">
                  <c:v>-6.3359999999999985</c:v>
                </c:pt>
                <c:pt idx="11">
                  <c:v>-3.2249999999999979</c:v>
                </c:pt>
                <c:pt idx="12">
                  <c:v>-2.066399999999998</c:v>
                </c:pt>
                <c:pt idx="13">
                  <c:v>-1.5079999999999991</c:v>
                </c:pt>
                <c:pt idx="14">
                  <c:v>-7.4879999999999995</c:v>
                </c:pt>
                <c:pt idx="15">
                  <c:v>-5.2970000000000041</c:v>
                </c:pt>
                <c:pt idx="16">
                  <c:v>-6.4029999999999987</c:v>
                </c:pt>
                <c:pt idx="17">
                  <c:v>-7.3030000000000008</c:v>
                </c:pt>
                <c:pt idx="18">
                  <c:v>-4.6844000000000001</c:v>
                </c:pt>
                <c:pt idx="19">
                  <c:v>-12.112099999999998</c:v>
                </c:pt>
                <c:pt idx="20">
                  <c:v>-5.8178999999999981</c:v>
                </c:pt>
                <c:pt idx="21">
                  <c:v>-9.4128000000000007</c:v>
                </c:pt>
                <c:pt idx="22">
                  <c:v>-8.9803999999999995</c:v>
                </c:pt>
                <c:pt idx="23">
                  <c:v>-6.6195999999999984</c:v>
                </c:pt>
                <c:pt idx="24">
                  <c:v>-8.3582999999999998</c:v>
                </c:pt>
                <c:pt idx="25">
                  <c:v>-6.0393999999999988</c:v>
                </c:pt>
                <c:pt idx="26">
                  <c:v>-8.3577000000000012</c:v>
                </c:pt>
                <c:pt idx="27">
                  <c:v>-7.9681000000000015</c:v>
                </c:pt>
                <c:pt idx="28">
                  <c:v>-9.3978999999999999</c:v>
                </c:pt>
                <c:pt idx="29">
                  <c:v>-6.8976000000000006</c:v>
                </c:pt>
                <c:pt idx="30">
                  <c:v>-5.3445999999999998</c:v>
                </c:pt>
                <c:pt idx="31">
                  <c:v>-3.0208999999999993</c:v>
                </c:pt>
                <c:pt idx="32">
                  <c:v>-4.0931999999999995</c:v>
                </c:pt>
                <c:pt idx="33">
                  <c:v>-3.3061000000000007</c:v>
                </c:pt>
                <c:pt idx="34">
                  <c:v>-3.7885999999999997</c:v>
                </c:pt>
                <c:pt idx="35">
                  <c:v>-3.4353999999999996</c:v>
                </c:pt>
                <c:pt idx="36">
                  <c:v>-2.7846999999999991</c:v>
                </c:pt>
                <c:pt idx="37">
                  <c:v>-2.7727999999999993</c:v>
                </c:pt>
                <c:pt idx="38">
                  <c:v>-1.7378</c:v>
                </c:pt>
                <c:pt idx="39">
                  <c:v>-1.1292999999999997</c:v>
                </c:pt>
                <c:pt idx="40">
                  <c:v>-0.93439999999999923</c:v>
                </c:pt>
                <c:pt idx="41">
                  <c:v>-1.226</c:v>
                </c:pt>
                <c:pt idx="42">
                  <c:v>-0.54060000000000041</c:v>
                </c:pt>
                <c:pt idx="43">
                  <c:v>-0.45560000000000045</c:v>
                </c:pt>
                <c:pt idx="44">
                  <c:v>-0.60239999999999938</c:v>
                </c:pt>
                <c:pt idx="45">
                  <c:v>-1.2157999999999998</c:v>
                </c:pt>
                <c:pt idx="46">
                  <c:v>-1.2230000000000008</c:v>
                </c:pt>
                <c:pt idx="47">
                  <c:v>-0.45859999999999879</c:v>
                </c:pt>
                <c:pt idx="48">
                  <c:v>-1.0454000000000008</c:v>
                </c:pt>
                <c:pt idx="49">
                  <c:v>-2.4501999999999997</c:v>
                </c:pt>
                <c:pt idx="50">
                  <c:v>-1.8754000000000008</c:v>
                </c:pt>
                <c:pt idx="51">
                  <c:v>-1.5281000000000002</c:v>
                </c:pt>
                <c:pt idx="52">
                  <c:v>-2.1529999999999987</c:v>
                </c:pt>
                <c:pt idx="53">
                  <c:v>-6.2226999999999997</c:v>
                </c:pt>
                <c:pt idx="54">
                  <c:v>-5.5890000000000004</c:v>
                </c:pt>
                <c:pt idx="55">
                  <c:v>-1.4774999999999991</c:v>
                </c:pt>
                <c:pt idx="56">
                  <c:v>-1.791599999999999</c:v>
                </c:pt>
                <c:pt idx="57">
                  <c:v>-1.4843999999999991</c:v>
                </c:pt>
                <c:pt idx="58">
                  <c:v>-1.4538000000000002</c:v>
                </c:pt>
                <c:pt idx="59">
                  <c:v>-2.2599999999999998</c:v>
                </c:pt>
                <c:pt idx="60">
                  <c:v>-1.7534000000000001</c:v>
                </c:pt>
                <c:pt idx="61">
                  <c:v>-1.7294999999999998</c:v>
                </c:pt>
                <c:pt idx="62">
                  <c:v>-3.9002999999999997</c:v>
                </c:pt>
                <c:pt idx="63">
                  <c:v>-6.8049999999999979</c:v>
                </c:pt>
                <c:pt idx="64">
                  <c:v>-3.7618000000000009</c:v>
                </c:pt>
                <c:pt idx="65">
                  <c:v>-17.411499999999997</c:v>
                </c:pt>
                <c:pt idx="66">
                  <c:v>-11.160300000000001</c:v>
                </c:pt>
                <c:pt idx="67">
                  <c:v>-9.0998999999999999</c:v>
                </c:pt>
                <c:pt idx="68">
                  <c:v>-11.208800000000002</c:v>
                </c:pt>
                <c:pt idx="69">
                  <c:v>-6.2297000000000011</c:v>
                </c:pt>
                <c:pt idx="70">
                  <c:v>-9.1820999999999984</c:v>
                </c:pt>
                <c:pt idx="71">
                  <c:v>-1.8239000000000019</c:v>
                </c:pt>
                <c:pt idx="72">
                  <c:v>-4.7535999999999987</c:v>
                </c:pt>
                <c:pt idx="73">
                  <c:v>-6.3028999999999975</c:v>
                </c:pt>
                <c:pt idx="74">
                  <c:v>-2.3109999999999999</c:v>
                </c:pt>
                <c:pt idx="75">
                  <c:v>-2.2629999999999981</c:v>
                </c:pt>
                <c:pt idx="76">
                  <c:v>-1.9470000000000027</c:v>
                </c:pt>
                <c:pt idx="77">
                  <c:v>-2.3260000000000005</c:v>
                </c:pt>
                <c:pt idx="78">
                  <c:v>-2.2539999999999978</c:v>
                </c:pt>
                <c:pt idx="79">
                  <c:v>-1.6869999999999976</c:v>
                </c:pt>
                <c:pt idx="80">
                  <c:v>-2.3670000000000044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17472"/>
        <c:axId val="476017864"/>
      </c:scatterChart>
      <c:valAx>
        <c:axId val="476017472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6789047822"/>
              <c:y val="0.93074316759356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017864"/>
        <c:crosses val="autoZero"/>
        <c:crossBetween val="midCat"/>
      </c:valAx>
      <c:valAx>
        <c:axId val="476017864"/>
        <c:scaling>
          <c:orientation val="minMax"/>
          <c:max val="30"/>
          <c:min val="-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5032743688E-2"/>
              <c:y val="0.46283794945212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017472"/>
        <c:crosses val="autoZero"/>
        <c:crossBetween val="midCat"/>
        <c:majorUnit val="10"/>
        <c:minorUnit val="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3782478373635236E-2"/>
          <c:y val="0.79161132830424175"/>
          <c:w val="0.36988761020257083"/>
          <c:h val="0.198259640621845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OPL Front mic 5 HR Overview for  Delhi80</a:t>
            </a:r>
          </a:p>
        </c:rich>
      </c:tx>
      <c:layout>
        <c:manualLayout>
          <c:xMode val="edge"/>
          <c:yMode val="edge"/>
          <c:x val="0.20420719805890497"/>
          <c:y val="4.1521840930769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0.14864864864864866"/>
          <c:w val="0.9015544041450777"/>
          <c:h val="0.74155405405405461"/>
        </c:manualLayout>
      </c:layout>
      <c:scatterChart>
        <c:scatterStyle val="lineMarker"/>
        <c:varyColors val="0"/>
        <c:ser>
          <c:idx val="1"/>
          <c:order val="0"/>
          <c:tx>
            <c:strRef>
              <c:f>'Data #5'!$D$5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#5'!$D$6:$D$86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8"/>
          <c:order val="1"/>
          <c:tx>
            <c:strRef>
              <c:f>'Data #1'!$D$5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#1'!$D$6:$D$86</c:f>
              <c:numCache>
                <c:formatCode>General</c:formatCode>
                <c:ptCount val="81"/>
                <c:pt idx="0">
                  <c:v>-58.13</c:v>
                </c:pt>
                <c:pt idx="1">
                  <c:v>-60.04</c:v>
                </c:pt>
                <c:pt idx="2">
                  <c:v>-61.99</c:v>
                </c:pt>
                <c:pt idx="3">
                  <c:v>-67.73</c:v>
                </c:pt>
                <c:pt idx="4">
                  <c:v>-56.97</c:v>
                </c:pt>
                <c:pt idx="5">
                  <c:v>-57.18</c:v>
                </c:pt>
                <c:pt idx="6">
                  <c:v>-55.94</c:v>
                </c:pt>
                <c:pt idx="7">
                  <c:v>-53.38</c:v>
                </c:pt>
                <c:pt idx="8">
                  <c:v>-73.290000000000006</c:v>
                </c:pt>
                <c:pt idx="9">
                  <c:v>-68.66</c:v>
                </c:pt>
                <c:pt idx="10">
                  <c:v>-61.21</c:v>
                </c:pt>
                <c:pt idx="11">
                  <c:v>-54.28</c:v>
                </c:pt>
                <c:pt idx="12">
                  <c:v>-53.6</c:v>
                </c:pt>
                <c:pt idx="13">
                  <c:v>-58.96</c:v>
                </c:pt>
                <c:pt idx="14">
                  <c:v>-64.92</c:v>
                </c:pt>
                <c:pt idx="15">
                  <c:v>-53.57</c:v>
                </c:pt>
                <c:pt idx="16">
                  <c:v>-50.55</c:v>
                </c:pt>
                <c:pt idx="17">
                  <c:v>-51.2</c:v>
                </c:pt>
                <c:pt idx="18">
                  <c:v>-47.95</c:v>
                </c:pt>
                <c:pt idx="19">
                  <c:v>-49.5</c:v>
                </c:pt>
                <c:pt idx="20">
                  <c:v>-46.95</c:v>
                </c:pt>
                <c:pt idx="21">
                  <c:v>-53.73</c:v>
                </c:pt>
                <c:pt idx="22">
                  <c:v>-47.95</c:v>
                </c:pt>
                <c:pt idx="23">
                  <c:v>-47.8</c:v>
                </c:pt>
                <c:pt idx="24">
                  <c:v>-44.38</c:v>
                </c:pt>
                <c:pt idx="25">
                  <c:v>-41.62</c:v>
                </c:pt>
                <c:pt idx="26">
                  <c:v>-43.27</c:v>
                </c:pt>
                <c:pt idx="27">
                  <c:v>-45.28</c:v>
                </c:pt>
                <c:pt idx="28">
                  <c:v>-45.4</c:v>
                </c:pt>
                <c:pt idx="29">
                  <c:v>-42.59</c:v>
                </c:pt>
                <c:pt idx="30">
                  <c:v>-42.9</c:v>
                </c:pt>
                <c:pt idx="31">
                  <c:v>-44.31</c:v>
                </c:pt>
                <c:pt idx="32">
                  <c:v>-47.63</c:v>
                </c:pt>
                <c:pt idx="33">
                  <c:v>-43.65</c:v>
                </c:pt>
                <c:pt idx="34">
                  <c:v>-41.49</c:v>
                </c:pt>
                <c:pt idx="35">
                  <c:v>-40.450000000000003</c:v>
                </c:pt>
                <c:pt idx="36">
                  <c:v>-40.33</c:v>
                </c:pt>
                <c:pt idx="37">
                  <c:v>-39.799999999999997</c:v>
                </c:pt>
                <c:pt idx="38">
                  <c:v>-39.47</c:v>
                </c:pt>
                <c:pt idx="39">
                  <c:v>-41</c:v>
                </c:pt>
                <c:pt idx="40">
                  <c:v>-44.44</c:v>
                </c:pt>
                <c:pt idx="41">
                  <c:v>-46.04</c:v>
                </c:pt>
                <c:pt idx="42">
                  <c:v>-47.12</c:v>
                </c:pt>
                <c:pt idx="43">
                  <c:v>-55.93</c:v>
                </c:pt>
                <c:pt idx="44">
                  <c:v>-49</c:v>
                </c:pt>
                <c:pt idx="45">
                  <c:v>-47.73</c:v>
                </c:pt>
                <c:pt idx="46">
                  <c:v>-57.51</c:v>
                </c:pt>
                <c:pt idx="47">
                  <c:v>-54.04</c:v>
                </c:pt>
                <c:pt idx="48">
                  <c:v>-50.75</c:v>
                </c:pt>
                <c:pt idx="49">
                  <c:v>-46.07</c:v>
                </c:pt>
                <c:pt idx="50">
                  <c:v>-43.3</c:v>
                </c:pt>
                <c:pt idx="51">
                  <c:v>-42.64</c:v>
                </c:pt>
                <c:pt idx="52">
                  <c:v>-37.72</c:v>
                </c:pt>
                <c:pt idx="53">
                  <c:v>-31.63</c:v>
                </c:pt>
                <c:pt idx="54">
                  <c:v>-26.52</c:v>
                </c:pt>
                <c:pt idx="55">
                  <c:v>-24.77</c:v>
                </c:pt>
                <c:pt idx="56">
                  <c:v>-24.52</c:v>
                </c:pt>
                <c:pt idx="57">
                  <c:v>-23.99</c:v>
                </c:pt>
                <c:pt idx="58">
                  <c:v>-23.16</c:v>
                </c:pt>
                <c:pt idx="59">
                  <c:v>-20.68</c:v>
                </c:pt>
                <c:pt idx="60">
                  <c:v>-17.850000000000001</c:v>
                </c:pt>
                <c:pt idx="61">
                  <c:v>-12.54</c:v>
                </c:pt>
                <c:pt idx="62">
                  <c:v>-7.59</c:v>
                </c:pt>
                <c:pt idx="63">
                  <c:v>-8.2200000000000006</c:v>
                </c:pt>
                <c:pt idx="64">
                  <c:v>-13.43</c:v>
                </c:pt>
                <c:pt idx="65">
                  <c:v>-13.37</c:v>
                </c:pt>
                <c:pt idx="66">
                  <c:v>-13.11</c:v>
                </c:pt>
                <c:pt idx="67">
                  <c:v>-11.02</c:v>
                </c:pt>
                <c:pt idx="68">
                  <c:v>-15.33</c:v>
                </c:pt>
                <c:pt idx="69">
                  <c:v>-20.71</c:v>
                </c:pt>
                <c:pt idx="70">
                  <c:v>-21.19</c:v>
                </c:pt>
                <c:pt idx="71">
                  <c:v>-16.170000000000002</c:v>
                </c:pt>
                <c:pt idx="72">
                  <c:v>-23.94</c:v>
                </c:pt>
                <c:pt idx="73">
                  <c:v>-28.04</c:v>
                </c:pt>
                <c:pt idx="74">
                  <c:v>-28.74</c:v>
                </c:pt>
                <c:pt idx="75">
                  <c:v>-74.66</c:v>
                </c:pt>
                <c:pt idx="76">
                  <c:v>-75.599999999999994</c:v>
                </c:pt>
                <c:pt idx="77">
                  <c:v>-75.62</c:v>
                </c:pt>
                <c:pt idx="78">
                  <c:v>-72</c:v>
                </c:pt>
                <c:pt idx="79">
                  <c:v>-72.66</c:v>
                </c:pt>
                <c:pt idx="80">
                  <c:v>-78.2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'Data #2'!$D$5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33CC33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#2'!$D$6:$D$86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2"/>
          <c:order val="3"/>
          <c:tx>
            <c:strRef>
              <c:f>'Data #3'!$D$5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#3'!$D$6:$D$86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9"/>
          <c:order val="4"/>
          <c:tx>
            <c:strRef>
              <c:f>'Data #4'!$D$5</c:f>
              <c:strCache>
                <c:ptCount val="1"/>
                <c:pt idx="0">
                  <c:v>Front_HR1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#4'!$D$6:$D$86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85968"/>
        <c:axId val="476486360"/>
      </c:scatterChart>
      <c:valAx>
        <c:axId val="47648596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3590201601"/>
              <c:y val="0.942567614833908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6360"/>
        <c:crosses val="autoZero"/>
        <c:crossBetween val="midCat"/>
      </c:valAx>
      <c:valAx>
        <c:axId val="476486360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88133583392E-2"/>
              <c:y val="0.467905267220868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5968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7012069218387288E-2"/>
          <c:y val="0.15188962711127899"/>
          <c:w val="0.1316836378337064"/>
          <c:h val="0.295664404266053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OPL Front mic 5 HL Overview for  Delhi80</a:t>
            </a:r>
          </a:p>
        </c:rich>
      </c:tx>
      <c:layout>
        <c:manualLayout>
          <c:xMode val="edge"/>
          <c:yMode val="edge"/>
          <c:x val="0.20153005464480875"/>
          <c:y val="4.3607461155267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0.14864864864864866"/>
          <c:w val="0.9015544041450777"/>
          <c:h val="0.74155405405405461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#5'!$C$5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#5'!$C$6:$C$86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7"/>
          <c:order val="1"/>
          <c:tx>
            <c:strRef>
              <c:f>'Data #1'!$C$5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#1'!$C$6:$C$86</c:f>
              <c:numCache>
                <c:formatCode>General</c:formatCode>
                <c:ptCount val="81"/>
                <c:pt idx="0">
                  <c:v>-54.74</c:v>
                </c:pt>
                <c:pt idx="1">
                  <c:v>-61.16</c:v>
                </c:pt>
                <c:pt idx="2">
                  <c:v>-60.58</c:v>
                </c:pt>
                <c:pt idx="3">
                  <c:v>-63.21</c:v>
                </c:pt>
                <c:pt idx="4">
                  <c:v>-55.86</c:v>
                </c:pt>
                <c:pt idx="5">
                  <c:v>-55.54</c:v>
                </c:pt>
                <c:pt idx="6">
                  <c:v>-59.12</c:v>
                </c:pt>
                <c:pt idx="7">
                  <c:v>-52.06</c:v>
                </c:pt>
                <c:pt idx="8">
                  <c:v>-56.53</c:v>
                </c:pt>
                <c:pt idx="9">
                  <c:v>-64.66</c:v>
                </c:pt>
                <c:pt idx="10">
                  <c:v>-50.72</c:v>
                </c:pt>
                <c:pt idx="11">
                  <c:v>-50.22</c:v>
                </c:pt>
                <c:pt idx="12">
                  <c:v>-63.98</c:v>
                </c:pt>
                <c:pt idx="13">
                  <c:v>-54.42</c:v>
                </c:pt>
                <c:pt idx="14">
                  <c:v>-52.77</c:v>
                </c:pt>
                <c:pt idx="15">
                  <c:v>-58.55</c:v>
                </c:pt>
                <c:pt idx="16">
                  <c:v>-50.86</c:v>
                </c:pt>
                <c:pt idx="17">
                  <c:v>-55.92</c:v>
                </c:pt>
                <c:pt idx="18">
                  <c:v>-52.25</c:v>
                </c:pt>
                <c:pt idx="19">
                  <c:v>-53.26</c:v>
                </c:pt>
                <c:pt idx="20">
                  <c:v>-45.61</c:v>
                </c:pt>
                <c:pt idx="21">
                  <c:v>-47.58</c:v>
                </c:pt>
                <c:pt idx="22">
                  <c:v>-43.99</c:v>
                </c:pt>
                <c:pt idx="23">
                  <c:v>-44.83</c:v>
                </c:pt>
                <c:pt idx="24">
                  <c:v>-41.6</c:v>
                </c:pt>
                <c:pt idx="25">
                  <c:v>-44.2</c:v>
                </c:pt>
                <c:pt idx="26">
                  <c:v>-43.8</c:v>
                </c:pt>
                <c:pt idx="27">
                  <c:v>-43.21</c:v>
                </c:pt>
                <c:pt idx="28">
                  <c:v>-41.39</c:v>
                </c:pt>
                <c:pt idx="29">
                  <c:v>-42.98</c:v>
                </c:pt>
                <c:pt idx="30">
                  <c:v>-45.84</c:v>
                </c:pt>
                <c:pt idx="31">
                  <c:v>-45.67</c:v>
                </c:pt>
                <c:pt idx="32">
                  <c:v>-43.47</c:v>
                </c:pt>
                <c:pt idx="33">
                  <c:v>-46.89</c:v>
                </c:pt>
                <c:pt idx="34">
                  <c:v>-43.04</c:v>
                </c:pt>
                <c:pt idx="35">
                  <c:v>-45.31</c:v>
                </c:pt>
                <c:pt idx="36">
                  <c:v>-44.66</c:v>
                </c:pt>
                <c:pt idx="37">
                  <c:v>-42.01</c:v>
                </c:pt>
                <c:pt idx="38">
                  <c:v>-46.16</c:v>
                </c:pt>
                <c:pt idx="39">
                  <c:v>-49.05</c:v>
                </c:pt>
                <c:pt idx="40">
                  <c:v>-48.19</c:v>
                </c:pt>
                <c:pt idx="41">
                  <c:v>-44.19</c:v>
                </c:pt>
                <c:pt idx="42">
                  <c:v>-44.96</c:v>
                </c:pt>
                <c:pt idx="43">
                  <c:v>-45.02</c:v>
                </c:pt>
                <c:pt idx="44">
                  <c:v>-44.91</c:v>
                </c:pt>
                <c:pt idx="45">
                  <c:v>-41.42</c:v>
                </c:pt>
                <c:pt idx="46">
                  <c:v>-41.7</c:v>
                </c:pt>
                <c:pt idx="47">
                  <c:v>-45.29</c:v>
                </c:pt>
                <c:pt idx="48">
                  <c:v>-47.42</c:v>
                </c:pt>
                <c:pt idx="49">
                  <c:v>-42.57</c:v>
                </c:pt>
                <c:pt idx="50">
                  <c:v>-36.64</c:v>
                </c:pt>
                <c:pt idx="51">
                  <c:v>-32.450000000000003</c:v>
                </c:pt>
                <c:pt idx="52">
                  <c:v>-29.43</c:v>
                </c:pt>
                <c:pt idx="53">
                  <c:v>-26.13</c:v>
                </c:pt>
                <c:pt idx="54">
                  <c:v>-22.81</c:v>
                </c:pt>
                <c:pt idx="55">
                  <c:v>-22.56</c:v>
                </c:pt>
                <c:pt idx="56">
                  <c:v>-24.53</c:v>
                </c:pt>
                <c:pt idx="57">
                  <c:v>-25.17</c:v>
                </c:pt>
                <c:pt idx="58">
                  <c:v>-23.95</c:v>
                </c:pt>
                <c:pt idx="59">
                  <c:v>-21.69</c:v>
                </c:pt>
                <c:pt idx="60">
                  <c:v>-19.5</c:v>
                </c:pt>
                <c:pt idx="61">
                  <c:v>-15.2</c:v>
                </c:pt>
                <c:pt idx="62">
                  <c:v>-10.62</c:v>
                </c:pt>
                <c:pt idx="63">
                  <c:v>-8.08</c:v>
                </c:pt>
                <c:pt idx="64">
                  <c:v>-15.08</c:v>
                </c:pt>
                <c:pt idx="65">
                  <c:v>-16.37</c:v>
                </c:pt>
                <c:pt idx="66">
                  <c:v>-15.27</c:v>
                </c:pt>
                <c:pt idx="67">
                  <c:v>-11.89</c:v>
                </c:pt>
                <c:pt idx="68">
                  <c:v>-16.850000000000001</c:v>
                </c:pt>
                <c:pt idx="69">
                  <c:v>-22.4</c:v>
                </c:pt>
                <c:pt idx="70">
                  <c:v>-24.1</c:v>
                </c:pt>
                <c:pt idx="71">
                  <c:v>-16.72</c:v>
                </c:pt>
                <c:pt idx="72">
                  <c:v>-24.3</c:v>
                </c:pt>
                <c:pt idx="73">
                  <c:v>-28.57</c:v>
                </c:pt>
                <c:pt idx="74">
                  <c:v>-29.29</c:v>
                </c:pt>
                <c:pt idx="75">
                  <c:v>-79.290000000000006</c:v>
                </c:pt>
                <c:pt idx="76">
                  <c:v>-96.35</c:v>
                </c:pt>
                <c:pt idx="77">
                  <c:v>-106.08</c:v>
                </c:pt>
                <c:pt idx="78">
                  <c:v>-103.84</c:v>
                </c:pt>
                <c:pt idx="79">
                  <c:v>-84.23</c:v>
                </c:pt>
                <c:pt idx="80">
                  <c:v>-92.78</c:v>
                </c:pt>
              </c:numCache>
            </c:numRef>
          </c:yVal>
          <c:smooth val="0"/>
        </c:ser>
        <c:ser>
          <c:idx val="14"/>
          <c:order val="2"/>
          <c:tx>
            <c:strRef>
              <c:f>'Data #2'!$C$5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33CC33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#2'!$C$6:$C$86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1"/>
          <c:order val="3"/>
          <c:tx>
            <c:strRef>
              <c:f>'Data #3'!$C$5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#3'!$C$6:$C$86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8"/>
          <c:order val="4"/>
          <c:tx>
            <c:strRef>
              <c:f>'Data #4'!$C$5</c:f>
              <c:strCache>
                <c:ptCount val="1"/>
                <c:pt idx="0">
                  <c:v>Front_HL1</c:v>
                </c:pt>
              </c:strCache>
            </c:strRef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#4'!$C$6:$C$86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87144"/>
        <c:axId val="476487536"/>
      </c:scatterChart>
      <c:valAx>
        <c:axId val="476487144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7170947894"/>
              <c:y val="0.942567563669925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7536"/>
        <c:crosses val="autoZero"/>
        <c:crossBetween val="midCat"/>
      </c:valAx>
      <c:valAx>
        <c:axId val="476487536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43750268922E-2"/>
              <c:y val="0.467905248107722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7144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7012069188072801E-2"/>
          <c:y val="0.15188964016860529"/>
          <c:w val="0.1657875091433243"/>
          <c:h val="0.180803883031104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OPL Front mic 5 L Overview for  Delhi80</a:t>
            </a:r>
          </a:p>
        </c:rich>
      </c:tx>
      <c:layout>
        <c:manualLayout>
          <c:xMode val="edge"/>
          <c:yMode val="edge"/>
          <c:x val="0.17965545802676305"/>
          <c:y val="5.40349489280872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0.14864864864864866"/>
          <c:w val="0.9015544041450777"/>
          <c:h val="0.74155405405405461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 #5'!$E$5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#5'!$E$6:$E$86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9"/>
          <c:order val="1"/>
          <c:tx>
            <c:strRef>
              <c:f>'Data #1'!$E$5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#1'!$E$6:$E$86</c:f>
              <c:numCache>
                <c:formatCode>General</c:formatCode>
                <c:ptCount val="81"/>
                <c:pt idx="0">
                  <c:v>-58.69</c:v>
                </c:pt>
                <c:pt idx="1">
                  <c:v>-57.99</c:v>
                </c:pt>
                <c:pt idx="2">
                  <c:v>-67.12</c:v>
                </c:pt>
                <c:pt idx="3">
                  <c:v>-69.44</c:v>
                </c:pt>
                <c:pt idx="4">
                  <c:v>-60.35</c:v>
                </c:pt>
                <c:pt idx="5">
                  <c:v>-61.22</c:v>
                </c:pt>
                <c:pt idx="6">
                  <c:v>-58.67</c:v>
                </c:pt>
                <c:pt idx="7">
                  <c:v>-56.03</c:v>
                </c:pt>
                <c:pt idx="8">
                  <c:v>-60.79</c:v>
                </c:pt>
                <c:pt idx="9">
                  <c:v>-55.47</c:v>
                </c:pt>
                <c:pt idx="10">
                  <c:v>-51.77</c:v>
                </c:pt>
                <c:pt idx="11">
                  <c:v>-59.56</c:v>
                </c:pt>
                <c:pt idx="12">
                  <c:v>-56.89</c:v>
                </c:pt>
                <c:pt idx="13">
                  <c:v>-51.29</c:v>
                </c:pt>
                <c:pt idx="14">
                  <c:v>-61.91</c:v>
                </c:pt>
                <c:pt idx="15">
                  <c:v>-51.27</c:v>
                </c:pt>
                <c:pt idx="16">
                  <c:v>-48.44</c:v>
                </c:pt>
                <c:pt idx="17">
                  <c:v>-57.68</c:v>
                </c:pt>
                <c:pt idx="18">
                  <c:v>-50</c:v>
                </c:pt>
                <c:pt idx="19">
                  <c:v>-50.61</c:v>
                </c:pt>
                <c:pt idx="20">
                  <c:v>-39.409999999999997</c:v>
                </c:pt>
                <c:pt idx="21">
                  <c:v>-42.19</c:v>
                </c:pt>
                <c:pt idx="22">
                  <c:v>-41.28</c:v>
                </c:pt>
                <c:pt idx="23">
                  <c:v>-38.81</c:v>
                </c:pt>
                <c:pt idx="24">
                  <c:v>-46.51</c:v>
                </c:pt>
                <c:pt idx="25">
                  <c:v>-41.41</c:v>
                </c:pt>
                <c:pt idx="26">
                  <c:v>-44.57</c:v>
                </c:pt>
                <c:pt idx="27">
                  <c:v>-39.869999999999997</c:v>
                </c:pt>
                <c:pt idx="28">
                  <c:v>-40.65</c:v>
                </c:pt>
                <c:pt idx="29">
                  <c:v>-39.46</c:v>
                </c:pt>
                <c:pt idx="30">
                  <c:v>-38.65</c:v>
                </c:pt>
                <c:pt idx="31">
                  <c:v>-40.6</c:v>
                </c:pt>
                <c:pt idx="32">
                  <c:v>-42.46</c:v>
                </c:pt>
                <c:pt idx="33">
                  <c:v>-45.88</c:v>
                </c:pt>
                <c:pt idx="34">
                  <c:v>-45.73</c:v>
                </c:pt>
                <c:pt idx="35">
                  <c:v>-42.91</c:v>
                </c:pt>
                <c:pt idx="36">
                  <c:v>-37.89</c:v>
                </c:pt>
                <c:pt idx="37">
                  <c:v>-38.590000000000003</c:v>
                </c:pt>
                <c:pt idx="38">
                  <c:v>-37.94</c:v>
                </c:pt>
                <c:pt idx="39">
                  <c:v>-36.86</c:v>
                </c:pt>
                <c:pt idx="40">
                  <c:v>-33.200000000000003</c:v>
                </c:pt>
                <c:pt idx="41">
                  <c:v>-31.39</c:v>
                </c:pt>
                <c:pt idx="42">
                  <c:v>-31.86</c:v>
                </c:pt>
                <c:pt idx="43">
                  <c:v>-32.08</c:v>
                </c:pt>
                <c:pt idx="44">
                  <c:v>-32.880000000000003</c:v>
                </c:pt>
                <c:pt idx="45">
                  <c:v>-34</c:v>
                </c:pt>
                <c:pt idx="46">
                  <c:v>-35.33</c:v>
                </c:pt>
                <c:pt idx="47">
                  <c:v>-34.909999999999997</c:v>
                </c:pt>
                <c:pt idx="48">
                  <c:v>-34.57</c:v>
                </c:pt>
                <c:pt idx="49">
                  <c:v>-33.880000000000003</c:v>
                </c:pt>
                <c:pt idx="50">
                  <c:v>-32.57</c:v>
                </c:pt>
                <c:pt idx="51">
                  <c:v>-30.44</c:v>
                </c:pt>
                <c:pt idx="52">
                  <c:v>-27.97</c:v>
                </c:pt>
                <c:pt idx="53">
                  <c:v>-24.9</c:v>
                </c:pt>
                <c:pt idx="54">
                  <c:v>-20.87</c:v>
                </c:pt>
                <c:pt idx="55">
                  <c:v>-20.84</c:v>
                </c:pt>
                <c:pt idx="56">
                  <c:v>-23.02</c:v>
                </c:pt>
                <c:pt idx="57">
                  <c:v>-25.29</c:v>
                </c:pt>
                <c:pt idx="58">
                  <c:v>-24.67</c:v>
                </c:pt>
                <c:pt idx="59">
                  <c:v>-21.31</c:v>
                </c:pt>
                <c:pt idx="60">
                  <c:v>-17.95</c:v>
                </c:pt>
                <c:pt idx="61">
                  <c:v>-15.57</c:v>
                </c:pt>
                <c:pt idx="62">
                  <c:v>-12.25</c:v>
                </c:pt>
                <c:pt idx="63">
                  <c:v>-13.56</c:v>
                </c:pt>
                <c:pt idx="64">
                  <c:v>-16.86</c:v>
                </c:pt>
                <c:pt idx="65">
                  <c:v>-14.22</c:v>
                </c:pt>
                <c:pt idx="66">
                  <c:v>-14.42</c:v>
                </c:pt>
                <c:pt idx="67">
                  <c:v>-13.95</c:v>
                </c:pt>
                <c:pt idx="68">
                  <c:v>-18.809999999999999</c:v>
                </c:pt>
                <c:pt idx="69">
                  <c:v>-21.94</c:v>
                </c:pt>
                <c:pt idx="70">
                  <c:v>-22.14</c:v>
                </c:pt>
                <c:pt idx="71">
                  <c:v>-16.72</c:v>
                </c:pt>
                <c:pt idx="72">
                  <c:v>-24.93</c:v>
                </c:pt>
                <c:pt idx="73">
                  <c:v>-28.8</c:v>
                </c:pt>
                <c:pt idx="74">
                  <c:v>-29.66</c:v>
                </c:pt>
                <c:pt idx="75">
                  <c:v>-76.69</c:v>
                </c:pt>
                <c:pt idx="76">
                  <c:v>-87.23</c:v>
                </c:pt>
                <c:pt idx="77">
                  <c:v>-97.66</c:v>
                </c:pt>
                <c:pt idx="78">
                  <c:v>-88.89</c:v>
                </c:pt>
                <c:pt idx="79">
                  <c:v>-91.39</c:v>
                </c:pt>
                <c:pt idx="80">
                  <c:v>-98.73</c:v>
                </c:pt>
              </c:numCache>
            </c:numRef>
          </c:yVal>
          <c:smooth val="0"/>
        </c:ser>
        <c:ser>
          <c:idx val="16"/>
          <c:order val="2"/>
          <c:tx>
            <c:strRef>
              <c:f>'Data #2'!$E$5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33CC33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#2'!$E$6:$E$86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3"/>
          <c:order val="3"/>
          <c:tx>
            <c:strRef>
              <c:f>'Data #3'!$E$5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#3'!$E$6:$E$86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30"/>
          <c:order val="4"/>
          <c:tx>
            <c:strRef>
              <c:f>'Data #4'!$E$5</c:f>
              <c:strCache>
                <c:ptCount val="1"/>
                <c:pt idx="0">
                  <c:v>Front_L1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#4'!$E$6:$E$86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88320"/>
        <c:axId val="476488712"/>
      </c:scatterChart>
      <c:valAx>
        <c:axId val="476488320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7170947894"/>
              <c:y val="0.942567563669925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8712"/>
        <c:crosses val="autoZero"/>
        <c:crossBetween val="midCat"/>
      </c:valAx>
      <c:valAx>
        <c:axId val="476488712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43750268922E-2"/>
              <c:y val="0.467905248107722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8320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7012069188072801E-2"/>
          <c:y val="0.15188964016860529"/>
          <c:w val="0.13987608106363758"/>
          <c:h val="0.155692736210171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OPL Rear mic 5 HR Overview for  Delhi80</a:t>
            </a:r>
          </a:p>
        </c:rich>
      </c:tx>
      <c:layout>
        <c:manualLayout>
          <c:xMode val="edge"/>
          <c:yMode val="edge"/>
          <c:x val="0.20648905433165857"/>
          <c:y val="2.02704181861126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4"/>
          <c:order val="0"/>
          <c:tx>
            <c:strRef>
              <c:f>'Data #5'!$G$5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#5'!$G$6:$G$86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8"/>
          <c:order val="1"/>
          <c:tx>
            <c:strRef>
              <c:f>'Data #1'!$G$5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#1'!$G$6:$G$86</c:f>
              <c:numCache>
                <c:formatCode>General</c:formatCode>
                <c:ptCount val="81"/>
                <c:pt idx="0">
                  <c:v>-62.48</c:v>
                </c:pt>
                <c:pt idx="1">
                  <c:v>-73.400000000000006</c:v>
                </c:pt>
                <c:pt idx="2">
                  <c:v>-63.47</c:v>
                </c:pt>
                <c:pt idx="3">
                  <c:v>-58.56</c:v>
                </c:pt>
                <c:pt idx="4">
                  <c:v>-55.15</c:v>
                </c:pt>
                <c:pt idx="5">
                  <c:v>-56.65</c:v>
                </c:pt>
                <c:pt idx="6">
                  <c:v>-68.03</c:v>
                </c:pt>
                <c:pt idx="7">
                  <c:v>-66.02</c:v>
                </c:pt>
                <c:pt idx="8">
                  <c:v>-64.599999999999994</c:v>
                </c:pt>
                <c:pt idx="9">
                  <c:v>-58.75</c:v>
                </c:pt>
                <c:pt idx="10">
                  <c:v>-69.48</c:v>
                </c:pt>
                <c:pt idx="11">
                  <c:v>-66.27</c:v>
                </c:pt>
                <c:pt idx="12">
                  <c:v>-70.099999999999994</c:v>
                </c:pt>
                <c:pt idx="13">
                  <c:v>-69.13</c:v>
                </c:pt>
                <c:pt idx="14">
                  <c:v>-55.83</c:v>
                </c:pt>
                <c:pt idx="15">
                  <c:v>-61.88</c:v>
                </c:pt>
                <c:pt idx="16">
                  <c:v>-62.48</c:v>
                </c:pt>
                <c:pt idx="17">
                  <c:v>-58.75</c:v>
                </c:pt>
                <c:pt idx="18">
                  <c:v>-55.27</c:v>
                </c:pt>
                <c:pt idx="19">
                  <c:v>-51.05</c:v>
                </c:pt>
                <c:pt idx="20">
                  <c:v>-49.62</c:v>
                </c:pt>
                <c:pt idx="21">
                  <c:v>-48.05</c:v>
                </c:pt>
                <c:pt idx="22">
                  <c:v>-49.84</c:v>
                </c:pt>
                <c:pt idx="23">
                  <c:v>-44.43</c:v>
                </c:pt>
                <c:pt idx="24">
                  <c:v>-42.28</c:v>
                </c:pt>
                <c:pt idx="25">
                  <c:v>-40.35</c:v>
                </c:pt>
                <c:pt idx="26">
                  <c:v>-37.46</c:v>
                </c:pt>
                <c:pt idx="27">
                  <c:v>-36.409999999999997</c:v>
                </c:pt>
                <c:pt idx="28">
                  <c:v>-37.049999999999997</c:v>
                </c:pt>
                <c:pt idx="29">
                  <c:v>-35.76</c:v>
                </c:pt>
                <c:pt idx="30">
                  <c:v>-37.619999999999997</c:v>
                </c:pt>
                <c:pt idx="31">
                  <c:v>-35.93</c:v>
                </c:pt>
                <c:pt idx="32">
                  <c:v>-38.01</c:v>
                </c:pt>
                <c:pt idx="33">
                  <c:v>-37.61</c:v>
                </c:pt>
                <c:pt idx="34">
                  <c:v>-35.92</c:v>
                </c:pt>
                <c:pt idx="35">
                  <c:v>-33.200000000000003</c:v>
                </c:pt>
                <c:pt idx="36">
                  <c:v>-32.909999999999997</c:v>
                </c:pt>
                <c:pt idx="37">
                  <c:v>-32.17</c:v>
                </c:pt>
                <c:pt idx="38">
                  <c:v>-30.82</c:v>
                </c:pt>
                <c:pt idx="39">
                  <c:v>-28.42</c:v>
                </c:pt>
                <c:pt idx="40">
                  <c:v>-26.92</c:v>
                </c:pt>
                <c:pt idx="41">
                  <c:v>-26.93</c:v>
                </c:pt>
                <c:pt idx="42">
                  <c:v>-28.14</c:v>
                </c:pt>
                <c:pt idx="43">
                  <c:v>-29.42</c:v>
                </c:pt>
                <c:pt idx="44">
                  <c:v>-30.27</c:v>
                </c:pt>
                <c:pt idx="45">
                  <c:v>-30.98</c:v>
                </c:pt>
                <c:pt idx="46">
                  <c:v>-30.92</c:v>
                </c:pt>
                <c:pt idx="47">
                  <c:v>-28.91</c:v>
                </c:pt>
                <c:pt idx="48">
                  <c:v>-27.33</c:v>
                </c:pt>
                <c:pt idx="49">
                  <c:v>-26.09</c:v>
                </c:pt>
                <c:pt idx="50">
                  <c:v>-25.88</c:v>
                </c:pt>
                <c:pt idx="51">
                  <c:v>-25.52</c:v>
                </c:pt>
                <c:pt idx="52">
                  <c:v>-24.41</c:v>
                </c:pt>
                <c:pt idx="53">
                  <c:v>-23.1</c:v>
                </c:pt>
                <c:pt idx="54">
                  <c:v>-22.12</c:v>
                </c:pt>
                <c:pt idx="55">
                  <c:v>-19.25</c:v>
                </c:pt>
                <c:pt idx="56">
                  <c:v>-17.53</c:v>
                </c:pt>
                <c:pt idx="57">
                  <c:v>-16.920000000000002</c:v>
                </c:pt>
                <c:pt idx="58">
                  <c:v>-15.92</c:v>
                </c:pt>
                <c:pt idx="59">
                  <c:v>-14.59</c:v>
                </c:pt>
                <c:pt idx="60">
                  <c:v>-13.58</c:v>
                </c:pt>
                <c:pt idx="61">
                  <c:v>-11.2</c:v>
                </c:pt>
                <c:pt idx="62">
                  <c:v>-9.67</c:v>
                </c:pt>
                <c:pt idx="63">
                  <c:v>-11.74</c:v>
                </c:pt>
                <c:pt idx="64">
                  <c:v>-17.37</c:v>
                </c:pt>
                <c:pt idx="65">
                  <c:v>-15.2</c:v>
                </c:pt>
                <c:pt idx="66">
                  <c:v>-19.32</c:v>
                </c:pt>
                <c:pt idx="67">
                  <c:v>-28.57</c:v>
                </c:pt>
                <c:pt idx="68">
                  <c:v>-25.79</c:v>
                </c:pt>
                <c:pt idx="69">
                  <c:v>-23.4</c:v>
                </c:pt>
                <c:pt idx="70">
                  <c:v>-19.45</c:v>
                </c:pt>
                <c:pt idx="71">
                  <c:v>-13.29</c:v>
                </c:pt>
                <c:pt idx="72">
                  <c:v>-21.24</c:v>
                </c:pt>
                <c:pt idx="73">
                  <c:v>-33.119999999999997</c:v>
                </c:pt>
                <c:pt idx="74">
                  <c:v>-45.17</c:v>
                </c:pt>
                <c:pt idx="75">
                  <c:v>-71.52</c:v>
                </c:pt>
                <c:pt idx="76">
                  <c:v>-78.52</c:v>
                </c:pt>
                <c:pt idx="77">
                  <c:v>-81.319999999999993</c:v>
                </c:pt>
                <c:pt idx="78">
                  <c:v>-80.25</c:v>
                </c:pt>
                <c:pt idx="79">
                  <c:v>-73.61</c:v>
                </c:pt>
                <c:pt idx="80">
                  <c:v>-67.680000000000007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'Data #2'!$G$5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#2'!$G$6:$G$86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2"/>
          <c:order val="3"/>
          <c:tx>
            <c:strRef>
              <c:f>'Data #3'!$G$5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#3'!$G$6:$G$86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9"/>
          <c:order val="4"/>
          <c:tx>
            <c:strRef>
              <c:f>'Data #4'!$G$5</c:f>
              <c:strCache>
                <c:ptCount val="1"/>
                <c:pt idx="0">
                  <c:v>Rear_HR1</c:v>
                </c:pt>
              </c:strCache>
            </c:strRef>
          </c:tx>
          <c:spPr>
            <a:ln w="25400">
              <a:solidFill>
                <a:srgbClr val="FF99FF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#4'!$G$6:$G$86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89496"/>
        <c:axId val="476489888"/>
      </c:scatterChart>
      <c:valAx>
        <c:axId val="476489496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3590201601"/>
              <c:y val="0.930743217941849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9888"/>
        <c:crosses val="autoZero"/>
        <c:crossBetween val="midCat"/>
      </c:valAx>
      <c:valAx>
        <c:axId val="476489888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88133583392E-2"/>
              <c:y val="0.462837621524820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89496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8297509897172273E-2"/>
          <c:y val="0.15322171937508694"/>
          <c:w val="0.15149605990803494"/>
          <c:h val="0.17850398450802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OPL Rear mic 5 HL Overview for  Delhi80</a:t>
            </a:r>
          </a:p>
        </c:rich>
      </c:tx>
      <c:layout>
        <c:manualLayout>
          <c:xMode val="edge"/>
          <c:yMode val="edge"/>
          <c:x val="0.20932636387612555"/>
          <c:y val="2.02704181861126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3"/>
          <c:order val="0"/>
          <c:tx>
            <c:strRef>
              <c:f>'Data #5'!$F$5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#5'!$F$6:$F$86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7"/>
          <c:order val="1"/>
          <c:tx>
            <c:strRef>
              <c:f>'Data #1'!$F$5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#1'!$F$6:$F$86</c:f>
              <c:numCache>
                <c:formatCode>General</c:formatCode>
                <c:ptCount val="81"/>
                <c:pt idx="0">
                  <c:v>-58.69</c:v>
                </c:pt>
                <c:pt idx="1">
                  <c:v>-62.11</c:v>
                </c:pt>
                <c:pt idx="2">
                  <c:v>-63.66</c:v>
                </c:pt>
                <c:pt idx="3">
                  <c:v>-62.18</c:v>
                </c:pt>
                <c:pt idx="4">
                  <c:v>-62.66</c:v>
                </c:pt>
                <c:pt idx="5">
                  <c:v>-59.14</c:v>
                </c:pt>
                <c:pt idx="6">
                  <c:v>-55.97</c:v>
                </c:pt>
                <c:pt idx="7">
                  <c:v>-65.290000000000006</c:v>
                </c:pt>
                <c:pt idx="8">
                  <c:v>-61.89</c:v>
                </c:pt>
                <c:pt idx="9">
                  <c:v>-53.55</c:v>
                </c:pt>
                <c:pt idx="10">
                  <c:v>-68.47</c:v>
                </c:pt>
                <c:pt idx="11">
                  <c:v>-55.04</c:v>
                </c:pt>
                <c:pt idx="12">
                  <c:v>-62.87</c:v>
                </c:pt>
                <c:pt idx="13">
                  <c:v>-67.290000000000006</c:v>
                </c:pt>
                <c:pt idx="14">
                  <c:v>-66.13</c:v>
                </c:pt>
                <c:pt idx="15">
                  <c:v>-54.77</c:v>
                </c:pt>
                <c:pt idx="16">
                  <c:v>-61.75</c:v>
                </c:pt>
                <c:pt idx="17">
                  <c:v>-64.45</c:v>
                </c:pt>
                <c:pt idx="18">
                  <c:v>-47.77</c:v>
                </c:pt>
                <c:pt idx="19">
                  <c:v>-65.37</c:v>
                </c:pt>
                <c:pt idx="20">
                  <c:v>-51.69</c:v>
                </c:pt>
                <c:pt idx="21">
                  <c:v>-49.43</c:v>
                </c:pt>
                <c:pt idx="22">
                  <c:v>-47.61</c:v>
                </c:pt>
                <c:pt idx="23">
                  <c:v>-42.32</c:v>
                </c:pt>
                <c:pt idx="24">
                  <c:v>-39.340000000000003</c:v>
                </c:pt>
                <c:pt idx="25">
                  <c:v>-39.28</c:v>
                </c:pt>
                <c:pt idx="26">
                  <c:v>-37.159999999999997</c:v>
                </c:pt>
                <c:pt idx="27">
                  <c:v>-37.340000000000003</c:v>
                </c:pt>
                <c:pt idx="28">
                  <c:v>-35.979999999999997</c:v>
                </c:pt>
                <c:pt idx="29">
                  <c:v>-37.58</c:v>
                </c:pt>
                <c:pt idx="30">
                  <c:v>-37.24</c:v>
                </c:pt>
                <c:pt idx="31">
                  <c:v>-40.409999999999997</c:v>
                </c:pt>
                <c:pt idx="32">
                  <c:v>-39.51</c:v>
                </c:pt>
                <c:pt idx="33">
                  <c:v>-37.909999999999997</c:v>
                </c:pt>
                <c:pt idx="34">
                  <c:v>-36.67</c:v>
                </c:pt>
                <c:pt idx="35">
                  <c:v>-34.03</c:v>
                </c:pt>
                <c:pt idx="36">
                  <c:v>-32.67</c:v>
                </c:pt>
                <c:pt idx="37">
                  <c:v>-31.21</c:v>
                </c:pt>
                <c:pt idx="38">
                  <c:v>-29.23</c:v>
                </c:pt>
                <c:pt idx="39">
                  <c:v>-27.48</c:v>
                </c:pt>
                <c:pt idx="40">
                  <c:v>-26.21</c:v>
                </c:pt>
                <c:pt idx="41">
                  <c:v>-25.67</c:v>
                </c:pt>
                <c:pt idx="42">
                  <c:v>-26.36</c:v>
                </c:pt>
                <c:pt idx="43">
                  <c:v>-26.86</c:v>
                </c:pt>
                <c:pt idx="44">
                  <c:v>-27.29</c:v>
                </c:pt>
                <c:pt idx="45">
                  <c:v>-28.05</c:v>
                </c:pt>
                <c:pt idx="46">
                  <c:v>-29.51</c:v>
                </c:pt>
                <c:pt idx="47">
                  <c:v>-31.13</c:v>
                </c:pt>
                <c:pt idx="48">
                  <c:v>-32.1</c:v>
                </c:pt>
                <c:pt idx="49">
                  <c:v>-32.24</c:v>
                </c:pt>
                <c:pt idx="50">
                  <c:v>-30.82</c:v>
                </c:pt>
                <c:pt idx="51">
                  <c:v>-27.85</c:v>
                </c:pt>
                <c:pt idx="52">
                  <c:v>-25.23</c:v>
                </c:pt>
                <c:pt idx="53">
                  <c:v>-23.86</c:v>
                </c:pt>
                <c:pt idx="54">
                  <c:v>-24.01</c:v>
                </c:pt>
                <c:pt idx="55">
                  <c:v>-20.94</c:v>
                </c:pt>
                <c:pt idx="56">
                  <c:v>-18.350000000000001</c:v>
                </c:pt>
                <c:pt idx="57">
                  <c:v>-17.02</c:v>
                </c:pt>
                <c:pt idx="58">
                  <c:v>-16.190000000000001</c:v>
                </c:pt>
                <c:pt idx="59">
                  <c:v>-15.57</c:v>
                </c:pt>
                <c:pt idx="60">
                  <c:v>-14.62</c:v>
                </c:pt>
                <c:pt idx="61">
                  <c:v>-12.87</c:v>
                </c:pt>
                <c:pt idx="62">
                  <c:v>-10.68</c:v>
                </c:pt>
                <c:pt idx="63">
                  <c:v>-12.63</c:v>
                </c:pt>
                <c:pt idx="64">
                  <c:v>-17.03</c:v>
                </c:pt>
                <c:pt idx="65">
                  <c:v>-17.27</c:v>
                </c:pt>
                <c:pt idx="66">
                  <c:v>-24.2</c:v>
                </c:pt>
                <c:pt idx="67">
                  <c:v>-21.42</c:v>
                </c:pt>
                <c:pt idx="68">
                  <c:v>-25.97</c:v>
                </c:pt>
                <c:pt idx="69">
                  <c:v>-22.57</c:v>
                </c:pt>
                <c:pt idx="70">
                  <c:v>-19.28</c:v>
                </c:pt>
                <c:pt idx="71">
                  <c:v>-13.81</c:v>
                </c:pt>
                <c:pt idx="72">
                  <c:v>-20.46</c:v>
                </c:pt>
                <c:pt idx="73">
                  <c:v>-32.46</c:v>
                </c:pt>
                <c:pt idx="74">
                  <c:v>-43.09</c:v>
                </c:pt>
                <c:pt idx="75">
                  <c:v>-73.069999999999993</c:v>
                </c:pt>
                <c:pt idx="76">
                  <c:v>-73.22</c:v>
                </c:pt>
                <c:pt idx="77">
                  <c:v>-78.17</c:v>
                </c:pt>
                <c:pt idx="78">
                  <c:v>-79.150000000000006</c:v>
                </c:pt>
                <c:pt idx="79">
                  <c:v>-72.92</c:v>
                </c:pt>
                <c:pt idx="80">
                  <c:v>-82.67</c:v>
                </c:pt>
              </c:numCache>
            </c:numRef>
          </c:yVal>
          <c:smooth val="0"/>
        </c:ser>
        <c:ser>
          <c:idx val="14"/>
          <c:order val="2"/>
          <c:tx>
            <c:strRef>
              <c:f>'Data #2'!$F$5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#2'!$F$6:$F$86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1"/>
          <c:order val="3"/>
          <c:tx>
            <c:strRef>
              <c:f>'Data #3'!$F$5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#3'!$F$6:$F$86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8"/>
          <c:order val="4"/>
          <c:tx>
            <c:strRef>
              <c:f>'Data #4'!$F$5</c:f>
              <c:strCache>
                <c:ptCount val="1"/>
                <c:pt idx="0">
                  <c:v>Rear_HL1</c:v>
                </c:pt>
              </c:strCache>
            </c:strRef>
          </c:tx>
          <c:spPr>
            <a:ln w="25400">
              <a:solidFill>
                <a:srgbClr val="FF99FF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#4'!$F$6:$F$86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90672"/>
        <c:axId val="476491064"/>
      </c:scatterChart>
      <c:valAx>
        <c:axId val="476490672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3590201601"/>
              <c:y val="0.930743217941849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91064"/>
        <c:crosses val="autoZero"/>
        <c:crossBetween val="midCat"/>
      </c:valAx>
      <c:valAx>
        <c:axId val="476491064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88133583392E-2"/>
              <c:y val="0.462837621524820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90672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8297509897172273E-2"/>
          <c:y val="0.15322171937508694"/>
          <c:w val="0.16788946372288627"/>
          <c:h val="0.17850398450802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OPL Rear mic 5 L Overview for  Delhi80</a:t>
            </a:r>
          </a:p>
        </c:rich>
      </c:tx>
      <c:layout>
        <c:manualLayout>
          <c:xMode val="edge"/>
          <c:yMode val="edge"/>
          <c:x val="0.20932636387612555"/>
          <c:y val="2.02704181861126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357512953367921E-2"/>
          <c:y val="0.14864864864864866"/>
          <c:w val="0.9015544041450777"/>
          <c:h val="0.72972972972972971"/>
        </c:manualLayout>
      </c:layout>
      <c:scatterChart>
        <c:scatterStyle val="lineMarker"/>
        <c:varyColors val="0"/>
        <c:ser>
          <c:idx val="5"/>
          <c:order val="0"/>
          <c:tx>
            <c:strRef>
              <c:f>'Data #5'!$H$5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#5'!$B$6:$B$86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#5'!$H$6:$H$86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9"/>
          <c:order val="1"/>
          <c:tx>
            <c:strRef>
              <c:f>'Data #1'!$H$5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#1'!$B$6:$B$86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#1'!$H$6:$H$86</c:f>
              <c:numCache>
                <c:formatCode>General</c:formatCode>
                <c:ptCount val="81"/>
                <c:pt idx="0">
                  <c:v>-59.94</c:v>
                </c:pt>
                <c:pt idx="1">
                  <c:v>-62.42</c:v>
                </c:pt>
                <c:pt idx="2">
                  <c:v>-68.709999999999994</c:v>
                </c:pt>
                <c:pt idx="3">
                  <c:v>-58.29</c:v>
                </c:pt>
                <c:pt idx="4">
                  <c:v>-56.5</c:v>
                </c:pt>
                <c:pt idx="5">
                  <c:v>-57.48</c:v>
                </c:pt>
                <c:pt idx="6">
                  <c:v>-58.68</c:v>
                </c:pt>
                <c:pt idx="7">
                  <c:v>-57.22</c:v>
                </c:pt>
                <c:pt idx="8">
                  <c:v>-59.04</c:v>
                </c:pt>
                <c:pt idx="9">
                  <c:v>-58.96</c:v>
                </c:pt>
                <c:pt idx="10">
                  <c:v>-56.77</c:v>
                </c:pt>
                <c:pt idx="11">
                  <c:v>-61.76</c:v>
                </c:pt>
                <c:pt idx="12">
                  <c:v>-53.75</c:v>
                </c:pt>
                <c:pt idx="13">
                  <c:v>-57.33</c:v>
                </c:pt>
                <c:pt idx="14">
                  <c:v>-53.99</c:v>
                </c:pt>
                <c:pt idx="15">
                  <c:v>-66.36</c:v>
                </c:pt>
                <c:pt idx="16">
                  <c:v>-55.42</c:v>
                </c:pt>
                <c:pt idx="17">
                  <c:v>-56.01</c:v>
                </c:pt>
                <c:pt idx="18">
                  <c:v>-59.86</c:v>
                </c:pt>
                <c:pt idx="19">
                  <c:v>-63.37</c:v>
                </c:pt>
                <c:pt idx="20">
                  <c:v>-49.47</c:v>
                </c:pt>
                <c:pt idx="21">
                  <c:v>-45.39</c:v>
                </c:pt>
                <c:pt idx="22">
                  <c:v>-50.21</c:v>
                </c:pt>
                <c:pt idx="23">
                  <c:v>-41.23</c:v>
                </c:pt>
                <c:pt idx="24">
                  <c:v>-40.89</c:v>
                </c:pt>
                <c:pt idx="25">
                  <c:v>-45.84</c:v>
                </c:pt>
                <c:pt idx="26">
                  <c:v>-40.64</c:v>
                </c:pt>
                <c:pt idx="27">
                  <c:v>-38.909999999999997</c:v>
                </c:pt>
                <c:pt idx="28">
                  <c:v>-35.35</c:v>
                </c:pt>
                <c:pt idx="29">
                  <c:v>-35.67</c:v>
                </c:pt>
                <c:pt idx="30">
                  <c:v>-36.049999999999997</c:v>
                </c:pt>
                <c:pt idx="31">
                  <c:v>-37.1</c:v>
                </c:pt>
                <c:pt idx="32">
                  <c:v>-37.799999999999997</c:v>
                </c:pt>
                <c:pt idx="33">
                  <c:v>-36.950000000000003</c:v>
                </c:pt>
                <c:pt idx="34">
                  <c:v>-37.049999999999997</c:v>
                </c:pt>
                <c:pt idx="35">
                  <c:v>-34.75</c:v>
                </c:pt>
                <c:pt idx="36">
                  <c:v>-31.26</c:v>
                </c:pt>
                <c:pt idx="37">
                  <c:v>-29.1</c:v>
                </c:pt>
                <c:pt idx="38">
                  <c:v>-27.15</c:v>
                </c:pt>
                <c:pt idx="39">
                  <c:v>-25.37</c:v>
                </c:pt>
                <c:pt idx="40">
                  <c:v>-23.47</c:v>
                </c:pt>
                <c:pt idx="41">
                  <c:v>-22.3</c:v>
                </c:pt>
                <c:pt idx="42">
                  <c:v>-23.05</c:v>
                </c:pt>
                <c:pt idx="43">
                  <c:v>-23.87</c:v>
                </c:pt>
                <c:pt idx="44">
                  <c:v>-24.89</c:v>
                </c:pt>
                <c:pt idx="45">
                  <c:v>-25.59</c:v>
                </c:pt>
                <c:pt idx="46">
                  <c:v>-26.23</c:v>
                </c:pt>
                <c:pt idx="47">
                  <c:v>-26.68</c:v>
                </c:pt>
                <c:pt idx="48">
                  <c:v>-28</c:v>
                </c:pt>
                <c:pt idx="49">
                  <c:v>-29.12</c:v>
                </c:pt>
                <c:pt idx="50">
                  <c:v>-30.04</c:v>
                </c:pt>
                <c:pt idx="51">
                  <c:v>-31.8</c:v>
                </c:pt>
                <c:pt idx="52">
                  <c:v>-33.35</c:v>
                </c:pt>
                <c:pt idx="53">
                  <c:v>-35.24</c:v>
                </c:pt>
                <c:pt idx="54">
                  <c:v>-25.82</c:v>
                </c:pt>
                <c:pt idx="55">
                  <c:v>-20.28</c:v>
                </c:pt>
                <c:pt idx="56">
                  <c:v>-18.64</c:v>
                </c:pt>
                <c:pt idx="57">
                  <c:v>-18.18</c:v>
                </c:pt>
                <c:pt idx="58">
                  <c:v>-18.14</c:v>
                </c:pt>
                <c:pt idx="59">
                  <c:v>-17.21</c:v>
                </c:pt>
                <c:pt idx="60">
                  <c:v>-16.84</c:v>
                </c:pt>
                <c:pt idx="61">
                  <c:v>-14.03</c:v>
                </c:pt>
                <c:pt idx="62">
                  <c:v>-9.9700000000000006</c:v>
                </c:pt>
                <c:pt idx="63">
                  <c:v>-9.67</c:v>
                </c:pt>
                <c:pt idx="64">
                  <c:v>-16.149999999999999</c:v>
                </c:pt>
                <c:pt idx="65">
                  <c:v>-24.6</c:v>
                </c:pt>
                <c:pt idx="66">
                  <c:v>-21.26</c:v>
                </c:pt>
                <c:pt idx="67">
                  <c:v>-28.47</c:v>
                </c:pt>
                <c:pt idx="68">
                  <c:v>-26.73</c:v>
                </c:pt>
                <c:pt idx="69">
                  <c:v>-24.15</c:v>
                </c:pt>
                <c:pt idx="70">
                  <c:v>-21.59</c:v>
                </c:pt>
                <c:pt idx="71">
                  <c:v>-14.37</c:v>
                </c:pt>
                <c:pt idx="72">
                  <c:v>-20.260000000000002</c:v>
                </c:pt>
                <c:pt idx="73">
                  <c:v>-32.119999999999997</c:v>
                </c:pt>
                <c:pt idx="74">
                  <c:v>-42.39</c:v>
                </c:pt>
                <c:pt idx="75">
                  <c:v>-86.79</c:v>
                </c:pt>
                <c:pt idx="76">
                  <c:v>-85.74</c:v>
                </c:pt>
                <c:pt idx="77">
                  <c:v>-94.71</c:v>
                </c:pt>
                <c:pt idx="78">
                  <c:v>-83.15</c:v>
                </c:pt>
                <c:pt idx="79">
                  <c:v>-88.81</c:v>
                </c:pt>
                <c:pt idx="80">
                  <c:v>-87.77</c:v>
                </c:pt>
              </c:numCache>
            </c:numRef>
          </c:yVal>
          <c:smooth val="0"/>
        </c:ser>
        <c:ser>
          <c:idx val="16"/>
          <c:order val="2"/>
          <c:tx>
            <c:strRef>
              <c:f>'Data #2'!$H$5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'Data #2'!$B$6:$B$86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#2'!$H$6:$H$86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23"/>
          <c:order val="3"/>
          <c:tx>
            <c:strRef>
              <c:f>'Data #3'!$H$5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'Data #3'!$B$6:$B$86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#3'!$H$6:$H$86</c:f>
              <c:numCache>
                <c:formatCode>General</c:formatCode>
                <c:ptCount val="81"/>
              </c:numCache>
            </c:numRef>
          </c:yVal>
          <c:smooth val="0"/>
        </c:ser>
        <c:ser>
          <c:idx val="30"/>
          <c:order val="4"/>
          <c:tx>
            <c:strRef>
              <c:f>'Data #4'!$H$5</c:f>
              <c:strCache>
                <c:ptCount val="1"/>
                <c:pt idx="0">
                  <c:v>Rear_L1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'Data #4'!$B$6:$B$86</c:f>
              <c:numCache>
                <c:formatCode>General</c:formatCode>
                <c:ptCount val="81"/>
                <c:pt idx="0">
                  <c:v>100</c:v>
                </c:pt>
                <c:pt idx="1">
                  <c:v>106</c:v>
                </c:pt>
                <c:pt idx="2">
                  <c:v>112</c:v>
                </c:pt>
                <c:pt idx="3">
                  <c:v>118</c:v>
                </c:pt>
                <c:pt idx="4">
                  <c:v>125</c:v>
                </c:pt>
                <c:pt idx="5">
                  <c:v>132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  <c:pt idx="9">
                  <c:v>170</c:v>
                </c:pt>
                <c:pt idx="10">
                  <c:v>180</c:v>
                </c:pt>
                <c:pt idx="11">
                  <c:v>190</c:v>
                </c:pt>
                <c:pt idx="12">
                  <c:v>200</c:v>
                </c:pt>
                <c:pt idx="13">
                  <c:v>212</c:v>
                </c:pt>
                <c:pt idx="14">
                  <c:v>224</c:v>
                </c:pt>
                <c:pt idx="15">
                  <c:v>236</c:v>
                </c:pt>
                <c:pt idx="16">
                  <c:v>250</c:v>
                </c:pt>
                <c:pt idx="17">
                  <c:v>265</c:v>
                </c:pt>
                <c:pt idx="18">
                  <c:v>280</c:v>
                </c:pt>
                <c:pt idx="19">
                  <c:v>300</c:v>
                </c:pt>
                <c:pt idx="20">
                  <c:v>315</c:v>
                </c:pt>
                <c:pt idx="21">
                  <c:v>335</c:v>
                </c:pt>
                <c:pt idx="22">
                  <c:v>355</c:v>
                </c:pt>
                <c:pt idx="23">
                  <c:v>375</c:v>
                </c:pt>
                <c:pt idx="24">
                  <c:v>400</c:v>
                </c:pt>
                <c:pt idx="25">
                  <c:v>425</c:v>
                </c:pt>
                <c:pt idx="26">
                  <c:v>450</c:v>
                </c:pt>
                <c:pt idx="27">
                  <c:v>475</c:v>
                </c:pt>
                <c:pt idx="28">
                  <c:v>500</c:v>
                </c:pt>
                <c:pt idx="29">
                  <c:v>530</c:v>
                </c:pt>
                <c:pt idx="30">
                  <c:v>560</c:v>
                </c:pt>
                <c:pt idx="31">
                  <c:v>600</c:v>
                </c:pt>
                <c:pt idx="32">
                  <c:v>630</c:v>
                </c:pt>
                <c:pt idx="33">
                  <c:v>670</c:v>
                </c:pt>
                <c:pt idx="34">
                  <c:v>710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  <c:pt idx="41">
                  <c:v>1060</c:v>
                </c:pt>
                <c:pt idx="42">
                  <c:v>1120</c:v>
                </c:pt>
                <c:pt idx="43">
                  <c:v>1180</c:v>
                </c:pt>
                <c:pt idx="44">
                  <c:v>1250</c:v>
                </c:pt>
                <c:pt idx="45">
                  <c:v>1320</c:v>
                </c:pt>
                <c:pt idx="46">
                  <c:v>1400</c:v>
                </c:pt>
                <c:pt idx="47">
                  <c:v>1500</c:v>
                </c:pt>
                <c:pt idx="48">
                  <c:v>1600</c:v>
                </c:pt>
                <c:pt idx="49">
                  <c:v>1700</c:v>
                </c:pt>
                <c:pt idx="50">
                  <c:v>1800</c:v>
                </c:pt>
                <c:pt idx="51">
                  <c:v>1900</c:v>
                </c:pt>
                <c:pt idx="52">
                  <c:v>2000</c:v>
                </c:pt>
                <c:pt idx="53">
                  <c:v>2120</c:v>
                </c:pt>
                <c:pt idx="54">
                  <c:v>2240</c:v>
                </c:pt>
                <c:pt idx="55">
                  <c:v>2360</c:v>
                </c:pt>
                <c:pt idx="56">
                  <c:v>2500</c:v>
                </c:pt>
                <c:pt idx="57">
                  <c:v>2650</c:v>
                </c:pt>
                <c:pt idx="58">
                  <c:v>2800</c:v>
                </c:pt>
                <c:pt idx="59">
                  <c:v>3000</c:v>
                </c:pt>
                <c:pt idx="60">
                  <c:v>3150</c:v>
                </c:pt>
                <c:pt idx="61">
                  <c:v>3350</c:v>
                </c:pt>
                <c:pt idx="62">
                  <c:v>3550</c:v>
                </c:pt>
                <c:pt idx="63">
                  <c:v>3750</c:v>
                </c:pt>
                <c:pt idx="64">
                  <c:v>4000</c:v>
                </c:pt>
                <c:pt idx="65">
                  <c:v>4250</c:v>
                </c:pt>
                <c:pt idx="66">
                  <c:v>4500</c:v>
                </c:pt>
                <c:pt idx="67">
                  <c:v>4750</c:v>
                </c:pt>
                <c:pt idx="68">
                  <c:v>5000</c:v>
                </c:pt>
                <c:pt idx="69">
                  <c:v>5300</c:v>
                </c:pt>
                <c:pt idx="70">
                  <c:v>5600</c:v>
                </c:pt>
                <c:pt idx="71">
                  <c:v>6000</c:v>
                </c:pt>
                <c:pt idx="72">
                  <c:v>6300</c:v>
                </c:pt>
                <c:pt idx="73">
                  <c:v>6700</c:v>
                </c:pt>
                <c:pt idx="74">
                  <c:v>7100</c:v>
                </c:pt>
                <c:pt idx="75">
                  <c:v>7500</c:v>
                </c:pt>
                <c:pt idx="76">
                  <c:v>8000</c:v>
                </c:pt>
                <c:pt idx="77">
                  <c:v>8500</c:v>
                </c:pt>
                <c:pt idx="78">
                  <c:v>9000</c:v>
                </c:pt>
                <c:pt idx="79">
                  <c:v>9500</c:v>
                </c:pt>
                <c:pt idx="80">
                  <c:v>10000</c:v>
                </c:pt>
              </c:numCache>
            </c:numRef>
          </c:xVal>
          <c:yVal>
            <c:numRef>
              <c:f>'Data #4'!$H$6:$H$86</c:f>
              <c:numCache>
                <c:formatCode>General</c:formatCode>
                <c:ptCount val="8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91848"/>
        <c:axId val="476492240"/>
      </c:scatterChart>
      <c:valAx>
        <c:axId val="476491848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Frequency [Hz]</a:t>
                </a:r>
              </a:p>
            </c:rich>
          </c:tx>
          <c:layout>
            <c:manualLayout>
              <c:xMode val="edge"/>
              <c:yMode val="edge"/>
              <c:x val="0.46735743590201601"/>
              <c:y val="0.930743217941849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12700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92240"/>
        <c:crosses val="autoZero"/>
        <c:crossBetween val="midCat"/>
      </c:valAx>
      <c:valAx>
        <c:axId val="476492240"/>
        <c:scaling>
          <c:orientation val="minMax"/>
          <c:max val="10"/>
          <c:min val="-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altLang="en-US"/>
                  <a:t>OPL [dB]</a:t>
                </a:r>
              </a:p>
            </c:rich>
          </c:tx>
          <c:layout>
            <c:manualLayout>
              <c:xMode val="edge"/>
              <c:yMode val="edge"/>
              <c:x val="1.2435288133583392E-2"/>
              <c:y val="0.462837621524820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491848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8297509897172273E-2"/>
          <c:y val="0.15322171937508694"/>
          <c:w val="0.17062175149416609"/>
          <c:h val="0.180596190706627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chart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chart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chart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chart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chart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chart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chart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chart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chart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chart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0" workbookViewId="0"/>
  </sheetViews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90" workbookViewId="0"/>
  </sheetViews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90" workbookViewId="0"/>
  </sheetViews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0" workbookViewId="0"/>
  </sheetViews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6"/>
  <sheetViews>
    <sheetView zoomScale="90" workbookViewId="0"/>
  </sheetViews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90" workbookViewId="0"/>
  </sheetViews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8"/>
  <sheetViews>
    <sheetView zoomScale="90" workbookViewId="0"/>
  </sheetViews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9"/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9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0"/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0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1"/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2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3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4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5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5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6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6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7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7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8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  <legacyDrawing r:id="rId3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Chart27"/>
  <sheetViews>
    <sheetView zoomScale="74" workbookViewId="0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Chart1"/>
  <sheetViews>
    <sheetView zoomScale="74" workbookViewId="0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>
  <sheetPr codeName="Chart19"/>
  <sheetViews>
    <sheetView zoomScale="74" workbookViewId="0"/>
  </sheetViews>
  <pageMargins left="0.7" right="0.7" top="0.75" bottom="0.75" header="0.3" footer="0.3"/>
  <drawing r:id="rId1"/>
</chartsheet>
</file>

<file path=xl/chartsheets/sheet21.xml><?xml version="1.0" encoding="utf-8"?>
<chartsheet xmlns="http://schemas.openxmlformats.org/spreadsheetml/2006/main" xmlns:r="http://schemas.openxmlformats.org/officeDocument/2006/relationships">
  <sheetPr codeName="Chart20"/>
  <sheetViews>
    <sheetView zoomScale="74" workbookViewId="0"/>
  </sheetViews>
  <pageMargins left="0.7" right="0.7" top="0.75" bottom="0.75" header="0.3" footer="0.3"/>
  <drawing r:id="rId1"/>
</chartsheet>
</file>

<file path=xl/chartsheets/sheet22.xml><?xml version="1.0" encoding="utf-8"?>
<chartsheet xmlns="http://schemas.openxmlformats.org/spreadsheetml/2006/main" xmlns:r="http://schemas.openxmlformats.org/officeDocument/2006/relationships">
  <sheetPr codeName="Chart21"/>
  <sheetViews>
    <sheetView zoomScale="74" workbookViewId="0"/>
  </sheetViews>
  <pageMargins left="0.7" right="0.7" top="0.75" bottom="0.75" header="0.3" footer="0.3"/>
  <drawing r:id="rId1"/>
</chartsheet>
</file>

<file path=xl/chartsheets/sheet23.xml><?xml version="1.0" encoding="utf-8"?>
<chartsheet xmlns="http://schemas.openxmlformats.org/spreadsheetml/2006/main" xmlns:r="http://schemas.openxmlformats.org/officeDocument/2006/relationships">
  <sheetPr codeName="Chart22"/>
  <sheetViews>
    <sheetView zoomScale="74" workbookViewId="0"/>
  </sheetViews>
  <pageMargins left="0.7" right="0.7" top="0.75" bottom="0.75" header="0.3" footer="0.3"/>
  <drawing r:id="rId1"/>
</chartsheet>
</file>

<file path=xl/chartsheets/sheet24.xml><?xml version="1.0" encoding="utf-8"?>
<chartsheet xmlns="http://schemas.openxmlformats.org/spreadsheetml/2006/main" xmlns:r="http://schemas.openxmlformats.org/officeDocument/2006/relationships">
  <sheetPr codeName="Chart23"/>
  <sheetViews>
    <sheetView zoomScale="74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19050</xdr:rowOff>
    </xdr:from>
    <xdr:to>
      <xdr:col>12</xdr:col>
      <xdr:colOff>189562</xdr:colOff>
      <xdr:row>6</xdr:row>
      <xdr:rowOff>76118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81025"/>
          <a:ext cx="7504762" cy="6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12</xdr:col>
      <xdr:colOff>208609</xdr:colOff>
      <xdr:row>11</xdr:row>
      <xdr:rowOff>66592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62100"/>
          <a:ext cx="7523809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0916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0916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395287</xdr:colOff>
      <xdr:row>0</xdr:row>
      <xdr:rowOff>0</xdr:rowOff>
    </xdr:from>
    <xdr:to>
      <xdr:col>9</xdr:col>
      <xdr:colOff>962025</xdr:colOff>
      <xdr:row>36</xdr:row>
      <xdr:rowOff>28575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409575</xdr:colOff>
      <xdr:row>37</xdr:row>
      <xdr:rowOff>28575</xdr:rowOff>
    </xdr:from>
    <xdr:to>
      <xdr:col>9</xdr:col>
      <xdr:colOff>976313</xdr:colOff>
      <xdr:row>73</xdr:row>
      <xdr:rowOff>57150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19049</xdr:colOff>
      <xdr:row>11</xdr:row>
      <xdr:rowOff>0</xdr:rowOff>
    </xdr:from>
    <xdr:to>
      <xdr:col>24</xdr:col>
      <xdr:colOff>123824</xdr:colOff>
      <xdr:row>31</xdr:row>
      <xdr:rowOff>133350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</xdr:colOff>
      <xdr:row>11</xdr:row>
      <xdr:rowOff>0</xdr:rowOff>
    </xdr:from>
    <xdr:to>
      <xdr:col>35</xdr:col>
      <xdr:colOff>57151</xdr:colOff>
      <xdr:row>31</xdr:row>
      <xdr:rowOff>133350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0916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0916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0916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0916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0916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258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258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258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258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258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258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07500" cy="561258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14</xdr:col>
      <xdr:colOff>314325</xdr:colOff>
      <xdr:row>30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14</xdr:col>
      <xdr:colOff>314325</xdr:colOff>
      <xdr:row>30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14</xdr:col>
      <xdr:colOff>314325</xdr:colOff>
      <xdr:row>30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14</xdr:col>
      <xdr:colOff>314325</xdr:colOff>
      <xdr:row>30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14</xdr:col>
      <xdr:colOff>314325</xdr:colOff>
      <xdr:row>30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41</xdr:col>
      <xdr:colOff>342900</xdr:colOff>
      <xdr:row>17</xdr:row>
      <xdr:rowOff>104775</xdr:rowOff>
    </xdr:from>
    <xdr:to>
      <xdr:col>49</xdr:col>
      <xdr:colOff>295275</xdr:colOff>
      <xdr:row>34</xdr:row>
      <xdr:rowOff>76200</xdr:rowOff>
    </xdr:to>
    <xdr:graphicFrame macro="">
      <xdr:nvGraphicFramePr>
        <xdr:cNvPr id="1083927" name="Chart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114300</xdr:colOff>
      <xdr:row>38</xdr:row>
      <xdr:rowOff>47625</xdr:rowOff>
    </xdr:from>
    <xdr:to>
      <xdr:col>59</xdr:col>
      <xdr:colOff>66675</xdr:colOff>
      <xdr:row>55</xdr:row>
      <xdr:rowOff>19050</xdr:rowOff>
    </xdr:to>
    <xdr:graphicFrame macro="">
      <xdr:nvGraphicFramePr>
        <xdr:cNvPr id="1083928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51</xdr:col>
      <xdr:colOff>161925</xdr:colOff>
      <xdr:row>21</xdr:row>
      <xdr:rowOff>28575</xdr:rowOff>
    </xdr:from>
    <xdr:to>
      <xdr:col>59</xdr:col>
      <xdr:colOff>114300</xdr:colOff>
      <xdr:row>37</xdr:row>
      <xdr:rowOff>165652</xdr:rowOff>
    </xdr:to>
    <xdr:graphicFrame macro="">
      <xdr:nvGraphicFramePr>
        <xdr:cNvPr id="1083929" name="Chart 5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63</xdr:col>
      <xdr:colOff>0</xdr:colOff>
      <xdr:row>3</xdr:row>
      <xdr:rowOff>95250</xdr:rowOff>
    </xdr:from>
    <xdr:to>
      <xdr:col>70</xdr:col>
      <xdr:colOff>561975</xdr:colOff>
      <xdr:row>20</xdr:row>
      <xdr:rowOff>0</xdr:rowOff>
    </xdr:to>
    <xdr:graphicFrame macro="">
      <xdr:nvGraphicFramePr>
        <xdr:cNvPr id="1083930" name="Chart 6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59</xdr:col>
      <xdr:colOff>0</xdr:colOff>
      <xdr:row>20</xdr:row>
      <xdr:rowOff>0</xdr:rowOff>
    </xdr:from>
    <xdr:to>
      <xdr:col>66</xdr:col>
      <xdr:colOff>561975</xdr:colOff>
      <xdr:row>36</xdr:row>
      <xdr:rowOff>133350</xdr:rowOff>
    </xdr:to>
    <xdr:graphicFrame macro="">
      <xdr:nvGraphicFramePr>
        <xdr:cNvPr id="1083931" name="Chart 7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59</xdr:col>
      <xdr:colOff>0</xdr:colOff>
      <xdr:row>37</xdr:row>
      <xdr:rowOff>0</xdr:rowOff>
    </xdr:from>
    <xdr:to>
      <xdr:col>66</xdr:col>
      <xdr:colOff>561975</xdr:colOff>
      <xdr:row>53</xdr:row>
      <xdr:rowOff>133350</xdr:rowOff>
    </xdr:to>
    <xdr:graphicFrame macro="">
      <xdr:nvGraphicFramePr>
        <xdr:cNvPr id="1083932" name="Chart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70</xdr:col>
      <xdr:colOff>581025</xdr:colOff>
      <xdr:row>2</xdr:row>
      <xdr:rowOff>161925</xdr:rowOff>
    </xdr:from>
    <xdr:to>
      <xdr:col>78</xdr:col>
      <xdr:colOff>533400</xdr:colOff>
      <xdr:row>19</xdr:row>
      <xdr:rowOff>66675</xdr:rowOff>
    </xdr:to>
    <xdr:graphicFrame macro="">
      <xdr:nvGraphicFramePr>
        <xdr:cNvPr id="1083933" name="Chart 9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71</xdr:col>
      <xdr:colOff>9525</xdr:colOff>
      <xdr:row>19</xdr:row>
      <xdr:rowOff>66675</xdr:rowOff>
    </xdr:from>
    <xdr:to>
      <xdr:col>78</xdr:col>
      <xdr:colOff>571500</xdr:colOff>
      <xdr:row>36</xdr:row>
      <xdr:rowOff>38100</xdr:rowOff>
    </xdr:to>
    <xdr:graphicFrame macro="">
      <xdr:nvGraphicFramePr>
        <xdr:cNvPr id="1083934" name="Chart 10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71</xdr:col>
      <xdr:colOff>19050</xdr:colOff>
      <xdr:row>36</xdr:row>
      <xdr:rowOff>133350</xdr:rowOff>
    </xdr:from>
    <xdr:to>
      <xdr:col>78</xdr:col>
      <xdr:colOff>581025</xdr:colOff>
      <xdr:row>53</xdr:row>
      <xdr:rowOff>104775</xdr:rowOff>
    </xdr:to>
    <xdr:graphicFrame macro="">
      <xdr:nvGraphicFramePr>
        <xdr:cNvPr id="1083935" name="Chart 1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3</xdr:row>
          <xdr:rowOff>57150</xdr:rowOff>
        </xdr:from>
        <xdr:to>
          <xdr:col>6</xdr:col>
          <xdr:colOff>600075</xdr:colOff>
          <xdr:row>6</xdr:row>
          <xdr:rowOff>19050</xdr:rowOff>
        </xdr:to>
        <xdr:sp macro="" textlink="">
          <xdr:nvSpPr>
            <xdr:cNvPr id="23553" name="BN_UPLImport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142875</xdr:colOff>
          <xdr:row>4</xdr:row>
          <xdr:rowOff>57150</xdr:rowOff>
        </xdr:from>
        <xdr:to>
          <xdr:col>18</xdr:col>
          <xdr:colOff>409575</xdr:colOff>
          <xdr:row>7</xdr:row>
          <xdr:rowOff>19050</xdr:rowOff>
        </xdr:to>
        <xdr:sp macro="" textlink="">
          <xdr:nvSpPr>
            <xdr:cNvPr id="23555" name="BN_UPLImport2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1200150</xdr:colOff>
          <xdr:row>4</xdr:row>
          <xdr:rowOff>28575</xdr:rowOff>
        </xdr:from>
        <xdr:to>
          <xdr:col>4</xdr:col>
          <xdr:colOff>3676650</xdr:colOff>
          <xdr:row>6</xdr:row>
          <xdr:rowOff>47625</xdr:rowOff>
        </xdr:to>
        <xdr:sp macro="" textlink="">
          <xdr:nvSpPr>
            <xdr:cNvPr id="1347" name="CommandButton21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4</xdr:row>
          <xdr:rowOff>123825</xdr:rowOff>
        </xdr:from>
        <xdr:to>
          <xdr:col>16</xdr:col>
          <xdr:colOff>628650</xdr:colOff>
          <xdr:row>7</xdr:row>
          <xdr:rowOff>114300</xdr:rowOff>
        </xdr:to>
        <xdr:sp macro="" textlink="">
          <xdr:nvSpPr>
            <xdr:cNvPr id="1348" name="BN_ImportSC2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11</xdr:row>
          <xdr:rowOff>85725</xdr:rowOff>
        </xdr:from>
        <xdr:to>
          <xdr:col>9</xdr:col>
          <xdr:colOff>114300</xdr:colOff>
          <xdr:row>14</xdr:row>
          <xdr:rowOff>47625</xdr:rowOff>
        </xdr:to>
        <xdr:sp macro="" textlink="">
          <xdr:nvSpPr>
            <xdr:cNvPr id="486401" name="BN_UpdateChartTitleList" hidden="1">
              <a:extLst>
                <a:ext uri="{63B3BB69-23CF-44E3-9099-C40C66FF867C}">
                  <a14:compatExt spid="_x0000_s48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17</xdr:row>
          <xdr:rowOff>76200</xdr:rowOff>
        </xdr:from>
        <xdr:to>
          <xdr:col>9</xdr:col>
          <xdr:colOff>152400</xdr:colOff>
          <xdr:row>20</xdr:row>
          <xdr:rowOff>9525</xdr:rowOff>
        </xdr:to>
        <xdr:sp macro="" textlink="">
          <xdr:nvSpPr>
            <xdr:cNvPr id="486402" name="BN_UpdateChartTitle" hidden="1">
              <a:extLst>
                <a:ext uri="{63B3BB69-23CF-44E3-9099-C40C66FF867C}">
                  <a14:compatExt spid="_x0000_s48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earing\data\PD\EA%20Files\EA_project\015%20Berlin60%207845\26%20StabilityTest\20150127%20Prototype%20Samples\PrototypeSamples_L06-L10_Closed_01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Chart1"/>
      <sheetName val="HLChart2"/>
      <sheetName val="LChart3"/>
      <sheetName val="RearHRChart4"/>
      <sheetName val="RearHLChart5"/>
      <sheetName val="RearLChart6"/>
      <sheetName val="MeasurementSetup"/>
      <sheetName val="Cover"/>
      <sheetName val="MSG Front average"/>
      <sheetName val="MSG Rear average"/>
      <sheetName val="MSG Dev #1"/>
      <sheetName val="MSG Dev #2"/>
      <sheetName val="MSG Dev #3"/>
      <sheetName val="MSG Dev #4"/>
      <sheetName val="MSG Dev #5"/>
      <sheetName val="OPL Front Dev #1"/>
      <sheetName val="OPL Front Dev #2"/>
      <sheetName val="OPL Front Dev #3"/>
      <sheetName val="OPL Front Dev #4"/>
      <sheetName val="OPL Front Dev #5"/>
      <sheetName val="OPL Rear Dev #1"/>
      <sheetName val="OPL Rear Dev #2"/>
      <sheetName val="OPL Rear Dev #3"/>
      <sheetName val="OPL Rear Dev #4"/>
      <sheetName val="OPL Rear Dev #5"/>
      <sheetName val="Data #1"/>
      <sheetName val="Data #2"/>
      <sheetName val="Data #3"/>
      <sheetName val="Data #4"/>
      <sheetName val="Data #5"/>
      <sheetName val="MaxMinChart1"/>
      <sheetName val="Average data"/>
      <sheetName val="UPL_Import"/>
      <sheetName val="SC_Import"/>
      <sheetName val="Sett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2">
          <cell r="B2" t="str">
            <v>Berlin60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 refreshError="1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35.xml"/><Relationship Id="rId6" Type="http://schemas.openxmlformats.org/officeDocument/2006/relationships/image" Target="../media/image8.emf"/><Relationship Id="rId5" Type="http://schemas.openxmlformats.org/officeDocument/2006/relationships/control" Target="../activeX/activeX6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2:K29"/>
  <sheetViews>
    <sheetView workbookViewId="0">
      <selection activeCell="F25" sqref="F25"/>
    </sheetView>
  </sheetViews>
  <sheetFormatPr defaultRowHeight="12.75"/>
  <sheetData>
    <row r="2" spans="1:11" ht="15.75">
      <c r="A2" s="1" t="s">
        <v>39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5.75">
      <c r="A3" s="1" t="s">
        <v>178</v>
      </c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5.7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5.7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5.7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5.7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5.75">
      <c r="A8" s="1" t="s">
        <v>179</v>
      </c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5.7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5.7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5.7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.7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t="s">
        <v>180</v>
      </c>
    </row>
    <row r="14" spans="1:11">
      <c r="A14" t="s">
        <v>181</v>
      </c>
    </row>
    <row r="15" spans="1:11">
      <c r="A15" t="s">
        <v>214</v>
      </c>
    </row>
    <row r="16" spans="1:11">
      <c r="A16" t="s">
        <v>237</v>
      </c>
    </row>
    <row r="17" spans="1:1">
      <c r="A17" t="s">
        <v>216</v>
      </c>
    </row>
    <row r="29" spans="1:1" ht="24" customHeight="1"/>
  </sheetData>
  <phoneticPr fontId="1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25"/>
  <sheetViews>
    <sheetView topLeftCell="A16" zoomScaleNormal="100" zoomScaleSheetLayoutView="100" workbookViewId="0">
      <selection activeCell="F33" sqref="F33"/>
    </sheetView>
  </sheetViews>
  <sheetFormatPr defaultRowHeight="15.75"/>
  <cols>
    <col min="1" max="1" width="31.140625" style="1" customWidth="1"/>
    <col min="2" max="2" width="66.28515625" style="1" customWidth="1"/>
    <col min="3" max="3" width="1.7109375" style="3" customWidth="1"/>
    <col min="4" max="4" width="22.7109375" style="1" customWidth="1"/>
    <col min="5" max="5" width="13.28515625" style="1" customWidth="1"/>
    <col min="6" max="6" width="13.5703125" style="1" customWidth="1"/>
    <col min="7" max="7" width="7.42578125" style="1" customWidth="1"/>
    <col min="8" max="8" width="18" style="1" customWidth="1"/>
    <col min="9" max="9" width="14.85546875" style="1" customWidth="1"/>
    <col min="10" max="10" width="10.28515625" style="1" customWidth="1"/>
    <col min="11" max="13" width="7.42578125" style="1" customWidth="1"/>
    <col min="14" max="16384" width="9.140625" style="1"/>
  </cols>
  <sheetData>
    <row r="1" spans="1:10" ht="22.5">
      <c r="A1" s="2" t="s">
        <v>12</v>
      </c>
      <c r="B1" s="2" t="s">
        <v>223</v>
      </c>
    </row>
    <row r="2" spans="1:10" ht="22.5">
      <c r="A2" s="4" t="s">
        <v>13</v>
      </c>
      <c r="B2" s="2"/>
    </row>
    <row r="4" spans="1:10">
      <c r="A4" s="5" t="s">
        <v>14</v>
      </c>
      <c r="B4" s="1" t="str">
        <f>ModelName</f>
        <v>Delhi80</v>
      </c>
    </row>
    <row r="5" spans="1:10">
      <c r="A5" s="5" t="s">
        <v>15</v>
      </c>
      <c r="B5" s="1" t="s">
        <v>230</v>
      </c>
    </row>
    <row r="6" spans="1:10">
      <c r="A6" s="5" t="s">
        <v>16</v>
      </c>
      <c r="B6" s="106" t="s">
        <v>238</v>
      </c>
    </row>
    <row r="7" spans="1:10">
      <c r="A7" s="5"/>
      <c r="B7" s="105" t="s">
        <v>237</v>
      </c>
    </row>
    <row r="8" spans="1:10" ht="16.5" thickBot="1">
      <c r="A8" s="5" t="s">
        <v>17</v>
      </c>
      <c r="B8" s="1" t="s">
        <v>231</v>
      </c>
    </row>
    <row r="9" spans="1:10">
      <c r="A9" s="5" t="s">
        <v>18</v>
      </c>
      <c r="B9" s="31">
        <v>43066</v>
      </c>
      <c r="D9" s="109" t="str">
        <f>CONCATENATE("Stability Statistic data", Settings!C5)</f>
        <v>Stability Statistic data</v>
      </c>
      <c r="E9" s="110"/>
      <c r="F9" s="111"/>
      <c r="H9" s="109" t="str">
        <f>CONCATENATE("Stability Statistic data", Settings!C6)</f>
        <v>Stability Statistic data</v>
      </c>
      <c r="I9" s="110"/>
      <c r="J9" s="111"/>
    </row>
    <row r="10" spans="1:10">
      <c r="A10" s="5" t="s">
        <v>19</v>
      </c>
      <c r="B10" s="6" t="s">
        <v>225</v>
      </c>
      <c r="D10" s="57" t="s">
        <v>153</v>
      </c>
      <c r="E10" s="58" t="s">
        <v>151</v>
      </c>
      <c r="F10" s="58" t="s">
        <v>152</v>
      </c>
      <c r="H10" s="57" t="s">
        <v>153</v>
      </c>
      <c r="I10" s="58" t="s">
        <v>151</v>
      </c>
      <c r="J10" s="58" t="s">
        <v>152</v>
      </c>
    </row>
    <row r="11" spans="1:10">
      <c r="A11" s="1" t="s">
        <v>40</v>
      </c>
      <c r="B11" s="107">
        <v>1786238320</v>
      </c>
      <c r="D11" s="63" t="str">
        <f>SC_Import!D4</f>
        <v>I_320</v>
      </c>
      <c r="E11" s="89">
        <f>'Data #1'!C88</f>
        <v>-7.59</v>
      </c>
      <c r="F11" s="90">
        <f>'Data #1'!F88</f>
        <v>-9.67</v>
      </c>
      <c r="H11" s="63">
        <f>SC_Import!N4</f>
        <v>0</v>
      </c>
      <c r="I11" s="65">
        <f>'Data #1'!AU88</f>
        <v>0</v>
      </c>
      <c r="J11" s="65">
        <f>'Data #1'!AX88</f>
        <v>0</v>
      </c>
    </row>
    <row r="12" spans="1:10">
      <c r="D12" s="63">
        <f>SC_Import!D5</f>
        <v>0</v>
      </c>
      <c r="E12" s="89">
        <f>'Data #2'!C88</f>
        <v>0</v>
      </c>
      <c r="F12" s="90">
        <f>'Data #2'!F88</f>
        <v>0</v>
      </c>
      <c r="H12" s="63">
        <f>SC_Import!N5</f>
        <v>0</v>
      </c>
      <c r="I12" s="65">
        <f>'Data #2'!AU88</f>
        <v>0</v>
      </c>
      <c r="J12" s="65">
        <f>'Data #2'!AX88</f>
        <v>0</v>
      </c>
    </row>
    <row r="13" spans="1:10">
      <c r="A13" s="7" t="s">
        <v>38</v>
      </c>
      <c r="C13" s="32"/>
      <c r="D13" s="63">
        <f>SC_Import!D6</f>
        <v>0</v>
      </c>
      <c r="E13" s="89">
        <f>'Data #3'!C88</f>
        <v>0</v>
      </c>
      <c r="F13" s="90">
        <f>'Data #3'!F88</f>
        <v>0</v>
      </c>
      <c r="H13" s="63">
        <f>SC_Import!N6</f>
        <v>0</v>
      </c>
      <c r="I13" s="65">
        <f>'Data #3'!AU88</f>
        <v>0</v>
      </c>
      <c r="J13" s="65">
        <f>'Data #3'!AX88</f>
        <v>0</v>
      </c>
    </row>
    <row r="14" spans="1:10" ht="16.5" customHeight="1">
      <c r="A14" s="108"/>
      <c r="B14" s="108"/>
      <c r="C14" s="32"/>
      <c r="D14" s="63">
        <f>SC_Import!D7</f>
        <v>0</v>
      </c>
      <c r="E14" s="89">
        <f>'Data #4'!C88</f>
        <v>0</v>
      </c>
      <c r="F14" s="90">
        <f>'Data #4'!F88</f>
        <v>0</v>
      </c>
      <c r="H14" s="63">
        <f>SC_Import!N7</f>
        <v>0</v>
      </c>
      <c r="I14" s="65">
        <f>'Data #4'!AU88</f>
        <v>0</v>
      </c>
      <c r="J14" s="65">
        <f>'Data #4'!AX88</f>
        <v>0</v>
      </c>
    </row>
    <row r="15" spans="1:10" ht="15.75" customHeight="1">
      <c r="A15" s="108" t="s">
        <v>236</v>
      </c>
      <c r="B15" s="108"/>
      <c r="C15" s="112"/>
      <c r="D15" s="63">
        <f>SC_Import!D8</f>
        <v>0</v>
      </c>
      <c r="E15" s="89">
        <f>'Data #5'!C88</f>
        <v>0</v>
      </c>
      <c r="F15" s="90">
        <f>'Data #5'!F88</f>
        <v>0</v>
      </c>
      <c r="H15" s="63">
        <f>SC_Import!N8</f>
        <v>0</v>
      </c>
      <c r="I15" s="65">
        <f>'Data #5'!AU88</f>
        <v>0</v>
      </c>
      <c r="J15" s="65">
        <f>'Data #5'!AX88</f>
        <v>0</v>
      </c>
    </row>
    <row r="16" spans="1:10">
      <c r="A16" s="108"/>
      <c r="B16" s="108"/>
      <c r="C16" s="112"/>
      <c r="D16" s="57"/>
      <c r="E16" s="58"/>
      <c r="F16" s="59"/>
      <c r="H16" s="57"/>
      <c r="I16" s="58"/>
      <c r="J16" s="59"/>
    </row>
    <row r="17" spans="1:10">
      <c r="A17" s="108"/>
      <c r="B17" s="108"/>
      <c r="C17" s="112"/>
      <c r="D17" s="57" t="s">
        <v>88</v>
      </c>
      <c r="E17" s="64">
        <f>AVERAGE(E11:E15)</f>
        <v>-1.518</v>
      </c>
      <c r="F17" s="64">
        <f>AVERAGE(F11:F15)</f>
        <v>-1.9339999999999999</v>
      </c>
      <c r="H17" s="57" t="s">
        <v>146</v>
      </c>
      <c r="I17" s="64">
        <f>AVERAGE(I11:I15)</f>
        <v>0</v>
      </c>
      <c r="J17" s="64">
        <f>AVERAGE(J11:J15)</f>
        <v>0</v>
      </c>
    </row>
    <row r="18" spans="1:10" ht="16.5" thickBot="1">
      <c r="A18" s="114"/>
      <c r="B18" s="115"/>
      <c r="C18" s="115"/>
      <c r="D18" s="60" t="s">
        <v>89</v>
      </c>
      <c r="E18" s="64">
        <f>STDEV(E11:E15)</f>
        <v>3.3943511898446808</v>
      </c>
      <c r="F18" s="64">
        <f>STDEV(F11:F15)</f>
        <v>4.3245554684845935</v>
      </c>
      <c r="H18" s="60" t="s">
        <v>147</v>
      </c>
      <c r="I18" s="64">
        <f>STDEV(I11:I15)</f>
        <v>0</v>
      </c>
      <c r="J18" s="64">
        <f>STDEV(J11:J15)</f>
        <v>0</v>
      </c>
    </row>
    <row r="19" spans="1:10">
      <c r="A19" s="116"/>
      <c r="B19" s="117"/>
      <c r="C19" s="117"/>
      <c r="D19" s="94" t="s">
        <v>206</v>
      </c>
      <c r="E19" s="95">
        <f>MIN(E11:E15)</f>
        <v>-7.59</v>
      </c>
      <c r="F19" s="95">
        <f>MIN(F11:F15)</f>
        <v>-9.67</v>
      </c>
      <c r="H19" s="94" t="s">
        <v>206</v>
      </c>
      <c r="I19" s="95">
        <f>MIN(I11:I15)</f>
        <v>0</v>
      </c>
      <c r="J19" s="95">
        <f>MIN(J11:J15)</f>
        <v>0</v>
      </c>
    </row>
    <row r="20" spans="1:10">
      <c r="A20" s="113"/>
      <c r="B20" s="113"/>
      <c r="C20" s="113"/>
      <c r="D20" s="94" t="s">
        <v>207</v>
      </c>
      <c r="E20" s="95">
        <f>MAX(E11:E15)</f>
        <v>0</v>
      </c>
      <c r="F20" s="95">
        <f>MAX(F11:F15)</f>
        <v>0</v>
      </c>
      <c r="H20" s="94" t="s">
        <v>207</v>
      </c>
      <c r="I20" s="95">
        <f>MAX(I11:I15)</f>
        <v>0</v>
      </c>
      <c r="J20" s="95">
        <f>MAX(J11:J15)</f>
        <v>0</v>
      </c>
    </row>
    <row r="21" spans="1:10">
      <c r="A21" s="113"/>
      <c r="B21" s="113"/>
      <c r="C21" s="113"/>
      <c r="D21" s="94" t="s">
        <v>208</v>
      </c>
      <c r="E21" s="96">
        <f>COUNT(E11:E15)</f>
        <v>5</v>
      </c>
      <c r="F21" s="96">
        <f>COUNT(F11:F15)</f>
        <v>5</v>
      </c>
      <c r="H21" s="94" t="s">
        <v>208</v>
      </c>
      <c r="I21" s="96">
        <f>COUNT(I11:I15)</f>
        <v>5</v>
      </c>
      <c r="J21" s="96">
        <f>COUNT(J11:J15)</f>
        <v>5</v>
      </c>
    </row>
    <row r="22" spans="1:10">
      <c r="A22" s="113"/>
      <c r="B22" s="113"/>
      <c r="C22" s="113"/>
      <c r="D22" s="94" t="s">
        <v>209</v>
      </c>
      <c r="E22" s="97">
        <v>-10</v>
      </c>
      <c r="F22" s="97">
        <v>-10</v>
      </c>
      <c r="H22" s="94" t="s">
        <v>209</v>
      </c>
      <c r="I22" s="97">
        <v>-10</v>
      </c>
      <c r="J22" s="97">
        <v>-10</v>
      </c>
    </row>
    <row r="23" spans="1:10">
      <c r="A23" s="113"/>
      <c r="B23" s="113"/>
      <c r="C23" s="113"/>
      <c r="D23" s="94" t="s">
        <v>210</v>
      </c>
      <c r="E23" s="97">
        <v>-15</v>
      </c>
      <c r="F23" s="97">
        <v>-15</v>
      </c>
      <c r="H23" s="94" t="s">
        <v>210</v>
      </c>
      <c r="I23" s="97">
        <v>-15</v>
      </c>
      <c r="J23" s="97">
        <v>-15</v>
      </c>
    </row>
    <row r="24" spans="1:10" ht="43.5">
      <c r="A24" s="113" t="s">
        <v>198</v>
      </c>
      <c r="B24" s="113"/>
      <c r="C24" s="113"/>
      <c r="D24" s="98" t="s">
        <v>211</v>
      </c>
      <c r="E24" s="99">
        <f>NORMDIST(E22,E17,E18,TRUE)</f>
        <v>6.2297196608084955E-3</v>
      </c>
      <c r="F24" s="99">
        <f>NORMDIST(F22,F17,F18,TRUE)</f>
        <v>3.107929382913073E-2</v>
      </c>
      <c r="H24" s="98" t="s">
        <v>211</v>
      </c>
      <c r="I24" s="99" t="e">
        <f>NORMDIST(I22,I17,I18,TRUE)</f>
        <v>#NUM!</v>
      </c>
      <c r="J24" s="99" t="e">
        <f>NORMDIST(J22,J17,J18,TRUE)</f>
        <v>#NUM!</v>
      </c>
    </row>
    <row r="25" spans="1:10" ht="44.25" thickBot="1">
      <c r="D25" s="100" t="s">
        <v>212</v>
      </c>
      <c r="E25" s="101">
        <f>NORMDIST(E23,E17,E18,TRUE)</f>
        <v>3.5651862107120326E-5</v>
      </c>
      <c r="F25" s="101">
        <f>NORMDIST(F23,F17,F18,TRUE)</f>
        <v>1.2582472852838724E-3</v>
      </c>
      <c r="H25" s="100" t="s">
        <v>212</v>
      </c>
      <c r="I25" s="101" t="e">
        <f>NORMDIST(I23,I17,I18,TRUE)</f>
        <v>#NUM!</v>
      </c>
      <c r="J25" s="101" t="e">
        <f>NORMDIST(J23,J17,J18,TRUE)</f>
        <v>#NUM!</v>
      </c>
    </row>
  </sheetData>
  <mergeCells count="11">
    <mergeCell ref="A14:B14"/>
    <mergeCell ref="D9:F9"/>
    <mergeCell ref="H9:J9"/>
    <mergeCell ref="A15:C17"/>
    <mergeCell ref="A24:C24"/>
    <mergeCell ref="A18:C18"/>
    <mergeCell ref="A19:C19"/>
    <mergeCell ref="A20:C20"/>
    <mergeCell ref="A21:C21"/>
    <mergeCell ref="A22:C22"/>
    <mergeCell ref="A23:C23"/>
  </mergeCells>
  <phoneticPr fontId="2" type="noConversion"/>
  <hyperlinks>
    <hyperlink ref="E11" location="OPL_F1" display="OPL_F1"/>
    <hyperlink ref="E12" location="OPL_F2" display="OPL_F2"/>
    <hyperlink ref="E13" location="OPL_F3" display="OPL_F3"/>
    <hyperlink ref="E14" location="OPL_F4" display="OPL_F4"/>
    <hyperlink ref="E15" location="OPL_F5" display="OPL_F5"/>
    <hyperlink ref="F11" location="OPL_R1" display="OPL_R1"/>
    <hyperlink ref="F12" location="OPL_R2" display="OPL_R2"/>
    <hyperlink ref="F13" location="OPL_R3" display="OPL_R3"/>
    <hyperlink ref="F14" location="OPL_R4" display="OPL_R4"/>
    <hyperlink ref="F15" location="OPL_R5" display="OPL_R5"/>
  </hyperlinks>
  <pageMargins left="0.75" right="0.75" top="1" bottom="1" header="0.5" footer="0.5"/>
  <pageSetup paperSize="9" scale="74" orientation="landscape" r:id="rId1"/>
  <headerFooter alignWithMargins="0">
    <oddHeader>&amp;L&amp;"Arial,fed"GN Resound Confidential&amp;R&amp;D</oddHeader>
    <oddFooter>&amp;L&amp;Z&amp;F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84"/>
  <sheetViews>
    <sheetView topLeftCell="L1" workbookViewId="0">
      <selection activeCell="AF7" sqref="AF7"/>
    </sheetView>
  </sheetViews>
  <sheetFormatPr defaultRowHeight="12.75"/>
  <cols>
    <col min="2" max="6" width="16.5703125" style="88" bestFit="1" customWidth="1"/>
    <col min="7" max="7" width="16.5703125" style="88" customWidth="1"/>
    <col min="9" max="13" width="15.42578125" style="88" bestFit="1" customWidth="1"/>
    <col min="21" max="23" width="9.140625" style="88"/>
    <col min="24" max="24" width="9.140625" style="92"/>
    <col min="25" max="25" width="9.140625" style="88"/>
    <col min="26" max="26" width="18.140625" style="92" customWidth="1"/>
    <col min="27" max="27" width="9.140625" style="92"/>
    <col min="34" max="36" width="9.140625" style="88"/>
    <col min="37" max="37" width="9.140625" style="92"/>
    <col min="38" max="38" width="9.140625" style="88"/>
    <col min="39" max="39" width="9.140625" style="92"/>
    <col min="43" max="43" width="13" customWidth="1"/>
    <col min="44" max="44" width="9.5703125" customWidth="1"/>
    <col min="48" max="50" width="9.140625" style="88"/>
    <col min="51" max="51" width="9.140625" style="92"/>
    <col min="52" max="52" width="9.140625" style="88"/>
    <col min="53" max="54" width="9.140625" style="92"/>
    <col min="61" max="63" width="9.140625" style="88"/>
    <col min="64" max="64" width="9.140625" style="92"/>
    <col min="65" max="65" width="9.140625" style="88"/>
    <col min="66" max="66" width="9.140625" style="92"/>
  </cols>
  <sheetData>
    <row r="1" spans="1:67">
      <c r="B1" s="88" t="s">
        <v>185</v>
      </c>
      <c r="C1" s="88" t="s">
        <v>8</v>
      </c>
      <c r="D1" s="88" t="s">
        <v>8</v>
      </c>
      <c r="E1" s="88" t="s">
        <v>8</v>
      </c>
      <c r="F1" s="88" t="s">
        <v>8</v>
      </c>
      <c r="I1" s="88" t="s">
        <v>9</v>
      </c>
      <c r="J1" s="88" t="s">
        <v>9</v>
      </c>
      <c r="K1" s="88" t="s">
        <v>9</v>
      </c>
      <c r="L1" s="88" t="s">
        <v>9</v>
      </c>
      <c r="M1" s="88" t="s">
        <v>9</v>
      </c>
      <c r="P1" t="s">
        <v>199</v>
      </c>
      <c r="Q1" t="s">
        <v>199</v>
      </c>
      <c r="R1" t="s">
        <v>199</v>
      </c>
      <c r="S1" t="s">
        <v>199</v>
      </c>
      <c r="T1" t="s">
        <v>199</v>
      </c>
      <c r="U1" s="88" t="s">
        <v>202</v>
      </c>
      <c r="V1" s="88" t="s">
        <v>203</v>
      </c>
      <c r="W1" s="88" t="s">
        <v>205</v>
      </c>
      <c r="X1" s="92" t="str">
        <f>CONCATENATE("Front&gt;10 Probability", Settings!$C$5)</f>
        <v>Front&gt;10 Probability</v>
      </c>
      <c r="Y1" s="88" t="s">
        <v>205</v>
      </c>
      <c r="Z1" s="92" t="str">
        <f>CONCATENATE("Front&gt;15 Probability", Settings!$C$5)</f>
        <v>Front&gt;15 Probability</v>
      </c>
      <c r="AC1" t="s">
        <v>200</v>
      </c>
      <c r="AD1" t="s">
        <v>200</v>
      </c>
      <c r="AE1" t="s">
        <v>200</v>
      </c>
      <c r="AF1" t="s">
        <v>200</v>
      </c>
      <c r="AG1" t="s">
        <v>200</v>
      </c>
      <c r="AH1" s="88" t="s">
        <v>202</v>
      </c>
      <c r="AI1" s="88" t="s">
        <v>203</v>
      </c>
      <c r="AJ1" s="88" t="s">
        <v>205</v>
      </c>
      <c r="AK1" s="92" t="str">
        <f>CONCATENATE("Rear&gt;10 Probability", Settings!$C$5)</f>
        <v>Rear&gt;10 Probability</v>
      </c>
      <c r="AL1" s="88" t="s">
        <v>205</v>
      </c>
      <c r="AM1" s="92" t="str">
        <f>CONCATENATE("Rear&gt;15 Probability", Settings!$C$5)</f>
        <v>Rear&gt;15 Probability</v>
      </c>
      <c r="AQ1" t="s">
        <v>199</v>
      </c>
      <c r="AR1" t="s">
        <v>199</v>
      </c>
      <c r="AS1" t="s">
        <v>199</v>
      </c>
      <c r="AT1" t="s">
        <v>199</v>
      </c>
      <c r="AU1" t="s">
        <v>199</v>
      </c>
      <c r="AV1" s="88" t="s">
        <v>202</v>
      </c>
      <c r="AW1" s="88" t="s">
        <v>203</v>
      </c>
      <c r="AX1" s="88" t="s">
        <v>205</v>
      </c>
      <c r="AY1" s="92" t="str">
        <f>CONCATENATE("Front&gt;10 Probability", Settings!$C$6)</f>
        <v>Front&gt;10 Probability</v>
      </c>
      <c r="AZ1" s="88" t="s">
        <v>205</v>
      </c>
      <c r="BA1" s="92" t="str">
        <f>CONCATENATE("Front&gt;15 Probability", Settings!$C$6)</f>
        <v>Front&gt;15 Probability</v>
      </c>
      <c r="BD1" t="s">
        <v>200</v>
      </c>
      <c r="BE1" t="s">
        <v>200</v>
      </c>
      <c r="BF1" t="s">
        <v>200</v>
      </c>
      <c r="BG1" t="s">
        <v>200</v>
      </c>
      <c r="BH1" t="s">
        <v>200</v>
      </c>
      <c r="BI1" s="88" t="s">
        <v>202</v>
      </c>
      <c r="BJ1" s="88" t="s">
        <v>203</v>
      </c>
      <c r="BK1" s="88" t="s">
        <v>205</v>
      </c>
      <c r="BL1" s="92" t="str">
        <f>CONCATENATE("Rear&gt;10 Probability", Settings!$C$6)</f>
        <v>Rear&gt;10 Probability</v>
      </c>
      <c r="BM1" s="88" t="s">
        <v>205</v>
      </c>
      <c r="BN1" s="92" t="str">
        <f>CONCATENATE("Rear&gt;15 Probability", Settings!$C$6)</f>
        <v>Rear&gt;15 Probability</v>
      </c>
      <c r="BO1" s="92"/>
    </row>
    <row r="2" spans="1:67">
      <c r="B2" s="88" t="str">
        <f>SC_Import!$D$4</f>
        <v>I_320</v>
      </c>
      <c r="C2" s="88">
        <f>SC_Import!$D$5</f>
        <v>0</v>
      </c>
      <c r="D2" s="55">
        <f>SC_Import!$D$6</f>
        <v>0</v>
      </c>
      <c r="E2" s="88">
        <f>SC_Import!$D$7</f>
        <v>0</v>
      </c>
      <c r="F2" s="88">
        <f>SC_Import!$D$8</f>
        <v>0</v>
      </c>
      <c r="I2" s="88" t="str">
        <f>SC_Import!$D$4</f>
        <v>I_320</v>
      </c>
      <c r="J2" s="88">
        <f>SC_Import!$D$5</f>
        <v>0</v>
      </c>
      <c r="K2" s="55">
        <f>SC_Import!$D$6</f>
        <v>0</v>
      </c>
      <c r="L2" s="88">
        <f>SC_Import!$D$7</f>
        <v>0</v>
      </c>
      <c r="M2" s="88">
        <f>SC_Import!$D$8</f>
        <v>0</v>
      </c>
      <c r="P2" s="91" t="str">
        <f>SC_Import!$D$4</f>
        <v>I_320</v>
      </c>
      <c r="Q2" s="91">
        <f>SC_Import!$D$5</f>
        <v>0</v>
      </c>
      <c r="R2" s="91">
        <f>SC_Import!$D$6</f>
        <v>0</v>
      </c>
      <c r="S2" s="91">
        <f>SC_Import!$D$7</f>
        <v>0</v>
      </c>
      <c r="T2" s="91">
        <f>SC_Import!$D$8</f>
        <v>0</v>
      </c>
      <c r="AC2" s="91" t="str">
        <f>SC_Import!$D$4</f>
        <v>I_320</v>
      </c>
      <c r="AD2" s="91">
        <f>SC_Import!$D$5</f>
        <v>0</v>
      </c>
      <c r="AE2" s="91">
        <f>SC_Import!$D$6</f>
        <v>0</v>
      </c>
      <c r="AF2" s="91">
        <f>SC_Import!$D$7</f>
        <v>0</v>
      </c>
      <c r="AG2" s="91">
        <f>SC_Import!$D$8</f>
        <v>0</v>
      </c>
      <c r="AQ2" s="93" t="str">
        <f>CONCATENATE(SC_Import!$D$4,Settings!$C$6)</f>
        <v>I_320</v>
      </c>
      <c r="AR2" s="93" t="str">
        <f>CONCATENATE(SC_Import!$D$5,Settings!$C$6)</f>
        <v/>
      </c>
      <c r="AS2" s="93" t="str">
        <f>CONCATENATE(SC_Import!$D$6,Settings!$C$6)</f>
        <v/>
      </c>
      <c r="AT2" s="93" t="str">
        <f>CONCATENATE(SC_Import!$D$7,Settings!$C$6)</f>
        <v/>
      </c>
      <c r="AU2" s="93" t="str">
        <f>CONCATENATE(SC_Import!$D$8,Settings!$C$6)</f>
        <v/>
      </c>
      <c r="AV2" s="93"/>
      <c r="AW2" s="93"/>
      <c r="AX2" s="93"/>
      <c r="AY2" s="93"/>
      <c r="AZ2" s="93"/>
      <c r="BA2" s="93"/>
      <c r="BB2" s="93"/>
      <c r="BC2" s="93"/>
      <c r="BD2" s="93" t="str">
        <f>CONCATENATE(SC_Import!$D$4,Settings!$C$6)</f>
        <v>I_320</v>
      </c>
      <c r="BE2" s="93" t="str">
        <f>CONCATENATE(SC_Import!$D$5,Settings!$C$6)</f>
        <v/>
      </c>
      <c r="BF2" s="93" t="str">
        <f>CONCATENATE(SC_Import!$D$6,Settings!$C$6)</f>
        <v/>
      </c>
      <c r="BG2" s="93" t="str">
        <f>CONCATENATE(SC_Import!$D$7,Settings!$C$6)</f>
        <v/>
      </c>
      <c r="BH2" s="93" t="str">
        <f>CONCATENATE(SC_Import!$D$8,Settings!$C$6)</f>
        <v/>
      </c>
      <c r="BI2" s="93"/>
      <c r="BJ2" s="93"/>
      <c r="BK2" s="93"/>
      <c r="BL2" s="93"/>
      <c r="BM2" s="93"/>
      <c r="BN2" s="93"/>
    </row>
    <row r="3" spans="1:67">
      <c r="A3" t="s">
        <v>186</v>
      </c>
      <c r="B3" s="88" t="str">
        <f>CONCATENATE(B1,"_",B2)</f>
        <v>MSG_Front_I_320</v>
      </c>
      <c r="C3" s="88" t="str">
        <f>CONCATENATE(C1,"_",C2)</f>
        <v>MSG_Front _0</v>
      </c>
      <c r="D3" s="88" t="str">
        <f>CONCATENATE(D1,"_",D2)</f>
        <v>MSG_Front _0</v>
      </c>
      <c r="E3" s="88" t="str">
        <f>CONCATENATE(E1,"_",E2)</f>
        <v>MSG_Front _0</v>
      </c>
      <c r="F3" s="88" t="str">
        <f>CONCATENATE(F1,"_",F2)</f>
        <v>MSG_Front _0</v>
      </c>
      <c r="I3" s="88" t="str">
        <f>CONCATENATE(I1,"_",I2)</f>
        <v>MSG_Rear_I_320</v>
      </c>
      <c r="J3" s="88" t="str">
        <f>CONCATENATE(J1,"_",J2)</f>
        <v>MSG_Rear_0</v>
      </c>
      <c r="K3" s="88" t="str">
        <f>CONCATENATE(K1,"_",K2)</f>
        <v>MSG_Rear_0</v>
      </c>
      <c r="L3" s="88" t="str">
        <f>CONCATENATE(L1,"_",L2)</f>
        <v>MSG_Rear_0</v>
      </c>
      <c r="M3" s="88" t="str">
        <f>CONCATENATE(M1,"_",M2)</f>
        <v>MSG_Rear_0</v>
      </c>
      <c r="O3" t="s">
        <v>201</v>
      </c>
      <c r="P3" t="str">
        <f>CONCATENATE(P1,"_",P2)</f>
        <v>Max_Front_I_320</v>
      </c>
      <c r="Q3" t="str">
        <f>CONCATENATE(Q1,"_",Q2)</f>
        <v>Max_Front_0</v>
      </c>
      <c r="R3" t="str">
        <f>CONCATENATE(R1,"_",R2)</f>
        <v>Max_Front_0</v>
      </c>
      <c r="S3" t="str">
        <f>CONCATENATE(S1,"_",S2)</f>
        <v>Max_Front_0</v>
      </c>
      <c r="T3" t="str">
        <f>CONCATENATE(T1,"_",T2)</f>
        <v>Max_Front_0</v>
      </c>
      <c r="U3" s="88" t="s">
        <v>204</v>
      </c>
      <c r="AC3" t="str">
        <f>CONCATENATE(AC1,"_",AC2)</f>
        <v>Max_Rear_I_320</v>
      </c>
      <c r="AD3" t="str">
        <f>CONCATENATE(AD1,"_",AD2)</f>
        <v>Max_Rear_0</v>
      </c>
      <c r="AE3" t="str">
        <f>CONCATENATE(AE1,"_",AE2)</f>
        <v>Max_Rear_0</v>
      </c>
      <c r="AF3" t="str">
        <f>CONCATENATE(AF1,"_",AF2)</f>
        <v>Max_Rear_0</v>
      </c>
      <c r="AG3" t="str">
        <f>CONCATENATE(AG1,"_",AG2)</f>
        <v>Max_Rear_0</v>
      </c>
      <c r="AH3" s="88" t="s">
        <v>204</v>
      </c>
      <c r="AP3" t="s">
        <v>201</v>
      </c>
      <c r="AQ3" t="str">
        <f>CONCATENATE(AQ1,"_",AQ2)</f>
        <v>Max_Front_I_320</v>
      </c>
      <c r="AR3" t="str">
        <f>CONCATENATE(AR1,"_",AR2)</f>
        <v>Max_Front_</v>
      </c>
      <c r="AS3" t="str">
        <f>CONCATENATE(AS1,"_",AS2)</f>
        <v>Max_Front_</v>
      </c>
      <c r="AT3" t="str">
        <f>CONCATENATE(AT1,"_",AT2)</f>
        <v>Max_Front_</v>
      </c>
      <c r="AU3" t="str">
        <f>CONCATENATE(AU1,"_",AU2)</f>
        <v>Max_Front_</v>
      </c>
      <c r="AV3" s="88" t="s">
        <v>204</v>
      </c>
      <c r="BD3" t="str">
        <f>CONCATENATE(BD1,"_",BD2)</f>
        <v>Max_Rear_I_320</v>
      </c>
      <c r="BE3" t="str">
        <f>CONCATENATE(BE1,"_",BE2)</f>
        <v>Max_Rear_</v>
      </c>
      <c r="BF3" t="str">
        <f>CONCATENATE(BF1,"_",BF2)</f>
        <v>Max_Rear_</v>
      </c>
      <c r="BG3" t="str">
        <f>CONCATENATE(BG1,"_",BG2)</f>
        <v>Max_Rear_</v>
      </c>
      <c r="BH3" t="str">
        <f>CONCATENATE(BH1,"_",BH2)</f>
        <v>Max_Rear_</v>
      </c>
      <c r="BI3" s="88" t="s">
        <v>204</v>
      </c>
    </row>
    <row r="4" spans="1:67">
      <c r="A4" s="19">
        <v>100</v>
      </c>
      <c r="B4" s="88">
        <f>'Data #1'!W6</f>
        <v>104.77666666666669</v>
      </c>
      <c r="C4" s="88">
        <f>'Data #2'!W6</f>
        <v>20</v>
      </c>
      <c r="D4" s="88">
        <f>'Data #3'!W6</f>
        <v>20</v>
      </c>
      <c r="E4" s="88">
        <f>'Data #4'!W6</f>
        <v>20</v>
      </c>
      <c r="F4" s="88">
        <f>'Data #5'!W6</f>
        <v>20</v>
      </c>
      <c r="H4" s="20">
        <v>100</v>
      </c>
      <c r="I4" s="88">
        <f>'Data #1'!AH6</f>
        <v>108.36</v>
      </c>
      <c r="J4" s="88">
        <f>'Data #2'!AH6</f>
        <v>20</v>
      </c>
      <c r="K4" s="88">
        <f>'Data #3'!AH6</f>
        <v>20</v>
      </c>
      <c r="L4" s="88">
        <f>'Data #4'!AH6</f>
        <v>20</v>
      </c>
      <c r="M4" s="88">
        <f>'Data #5'!AH6</f>
        <v>20</v>
      </c>
      <c r="O4">
        <v>100</v>
      </c>
      <c r="P4">
        <f>MAX('Data #1'!C6:E6)</f>
        <v>-54.74</v>
      </c>
      <c r="Q4">
        <f>MAX('Data #2'!C6:E6)</f>
        <v>0</v>
      </c>
      <c r="R4">
        <f>MAX('Data #3'!C6:E6)</f>
        <v>0</v>
      </c>
      <c r="S4">
        <f>MAX('Data #4'!C6:E6)</f>
        <v>0</v>
      </c>
      <c r="T4">
        <f>MAX('Data #5'!C6:E6)</f>
        <v>0</v>
      </c>
      <c r="U4" s="88">
        <f t="shared" ref="U4:U35" si="0">AVERAGE(P4:T4)</f>
        <v>-10.948</v>
      </c>
      <c r="V4" s="88">
        <f t="shared" ref="V4:V35" si="1">_xlfn.STDEV.S(P4:T4)</f>
        <v>24.4804722176677</v>
      </c>
      <c r="W4" s="88">
        <v>-10</v>
      </c>
      <c r="X4" s="92">
        <f>_xlfn.NORM.DIST(W4,U4,V4,TRUE)</f>
        <v>0.51544507700866382</v>
      </c>
      <c r="Y4" s="88">
        <v>-15</v>
      </c>
      <c r="Z4" s="92">
        <f>_xlfn.NORM.DIST(Y4,U4,V4,TRUE)</f>
        <v>0.43426747937287086</v>
      </c>
      <c r="AB4">
        <v>100</v>
      </c>
      <c r="AC4">
        <f>MAX('Data #1'!F6:H6)</f>
        <v>-58.69</v>
      </c>
      <c r="AD4">
        <f>MAX('Data #2'!F6:H6)</f>
        <v>0</v>
      </c>
      <c r="AE4">
        <f>MAX('Data #3'!F6:H6)</f>
        <v>0</v>
      </c>
      <c r="AF4">
        <f>MAX('Data #4'!F6:H6)</f>
        <v>0</v>
      </c>
      <c r="AG4">
        <f>MAX('Data #5'!F6:H6)</f>
        <v>0</v>
      </c>
      <c r="AH4" s="88">
        <f>AVERAGE(AC4:AG4)</f>
        <v>-11.738</v>
      </c>
      <c r="AI4" s="88">
        <f>_xlfn.STDEV.S(AC4:AG4)</f>
        <v>26.246965919892531</v>
      </c>
      <c r="AJ4" s="88">
        <v>-10</v>
      </c>
      <c r="AK4" s="92">
        <f>_xlfn.NORM.DIST(AJ4,AH4,AI4,TRUE)</f>
        <v>0.52639753942187884</v>
      </c>
      <c r="AL4" s="88">
        <v>-15</v>
      </c>
      <c r="AM4" s="92">
        <f>_xlfn.NORM.DIST(AL4,AH4,AI4,TRUE)</f>
        <v>0.45054638273609676</v>
      </c>
      <c r="AP4">
        <v>100</v>
      </c>
      <c r="AQ4">
        <f>MAX('Data #1'!AU6:AW6)</f>
        <v>0</v>
      </c>
      <c r="AR4">
        <f>MAX('Data #2'!AU6:AW6)</f>
        <v>0</v>
      </c>
      <c r="AS4">
        <f>MAX('Data #3'!AU6:AW6)</f>
        <v>0</v>
      </c>
      <c r="AT4">
        <f>MAX('Data #4'!AU6:AW6)</f>
        <v>0</v>
      </c>
      <c r="AU4">
        <f>MAX('Data #5'!AU6:AW6)</f>
        <v>0</v>
      </c>
      <c r="AV4" s="88">
        <f t="shared" ref="AV4:AV67" si="2">AVERAGE(AQ4:AU4)</f>
        <v>0</v>
      </c>
      <c r="AW4" s="88">
        <f t="shared" ref="AW4:AW67" si="3">_xlfn.STDEV.S(AQ4:AU4)</f>
        <v>0</v>
      </c>
      <c r="AX4" s="88">
        <v>-10</v>
      </c>
      <c r="AY4" s="92" t="e">
        <f>_xlfn.NORM.DIST(AX4,AV4,AW4,TRUE)</f>
        <v>#NUM!</v>
      </c>
      <c r="AZ4" s="88">
        <v>-15</v>
      </c>
      <c r="BA4" s="92" t="e">
        <f>_xlfn.NORM.DIST(AZ4,AV4,AW4,TRUE)</f>
        <v>#NUM!</v>
      </c>
      <c r="BC4">
        <v>100</v>
      </c>
      <c r="BD4">
        <f>MAX('Data #1'!AX6:AZ6)</f>
        <v>0</v>
      </c>
      <c r="BE4">
        <f>MAX('Data #2'!AX6:AZ6)</f>
        <v>0</v>
      </c>
      <c r="BF4">
        <f>MAX('Data #3'!AX6:AZ6)</f>
        <v>0</v>
      </c>
      <c r="BG4">
        <f>MAX('Data #4'!AX6:AZ6)</f>
        <v>0</v>
      </c>
      <c r="BH4">
        <f>MAX('Data #5'!AX6:AZ6)</f>
        <v>0</v>
      </c>
      <c r="BI4" s="88">
        <f>AVERAGE(BD4:BH4)</f>
        <v>0</v>
      </c>
      <c r="BJ4" s="88">
        <f>_xlfn.STDEV.S(BD4:BH4)</f>
        <v>0</v>
      </c>
      <c r="BK4" s="88">
        <v>-10</v>
      </c>
      <c r="BL4" s="92" t="e">
        <f>_xlfn.NORM.DIST(BK4,BI4,BJ4,TRUE)</f>
        <v>#NUM!</v>
      </c>
      <c r="BM4" s="88">
        <v>-15</v>
      </c>
      <c r="BN4" s="92" t="e">
        <f>_xlfn.NORM.DIST(BM4,BI4,BJ4,TRUE)</f>
        <v>#NUM!</v>
      </c>
    </row>
    <row r="5" spans="1:67">
      <c r="A5" s="19">
        <v>106</v>
      </c>
      <c r="B5" s="88">
        <f>'Data #1'!W7</f>
        <v>107.74000000000001</v>
      </c>
      <c r="C5" s="88">
        <f>'Data #2'!W7</f>
        <v>20</v>
      </c>
      <c r="D5" s="88">
        <f>'Data #3'!W7</f>
        <v>20</v>
      </c>
      <c r="E5" s="88">
        <f>'Data #4'!W7</f>
        <v>20</v>
      </c>
      <c r="F5" s="88">
        <f>'Data #5'!W7</f>
        <v>20</v>
      </c>
      <c r="H5" s="20">
        <v>106</v>
      </c>
      <c r="I5" s="88">
        <f>'Data #1'!AH7</f>
        <v>114.27666666666669</v>
      </c>
      <c r="J5" s="88">
        <f>'Data #2'!AH7</f>
        <v>20</v>
      </c>
      <c r="K5" s="88">
        <f>'Data #3'!AH7</f>
        <v>20</v>
      </c>
      <c r="L5" s="88">
        <f>'Data #4'!AH7</f>
        <v>20</v>
      </c>
      <c r="M5" s="88">
        <f>'Data #5'!AH7</f>
        <v>20</v>
      </c>
      <c r="O5">
        <v>106</v>
      </c>
      <c r="P5">
        <f>MAX('Data #1'!C7:E7)</f>
        <v>-57.99</v>
      </c>
      <c r="Q5">
        <f>MAX('Data #2'!C7:E7)</f>
        <v>0</v>
      </c>
      <c r="R5">
        <f>MAX('Data #3'!C7:E7)</f>
        <v>0</v>
      </c>
      <c r="S5">
        <f>MAX('Data #4'!C7:E7)</f>
        <v>0</v>
      </c>
      <c r="T5">
        <f>MAX('Data #5'!C7:E7)</f>
        <v>0</v>
      </c>
      <c r="U5" s="88">
        <f t="shared" si="0"/>
        <v>-11.598000000000001</v>
      </c>
      <c r="V5" s="88">
        <f t="shared" si="1"/>
        <v>25.933916403042563</v>
      </c>
      <c r="W5" s="88">
        <v>-10</v>
      </c>
      <c r="X5" s="92">
        <f t="shared" ref="X5:X68" si="4">_xlfn.NORM.DIST(W5,U5,V5,TRUE)</f>
        <v>0.52456653935362296</v>
      </c>
      <c r="Y5" s="88">
        <v>-15</v>
      </c>
      <c r="Z5" s="92">
        <f t="shared" ref="Z5:Z68" si="5">_xlfn.NORM.DIST(Y5,U5,V5,TRUE)</f>
        <v>0.44781662856676419</v>
      </c>
      <c r="AB5">
        <v>106</v>
      </c>
      <c r="AC5">
        <f>MAX('Data #1'!F7:H7)</f>
        <v>-62.11</v>
      </c>
      <c r="AD5">
        <f>MAX('Data #2'!F7:H7)</f>
        <v>0</v>
      </c>
      <c r="AE5">
        <f>MAX('Data #3'!F7:H7)</f>
        <v>0</v>
      </c>
      <c r="AF5">
        <f>MAX('Data #4'!F7:H7)</f>
        <v>0</v>
      </c>
      <c r="AG5">
        <f>MAX('Data #5'!F7:H7)</f>
        <v>0</v>
      </c>
      <c r="AH5" s="88">
        <f t="shared" ref="AH5:AH68" si="6">AVERAGE(AC5:AG5)</f>
        <v>-12.422000000000001</v>
      </c>
      <c r="AI5" s="88">
        <f t="shared" ref="AI5:AI68" si="7">_xlfn.STDEV.S(AC5:AG5)</f>
        <v>27.776436416502385</v>
      </c>
      <c r="AJ5" s="88">
        <v>-10</v>
      </c>
      <c r="AK5" s="92">
        <f t="shared" ref="AK5:AK68" si="8">_xlfn.NORM.DIST(AJ5,AH5,AI5,TRUE)</f>
        <v>0.53474222431278839</v>
      </c>
      <c r="AL5" s="88">
        <v>-15</v>
      </c>
      <c r="AM5" s="92">
        <f t="shared" ref="AM5:AM68" si="9">_xlfn.NORM.DIST(AL5,AH5,AI5,TRUE)</f>
        <v>0.46302626737751273</v>
      </c>
      <c r="AP5">
        <v>106</v>
      </c>
      <c r="AQ5">
        <f>MAX('Data #1'!AU7:AW7)</f>
        <v>0</v>
      </c>
      <c r="AR5">
        <f>MAX('Data #2'!AU7:AW7)</f>
        <v>0</v>
      </c>
      <c r="AS5">
        <f>MAX('Data #3'!AU7:AW7)</f>
        <v>0</v>
      </c>
      <c r="AT5">
        <f>MAX('Data #4'!AU7:AW7)</f>
        <v>0</v>
      </c>
      <c r="AU5">
        <f>MAX('Data #5'!AU7:AW7)</f>
        <v>0</v>
      </c>
      <c r="AV5" s="88">
        <f t="shared" si="2"/>
        <v>0</v>
      </c>
      <c r="AW5" s="88">
        <f t="shared" si="3"/>
        <v>0</v>
      </c>
      <c r="AX5" s="88">
        <v>-10</v>
      </c>
      <c r="AY5" s="92" t="e">
        <f t="shared" ref="AY5:AY68" si="10">_xlfn.NORM.DIST(AX5,AV5,AW5,TRUE)</f>
        <v>#NUM!</v>
      </c>
      <c r="AZ5" s="88">
        <v>-15</v>
      </c>
      <c r="BA5" s="92" t="e">
        <f t="shared" ref="BA5:BA68" si="11">_xlfn.NORM.DIST(AZ5,AV5,AW5,TRUE)</f>
        <v>#NUM!</v>
      </c>
      <c r="BC5">
        <v>106</v>
      </c>
      <c r="BD5">
        <f>MAX('Data #1'!AX7:AZ7)</f>
        <v>0</v>
      </c>
      <c r="BE5">
        <f>MAX('Data #2'!AX7:AZ7)</f>
        <v>0</v>
      </c>
      <c r="BF5">
        <f>MAX('Data #3'!AX7:AZ7)</f>
        <v>0</v>
      </c>
      <c r="BG5">
        <f>MAX('Data #4'!AX7:AZ7)</f>
        <v>0</v>
      </c>
      <c r="BH5">
        <f>MAX('Data #5'!AX7:AZ7)</f>
        <v>0</v>
      </c>
      <c r="BI5" s="88">
        <f t="shared" ref="BI5:BI68" si="12">AVERAGE(BD5:BH5)</f>
        <v>0</v>
      </c>
      <c r="BJ5" s="88">
        <f t="shared" ref="BJ5:BJ68" si="13">_xlfn.STDEV.S(BD5:BH5)</f>
        <v>0</v>
      </c>
      <c r="BK5" s="88">
        <v>-10</v>
      </c>
      <c r="BL5" s="92" t="e">
        <f t="shared" ref="BL5:BL68" si="14">_xlfn.NORM.DIST(BK5,BI5,BJ5,TRUE)</f>
        <v>#NUM!</v>
      </c>
      <c r="BM5" s="88">
        <v>-15</v>
      </c>
      <c r="BN5" s="92" t="e">
        <f t="shared" ref="BN5:BN68" si="15">_xlfn.NORM.DIST(BM5,BI5,BJ5,TRUE)</f>
        <v>#NUM!</v>
      </c>
    </row>
    <row r="6" spans="1:67">
      <c r="A6" s="19">
        <v>112</v>
      </c>
      <c r="B6" s="88">
        <f>'Data #1'!W8</f>
        <v>111.61</v>
      </c>
      <c r="C6" s="88">
        <f>'Data #2'!W8</f>
        <v>20</v>
      </c>
      <c r="D6" s="88">
        <f>'Data #3'!W8</f>
        <v>20</v>
      </c>
      <c r="E6" s="88">
        <f>'Data #4'!W8</f>
        <v>20</v>
      </c>
      <c r="F6" s="88">
        <f>'Data #5'!W8</f>
        <v>20</v>
      </c>
      <c r="H6" s="20">
        <v>112</v>
      </c>
      <c r="I6" s="88">
        <f>'Data #1'!AH8</f>
        <v>114.05</v>
      </c>
      <c r="J6" s="88">
        <f>'Data #2'!AH8</f>
        <v>20</v>
      </c>
      <c r="K6" s="88">
        <f>'Data #3'!AH8</f>
        <v>20</v>
      </c>
      <c r="L6" s="88">
        <f>'Data #4'!AH8</f>
        <v>20</v>
      </c>
      <c r="M6" s="88">
        <f>'Data #5'!AH8</f>
        <v>20</v>
      </c>
      <c r="O6">
        <v>112</v>
      </c>
      <c r="P6">
        <f>MAX('Data #1'!C8:E8)</f>
        <v>-60.58</v>
      </c>
      <c r="Q6">
        <f>MAX('Data #2'!C8:E8)</f>
        <v>0</v>
      </c>
      <c r="R6">
        <f>MAX('Data #3'!C8:E8)</f>
        <v>0</v>
      </c>
      <c r="S6">
        <f>MAX('Data #4'!C8:E8)</f>
        <v>0</v>
      </c>
      <c r="T6">
        <f>MAX('Data #5'!C8:E8)</f>
        <v>0</v>
      </c>
      <c r="U6" s="88">
        <f t="shared" si="0"/>
        <v>-12.116</v>
      </c>
      <c r="V6" s="88">
        <f t="shared" si="1"/>
        <v>27.09219961538745</v>
      </c>
      <c r="W6" s="88">
        <v>-10</v>
      </c>
      <c r="X6" s="92">
        <f t="shared" si="4"/>
        <v>0.53112720285626858</v>
      </c>
      <c r="Y6" s="88">
        <v>-15</v>
      </c>
      <c r="Z6" s="92">
        <f t="shared" si="5"/>
        <v>0.45761214445510889</v>
      </c>
      <c r="AB6">
        <v>112</v>
      </c>
      <c r="AC6">
        <f>MAX('Data #1'!F8:H8)</f>
        <v>-63.47</v>
      </c>
      <c r="AD6">
        <f>MAX('Data #2'!F8:H8)</f>
        <v>0</v>
      </c>
      <c r="AE6">
        <f>MAX('Data #3'!F8:H8)</f>
        <v>0</v>
      </c>
      <c r="AF6">
        <f>MAX('Data #4'!F8:H8)</f>
        <v>0</v>
      </c>
      <c r="AG6">
        <f>MAX('Data #5'!F8:H8)</f>
        <v>0</v>
      </c>
      <c r="AH6" s="88">
        <f t="shared" si="6"/>
        <v>-12.693999999999999</v>
      </c>
      <c r="AI6" s="88">
        <f t="shared" si="7"/>
        <v>28.384646906382329</v>
      </c>
      <c r="AJ6" s="88">
        <v>-10</v>
      </c>
      <c r="AK6" s="92">
        <f t="shared" si="8"/>
        <v>0.53780702739698227</v>
      </c>
      <c r="AL6" s="88">
        <v>-15</v>
      </c>
      <c r="AM6" s="92">
        <f t="shared" si="9"/>
        <v>0.46762510635262589</v>
      </c>
      <c r="AP6">
        <v>112</v>
      </c>
      <c r="AQ6">
        <f>MAX('Data #1'!AU8:AW8)</f>
        <v>0</v>
      </c>
      <c r="AR6">
        <f>MAX('Data #2'!AU8:AW8)</f>
        <v>0</v>
      </c>
      <c r="AS6">
        <f>MAX('Data #3'!AU8:AW8)</f>
        <v>0</v>
      </c>
      <c r="AT6">
        <f>MAX('Data #4'!AU8:AW8)</f>
        <v>0</v>
      </c>
      <c r="AU6">
        <f>MAX('Data #5'!AU8:AW8)</f>
        <v>0</v>
      </c>
      <c r="AV6" s="88">
        <f t="shared" si="2"/>
        <v>0</v>
      </c>
      <c r="AW6" s="88">
        <f t="shared" si="3"/>
        <v>0</v>
      </c>
      <c r="AX6" s="88">
        <v>-10</v>
      </c>
      <c r="AY6" s="92" t="e">
        <f t="shared" si="10"/>
        <v>#NUM!</v>
      </c>
      <c r="AZ6" s="88">
        <v>-15</v>
      </c>
      <c r="BA6" s="92" t="e">
        <f t="shared" si="11"/>
        <v>#NUM!</v>
      </c>
      <c r="BC6">
        <v>112</v>
      </c>
      <c r="BD6">
        <f>MAX('Data #1'!AX8:AZ8)</f>
        <v>0</v>
      </c>
      <c r="BE6">
        <f>MAX('Data #2'!AX8:AZ8)</f>
        <v>0</v>
      </c>
      <c r="BF6">
        <f>MAX('Data #3'!AX8:AZ8)</f>
        <v>0</v>
      </c>
      <c r="BG6">
        <f>MAX('Data #4'!AX8:AZ8)</f>
        <v>0</v>
      </c>
      <c r="BH6">
        <f>MAX('Data #5'!AX8:AZ8)</f>
        <v>0</v>
      </c>
      <c r="BI6" s="88">
        <f t="shared" si="12"/>
        <v>0</v>
      </c>
      <c r="BJ6" s="88">
        <f t="shared" si="13"/>
        <v>0</v>
      </c>
      <c r="BK6" s="88">
        <v>-10</v>
      </c>
      <c r="BL6" s="92" t="e">
        <f t="shared" si="14"/>
        <v>#NUM!</v>
      </c>
      <c r="BM6" s="88">
        <v>-15</v>
      </c>
      <c r="BN6" s="92" t="e">
        <f t="shared" si="15"/>
        <v>#NUM!</v>
      </c>
    </row>
    <row r="7" spans="1:67">
      <c r="A7" s="19">
        <v>118</v>
      </c>
      <c r="B7" s="88">
        <f>'Data #1'!W9</f>
        <v>115.62333333333333</v>
      </c>
      <c r="C7" s="88">
        <f>'Data #2'!W9</f>
        <v>20</v>
      </c>
      <c r="D7" s="88">
        <f>'Data #3'!W9</f>
        <v>20</v>
      </c>
      <c r="E7" s="88">
        <f>'Data #4'!W9</f>
        <v>20</v>
      </c>
      <c r="F7" s="88">
        <f>'Data #5'!W9</f>
        <v>20</v>
      </c>
      <c r="H7" s="20">
        <v>118</v>
      </c>
      <c r="I7" s="88">
        <f>'Data #1'!AH9</f>
        <v>108.81666666666666</v>
      </c>
      <c r="J7" s="88">
        <f>'Data #2'!AH9</f>
        <v>20</v>
      </c>
      <c r="K7" s="88">
        <f>'Data #3'!AH9</f>
        <v>20</v>
      </c>
      <c r="L7" s="88">
        <f>'Data #4'!AH9</f>
        <v>20</v>
      </c>
      <c r="M7" s="88">
        <f>'Data #5'!AH9</f>
        <v>20</v>
      </c>
      <c r="O7">
        <v>118</v>
      </c>
      <c r="P7">
        <f>MAX('Data #1'!C9:E9)</f>
        <v>-63.21</v>
      </c>
      <c r="Q7">
        <f>MAX('Data #2'!C9:E9)</f>
        <v>0</v>
      </c>
      <c r="R7">
        <f>MAX('Data #3'!C9:E9)</f>
        <v>0</v>
      </c>
      <c r="S7">
        <f>MAX('Data #4'!C9:E9)</f>
        <v>0</v>
      </c>
      <c r="T7">
        <f>MAX('Data #5'!C9:E9)</f>
        <v>0</v>
      </c>
      <c r="U7" s="88">
        <f t="shared" si="0"/>
        <v>-12.641999999999999</v>
      </c>
      <c r="V7" s="88">
        <f t="shared" si="1"/>
        <v>28.268371371552341</v>
      </c>
      <c r="W7" s="88">
        <v>-10</v>
      </c>
      <c r="X7" s="92">
        <f t="shared" si="4"/>
        <v>0.53723147113965786</v>
      </c>
      <c r="Y7" s="88">
        <v>-15</v>
      </c>
      <c r="Z7" s="92">
        <f t="shared" si="5"/>
        <v>0.46676086806745598</v>
      </c>
      <c r="AB7">
        <v>118</v>
      </c>
      <c r="AC7">
        <f>MAX('Data #1'!F9:H9)</f>
        <v>-58.29</v>
      </c>
      <c r="AD7">
        <f>MAX('Data #2'!F9:H9)</f>
        <v>0</v>
      </c>
      <c r="AE7">
        <f>MAX('Data #3'!F9:H9)</f>
        <v>0</v>
      </c>
      <c r="AF7">
        <f>MAX('Data #4'!F9:H9)</f>
        <v>0</v>
      </c>
      <c r="AG7">
        <f>MAX('Data #5'!F9:H9)</f>
        <v>0</v>
      </c>
      <c r="AH7" s="88">
        <f t="shared" si="6"/>
        <v>-11.657999999999999</v>
      </c>
      <c r="AI7" s="88">
        <f t="shared" si="7"/>
        <v>26.068080481692547</v>
      </c>
      <c r="AJ7" s="88">
        <v>-10</v>
      </c>
      <c r="AK7" s="92">
        <f t="shared" si="8"/>
        <v>0.5253567044764742</v>
      </c>
      <c r="AL7" s="88">
        <v>-15</v>
      </c>
      <c r="AM7" s="92">
        <f t="shared" si="9"/>
        <v>0.44899425592667602</v>
      </c>
      <c r="AP7">
        <v>118</v>
      </c>
      <c r="AQ7">
        <f>MAX('Data #1'!AU9:AW9)</f>
        <v>0</v>
      </c>
      <c r="AR7">
        <f>MAX('Data #2'!AU9:AW9)</f>
        <v>0</v>
      </c>
      <c r="AS7">
        <f>MAX('Data #3'!AU9:AW9)</f>
        <v>0</v>
      </c>
      <c r="AT7">
        <f>MAX('Data #4'!AU9:AW9)</f>
        <v>0</v>
      </c>
      <c r="AU7">
        <f>MAX('Data #5'!AU9:AW9)</f>
        <v>0</v>
      </c>
      <c r="AV7" s="88">
        <f t="shared" si="2"/>
        <v>0</v>
      </c>
      <c r="AW7" s="88">
        <f t="shared" si="3"/>
        <v>0</v>
      </c>
      <c r="AX7" s="88">
        <v>-10</v>
      </c>
      <c r="AY7" s="92" t="e">
        <f t="shared" si="10"/>
        <v>#NUM!</v>
      </c>
      <c r="AZ7" s="88">
        <v>-15</v>
      </c>
      <c r="BA7" s="92" t="e">
        <f t="shared" si="11"/>
        <v>#NUM!</v>
      </c>
      <c r="BC7">
        <v>118</v>
      </c>
      <c r="BD7">
        <f>MAX('Data #1'!AX9:AZ9)</f>
        <v>0</v>
      </c>
      <c r="BE7">
        <f>MAX('Data #2'!AX9:AZ9)</f>
        <v>0</v>
      </c>
      <c r="BF7">
        <f>MAX('Data #3'!AX9:AZ9)</f>
        <v>0</v>
      </c>
      <c r="BG7">
        <f>MAX('Data #4'!AX9:AZ9)</f>
        <v>0</v>
      </c>
      <c r="BH7">
        <f>MAX('Data #5'!AX9:AZ9)</f>
        <v>0</v>
      </c>
      <c r="BI7" s="88">
        <f t="shared" si="12"/>
        <v>0</v>
      </c>
      <c r="BJ7" s="88">
        <f t="shared" si="13"/>
        <v>0</v>
      </c>
      <c r="BK7" s="88">
        <v>-10</v>
      </c>
      <c r="BL7" s="92" t="e">
        <f t="shared" si="14"/>
        <v>#NUM!</v>
      </c>
      <c r="BM7" s="88">
        <v>-15</v>
      </c>
      <c r="BN7" s="92" t="e">
        <f t="shared" si="15"/>
        <v>#NUM!</v>
      </c>
    </row>
    <row r="8" spans="1:67">
      <c r="A8" s="19">
        <v>125</v>
      </c>
      <c r="B8" s="88">
        <f>'Data #1'!W10</f>
        <v>106.98666666666668</v>
      </c>
      <c r="C8" s="88">
        <f>'Data #2'!W10</f>
        <v>20</v>
      </c>
      <c r="D8" s="88">
        <f>'Data #3'!W10</f>
        <v>20</v>
      </c>
      <c r="E8" s="88">
        <f>'Data #4'!W10</f>
        <v>20</v>
      </c>
      <c r="F8" s="88">
        <f>'Data #5'!W10</f>
        <v>20</v>
      </c>
      <c r="H8" s="20">
        <v>125</v>
      </c>
      <c r="I8" s="88">
        <f>'Data #1'!AH10</f>
        <v>107.65333333333332</v>
      </c>
      <c r="J8" s="88">
        <f>'Data #2'!AH10</f>
        <v>20</v>
      </c>
      <c r="K8" s="88">
        <f>'Data #3'!AH10</f>
        <v>20</v>
      </c>
      <c r="L8" s="88">
        <f>'Data #4'!AH10</f>
        <v>20</v>
      </c>
      <c r="M8" s="88">
        <f>'Data #5'!AH10</f>
        <v>20</v>
      </c>
      <c r="O8">
        <v>125</v>
      </c>
      <c r="P8">
        <f>MAX('Data #1'!C10:E10)</f>
        <v>-55.86</v>
      </c>
      <c r="Q8">
        <f>MAX('Data #2'!C10:E10)</f>
        <v>0</v>
      </c>
      <c r="R8">
        <f>MAX('Data #3'!C10:E10)</f>
        <v>0</v>
      </c>
      <c r="S8">
        <f>MAX('Data #4'!C10:E10)</f>
        <v>0</v>
      </c>
      <c r="T8">
        <f>MAX('Data #5'!C10:E10)</f>
        <v>0</v>
      </c>
      <c r="U8" s="88">
        <f t="shared" si="0"/>
        <v>-11.172000000000001</v>
      </c>
      <c r="V8" s="88">
        <f t="shared" si="1"/>
        <v>24.981351444627649</v>
      </c>
      <c r="W8" s="88">
        <v>-10</v>
      </c>
      <c r="X8" s="92">
        <f t="shared" si="4"/>
        <v>0.51870951186303604</v>
      </c>
      <c r="Y8" s="88">
        <v>-15</v>
      </c>
      <c r="Z8" s="92">
        <f t="shared" si="5"/>
        <v>0.43910675324105364</v>
      </c>
      <c r="AB8">
        <v>125</v>
      </c>
      <c r="AC8">
        <f>MAX('Data #1'!F10:H10)</f>
        <v>-55.15</v>
      </c>
      <c r="AD8">
        <f>MAX('Data #2'!F10:H10)</f>
        <v>0</v>
      </c>
      <c r="AE8">
        <f>MAX('Data #3'!F10:H10)</f>
        <v>0</v>
      </c>
      <c r="AF8">
        <f>MAX('Data #4'!F10:H10)</f>
        <v>0</v>
      </c>
      <c r="AG8">
        <f>MAX('Data #5'!F10:H10)</f>
        <v>0</v>
      </c>
      <c r="AH8" s="88">
        <f t="shared" si="6"/>
        <v>-11.03</v>
      </c>
      <c r="AI8" s="88">
        <f t="shared" si="7"/>
        <v>24.663829791822678</v>
      </c>
      <c r="AJ8" s="88">
        <v>-10</v>
      </c>
      <c r="AK8" s="92">
        <f t="shared" si="8"/>
        <v>0.51665561040650421</v>
      </c>
      <c r="AL8" s="88">
        <v>-15</v>
      </c>
      <c r="AM8" s="92">
        <f t="shared" si="9"/>
        <v>0.43606069689763244</v>
      </c>
      <c r="AP8">
        <v>125</v>
      </c>
      <c r="AQ8">
        <f>MAX('Data #1'!AU10:AW10)</f>
        <v>0</v>
      </c>
      <c r="AR8">
        <f>MAX('Data #2'!AU10:AW10)</f>
        <v>0</v>
      </c>
      <c r="AS8">
        <f>MAX('Data #3'!AU10:AW10)</f>
        <v>0</v>
      </c>
      <c r="AT8">
        <f>MAX('Data #4'!AU10:AW10)</f>
        <v>0</v>
      </c>
      <c r="AU8">
        <f>MAX('Data #5'!AU10:AW10)</f>
        <v>0</v>
      </c>
      <c r="AV8" s="88">
        <f t="shared" si="2"/>
        <v>0</v>
      </c>
      <c r="AW8" s="88">
        <f t="shared" si="3"/>
        <v>0</v>
      </c>
      <c r="AX8" s="88">
        <v>-10</v>
      </c>
      <c r="AY8" s="92" t="e">
        <f t="shared" si="10"/>
        <v>#NUM!</v>
      </c>
      <c r="AZ8" s="88">
        <v>-15</v>
      </c>
      <c r="BA8" s="92" t="e">
        <f t="shared" si="11"/>
        <v>#NUM!</v>
      </c>
      <c r="BC8">
        <v>125</v>
      </c>
      <c r="BD8">
        <f>MAX('Data #1'!AX10:AZ10)</f>
        <v>0</v>
      </c>
      <c r="BE8">
        <f>MAX('Data #2'!AX10:AZ10)</f>
        <v>0</v>
      </c>
      <c r="BF8">
        <f>MAX('Data #3'!AX10:AZ10)</f>
        <v>0</v>
      </c>
      <c r="BG8">
        <f>MAX('Data #4'!AX10:AZ10)</f>
        <v>0</v>
      </c>
      <c r="BH8">
        <f>MAX('Data #5'!AX10:AZ10)</f>
        <v>0</v>
      </c>
      <c r="BI8" s="88">
        <f t="shared" si="12"/>
        <v>0</v>
      </c>
      <c r="BJ8" s="88">
        <f t="shared" si="13"/>
        <v>0</v>
      </c>
      <c r="BK8" s="88">
        <v>-10</v>
      </c>
      <c r="BL8" s="92" t="e">
        <f t="shared" si="14"/>
        <v>#NUM!</v>
      </c>
      <c r="BM8" s="88">
        <v>-15</v>
      </c>
      <c r="BN8" s="92" t="e">
        <f t="shared" si="15"/>
        <v>#NUM!</v>
      </c>
    </row>
    <row r="9" spans="1:67">
      <c r="A9" s="19">
        <v>132</v>
      </c>
      <c r="B9" s="88">
        <f>'Data #1'!W11</f>
        <v>107.58999999999999</v>
      </c>
      <c r="C9" s="88">
        <f>'Data #2'!W11</f>
        <v>20</v>
      </c>
      <c r="D9" s="88">
        <f>'Data #3'!W11</f>
        <v>20</v>
      </c>
      <c r="E9" s="88">
        <f>'Data #4'!W11</f>
        <v>20</v>
      </c>
      <c r="F9" s="88">
        <f>'Data #5'!W11</f>
        <v>20</v>
      </c>
      <c r="H9" s="20">
        <v>132</v>
      </c>
      <c r="I9" s="88">
        <f>'Data #1'!AH11</f>
        <v>107.54666666666667</v>
      </c>
      <c r="J9" s="88">
        <f>'Data #2'!AH11</f>
        <v>20</v>
      </c>
      <c r="K9" s="88">
        <f>'Data #3'!AH11</f>
        <v>20</v>
      </c>
      <c r="L9" s="88">
        <f>'Data #4'!AH11</f>
        <v>20</v>
      </c>
      <c r="M9" s="88">
        <f>'Data #5'!AH11</f>
        <v>20</v>
      </c>
      <c r="O9">
        <v>132</v>
      </c>
      <c r="P9">
        <f>MAX('Data #1'!C11:E11)</f>
        <v>-55.54</v>
      </c>
      <c r="Q9">
        <f>MAX('Data #2'!C11:E11)</f>
        <v>0</v>
      </c>
      <c r="R9">
        <f>MAX('Data #3'!C11:E11)</f>
        <v>0</v>
      </c>
      <c r="S9">
        <f>MAX('Data #4'!C11:E11)</f>
        <v>0</v>
      </c>
      <c r="T9">
        <f>MAX('Data #5'!C11:E11)</f>
        <v>0</v>
      </c>
      <c r="U9" s="88">
        <f t="shared" si="0"/>
        <v>-11.108000000000001</v>
      </c>
      <c r="V9" s="88">
        <f t="shared" si="1"/>
        <v>24.838243094067664</v>
      </c>
      <c r="W9" s="88">
        <v>-10</v>
      </c>
      <c r="X9" s="92">
        <f t="shared" si="4"/>
        <v>0.51779036818169433</v>
      </c>
      <c r="Y9" s="88">
        <v>-15</v>
      </c>
      <c r="Z9" s="92">
        <f t="shared" si="5"/>
        <v>0.43774306610866132</v>
      </c>
      <c r="AB9">
        <v>132</v>
      </c>
      <c r="AC9">
        <f>MAX('Data #1'!F11:H11)</f>
        <v>-56.65</v>
      </c>
      <c r="AD9">
        <f>MAX('Data #2'!F11:H11)</f>
        <v>0</v>
      </c>
      <c r="AE9">
        <f>MAX('Data #3'!F11:H11)</f>
        <v>0</v>
      </c>
      <c r="AF9">
        <f>MAX('Data #4'!F11:H11)</f>
        <v>0</v>
      </c>
      <c r="AG9">
        <f>MAX('Data #5'!F11:H11)</f>
        <v>0</v>
      </c>
      <c r="AH9" s="88">
        <f t="shared" si="6"/>
        <v>-11.33</v>
      </c>
      <c r="AI9" s="88">
        <f t="shared" si="7"/>
        <v>25.334650185072615</v>
      </c>
      <c r="AJ9" s="88">
        <v>-10</v>
      </c>
      <c r="AK9" s="92">
        <f t="shared" si="8"/>
        <v>0.52093376517334522</v>
      </c>
      <c r="AL9" s="88">
        <v>-15</v>
      </c>
      <c r="AM9" s="92">
        <f t="shared" si="9"/>
        <v>0.44241035254384981</v>
      </c>
      <c r="AP9">
        <v>132</v>
      </c>
      <c r="AQ9">
        <f>MAX('Data #1'!AU11:AW11)</f>
        <v>0</v>
      </c>
      <c r="AR9">
        <f>MAX('Data #2'!AU11:AW11)</f>
        <v>0</v>
      </c>
      <c r="AS9">
        <f>MAX('Data #3'!AU11:AW11)</f>
        <v>0</v>
      </c>
      <c r="AT9">
        <f>MAX('Data #4'!AU11:AW11)</f>
        <v>0</v>
      </c>
      <c r="AU9">
        <f>MAX('Data #5'!AU11:AW11)</f>
        <v>0</v>
      </c>
      <c r="AV9" s="88">
        <f t="shared" si="2"/>
        <v>0</v>
      </c>
      <c r="AW9" s="88">
        <f t="shared" si="3"/>
        <v>0</v>
      </c>
      <c r="AX9" s="88">
        <v>-10</v>
      </c>
      <c r="AY9" s="92" t="e">
        <f t="shared" si="10"/>
        <v>#NUM!</v>
      </c>
      <c r="AZ9" s="88">
        <v>-15</v>
      </c>
      <c r="BA9" s="92" t="e">
        <f t="shared" si="11"/>
        <v>#NUM!</v>
      </c>
      <c r="BC9">
        <v>132</v>
      </c>
      <c r="BD9">
        <f>MAX('Data #1'!AX11:AZ11)</f>
        <v>0</v>
      </c>
      <c r="BE9">
        <f>MAX('Data #2'!AX11:AZ11)</f>
        <v>0</v>
      </c>
      <c r="BF9">
        <f>MAX('Data #3'!AX11:AZ11)</f>
        <v>0</v>
      </c>
      <c r="BG9">
        <f>MAX('Data #4'!AX11:AZ11)</f>
        <v>0</v>
      </c>
      <c r="BH9">
        <f>MAX('Data #5'!AX11:AZ11)</f>
        <v>0</v>
      </c>
      <c r="BI9" s="88">
        <f t="shared" si="12"/>
        <v>0</v>
      </c>
      <c r="BJ9" s="88">
        <f t="shared" si="13"/>
        <v>0</v>
      </c>
      <c r="BK9" s="88">
        <v>-10</v>
      </c>
      <c r="BL9" s="92" t="e">
        <f t="shared" si="14"/>
        <v>#NUM!</v>
      </c>
      <c r="BM9" s="88">
        <v>-15</v>
      </c>
      <c r="BN9" s="92" t="e">
        <f t="shared" si="15"/>
        <v>#NUM!</v>
      </c>
    </row>
    <row r="10" spans="1:67">
      <c r="A10" s="19">
        <v>140</v>
      </c>
      <c r="B10" s="88">
        <f>'Data #1'!W12</f>
        <v>108.06</v>
      </c>
      <c r="C10" s="88">
        <f>'Data #2'!W12</f>
        <v>20</v>
      </c>
      <c r="D10" s="88">
        <f>'Data #3'!W12</f>
        <v>20</v>
      </c>
      <c r="E10" s="88">
        <f>'Data #4'!W12</f>
        <v>20</v>
      </c>
      <c r="F10" s="88">
        <f>'Data #5'!W12</f>
        <v>20</v>
      </c>
      <c r="H10" s="20">
        <v>140</v>
      </c>
      <c r="I10" s="88">
        <f>'Data #1'!AH12</f>
        <v>111.28333333333335</v>
      </c>
      <c r="J10" s="88">
        <f>'Data #2'!AH12</f>
        <v>20</v>
      </c>
      <c r="K10" s="88">
        <f>'Data #3'!AH12</f>
        <v>20</v>
      </c>
      <c r="L10" s="88">
        <f>'Data #4'!AH12</f>
        <v>20</v>
      </c>
      <c r="M10" s="88">
        <f>'Data #5'!AH12</f>
        <v>20</v>
      </c>
      <c r="O10">
        <v>140</v>
      </c>
      <c r="P10">
        <f>MAX('Data #1'!C12:E12)</f>
        <v>-55.94</v>
      </c>
      <c r="Q10">
        <f>MAX('Data #2'!C12:E12)</f>
        <v>0</v>
      </c>
      <c r="R10">
        <f>MAX('Data #3'!C12:E12)</f>
        <v>0</v>
      </c>
      <c r="S10">
        <f>MAX('Data #4'!C12:E12)</f>
        <v>0</v>
      </c>
      <c r="T10">
        <f>MAX('Data #5'!C12:E12)</f>
        <v>0</v>
      </c>
      <c r="U10" s="88">
        <f t="shared" si="0"/>
        <v>-11.187999999999999</v>
      </c>
      <c r="V10" s="88">
        <f t="shared" si="1"/>
        <v>25.017128532267648</v>
      </c>
      <c r="W10" s="88">
        <v>-10</v>
      </c>
      <c r="X10" s="92">
        <f t="shared" si="4"/>
        <v>0.5189376394785834</v>
      </c>
      <c r="Y10" s="88">
        <v>-15</v>
      </c>
      <c r="Z10" s="92">
        <f t="shared" si="5"/>
        <v>0.43944534989333567</v>
      </c>
      <c r="AB10">
        <v>140</v>
      </c>
      <c r="AC10">
        <f>MAX('Data #1'!F12:H12)</f>
        <v>-55.97</v>
      </c>
      <c r="AD10">
        <f>MAX('Data #2'!F12:H12)</f>
        <v>0</v>
      </c>
      <c r="AE10">
        <f>MAX('Data #3'!F12:H12)</f>
        <v>0</v>
      </c>
      <c r="AF10">
        <f>MAX('Data #4'!F12:H12)</f>
        <v>0</v>
      </c>
      <c r="AG10">
        <f>MAX('Data #5'!F12:H12)</f>
        <v>0</v>
      </c>
      <c r="AH10" s="88">
        <f t="shared" si="6"/>
        <v>-11.193999999999999</v>
      </c>
      <c r="AI10" s="88">
        <f t="shared" si="7"/>
        <v>25.030544940132646</v>
      </c>
      <c r="AJ10" s="88">
        <v>-10</v>
      </c>
      <c r="AK10" s="92">
        <f t="shared" si="8"/>
        <v>0.51902301761306591</v>
      </c>
      <c r="AL10" s="88">
        <v>-15</v>
      </c>
      <c r="AM10" s="92">
        <f t="shared" si="9"/>
        <v>0.43957208549888482</v>
      </c>
      <c r="AP10">
        <v>140</v>
      </c>
      <c r="AQ10">
        <f>MAX('Data #1'!AU12:AW12)</f>
        <v>0</v>
      </c>
      <c r="AR10">
        <f>MAX('Data #2'!AU12:AW12)</f>
        <v>0</v>
      </c>
      <c r="AS10">
        <f>MAX('Data #3'!AU12:AW12)</f>
        <v>0</v>
      </c>
      <c r="AT10">
        <f>MAX('Data #4'!AU12:AW12)</f>
        <v>0</v>
      </c>
      <c r="AU10">
        <f>MAX('Data #5'!AU12:AW12)</f>
        <v>0</v>
      </c>
      <c r="AV10" s="88">
        <f t="shared" si="2"/>
        <v>0</v>
      </c>
      <c r="AW10" s="88">
        <f t="shared" si="3"/>
        <v>0</v>
      </c>
      <c r="AX10" s="88">
        <v>-10</v>
      </c>
      <c r="AY10" s="92" t="e">
        <f t="shared" si="10"/>
        <v>#NUM!</v>
      </c>
      <c r="AZ10" s="88">
        <v>-15</v>
      </c>
      <c r="BA10" s="92" t="e">
        <f t="shared" si="11"/>
        <v>#NUM!</v>
      </c>
      <c r="BC10">
        <v>140</v>
      </c>
      <c r="BD10">
        <f>MAX('Data #1'!AX12:AZ12)</f>
        <v>0</v>
      </c>
      <c r="BE10">
        <f>MAX('Data #2'!AX12:AZ12)</f>
        <v>0</v>
      </c>
      <c r="BF10">
        <f>MAX('Data #3'!AX12:AZ12)</f>
        <v>0</v>
      </c>
      <c r="BG10">
        <f>MAX('Data #4'!AX12:AZ12)</f>
        <v>0</v>
      </c>
      <c r="BH10">
        <f>MAX('Data #5'!AX12:AZ12)</f>
        <v>0</v>
      </c>
      <c r="BI10" s="88">
        <f t="shared" si="12"/>
        <v>0</v>
      </c>
      <c r="BJ10" s="88">
        <f t="shared" si="13"/>
        <v>0</v>
      </c>
      <c r="BK10" s="88">
        <v>-10</v>
      </c>
      <c r="BL10" s="92" t="e">
        <f t="shared" si="14"/>
        <v>#NUM!</v>
      </c>
      <c r="BM10" s="88">
        <v>-15</v>
      </c>
      <c r="BN10" s="92" t="e">
        <f t="shared" si="15"/>
        <v>#NUM!</v>
      </c>
    </row>
    <row r="11" spans="1:67">
      <c r="A11" s="19">
        <v>150</v>
      </c>
      <c r="B11" s="88">
        <f>'Data #1'!W13</f>
        <v>104.56333333333333</v>
      </c>
      <c r="C11" s="88">
        <f>'Data #2'!W13</f>
        <v>20</v>
      </c>
      <c r="D11" s="88">
        <f>'Data #3'!W13</f>
        <v>20</v>
      </c>
      <c r="E11" s="88">
        <f>'Data #4'!W13</f>
        <v>20</v>
      </c>
      <c r="F11" s="88">
        <f>'Data #5'!W13</f>
        <v>20</v>
      </c>
      <c r="H11" s="20">
        <v>150</v>
      </c>
      <c r="I11" s="88">
        <f>'Data #1'!AH13</f>
        <v>113.94333333333334</v>
      </c>
      <c r="J11" s="88">
        <f>'Data #2'!AH13</f>
        <v>20</v>
      </c>
      <c r="K11" s="88">
        <f>'Data #3'!AH13</f>
        <v>20</v>
      </c>
      <c r="L11" s="88">
        <f>'Data #4'!AH13</f>
        <v>20</v>
      </c>
      <c r="M11" s="88">
        <f>'Data #5'!AH13</f>
        <v>20</v>
      </c>
      <c r="O11">
        <v>150</v>
      </c>
      <c r="P11">
        <f>MAX('Data #1'!C13:E13)</f>
        <v>-52.06</v>
      </c>
      <c r="Q11">
        <f>MAX('Data #2'!C13:E13)</f>
        <v>0</v>
      </c>
      <c r="R11">
        <f>MAX('Data #3'!C13:E13)</f>
        <v>0</v>
      </c>
      <c r="S11">
        <f>MAX('Data #4'!C13:E13)</f>
        <v>0</v>
      </c>
      <c r="T11">
        <f>MAX('Data #5'!C13:E13)</f>
        <v>0</v>
      </c>
      <c r="U11" s="88">
        <f t="shared" si="0"/>
        <v>-10.412000000000001</v>
      </c>
      <c r="V11" s="88">
        <f t="shared" si="1"/>
        <v>23.281939781727811</v>
      </c>
      <c r="W11" s="88">
        <v>-10</v>
      </c>
      <c r="X11" s="92">
        <f t="shared" si="4"/>
        <v>0.50705936201852997</v>
      </c>
      <c r="Y11" s="88">
        <v>-15</v>
      </c>
      <c r="Z11" s="92">
        <f t="shared" si="5"/>
        <v>0.42188926823747219</v>
      </c>
      <c r="AB11">
        <v>150</v>
      </c>
      <c r="AC11">
        <f>MAX('Data #1'!F13:H13)</f>
        <v>-57.22</v>
      </c>
      <c r="AD11">
        <f>MAX('Data #2'!F13:H13)</f>
        <v>0</v>
      </c>
      <c r="AE11">
        <f>MAX('Data #3'!F13:H13)</f>
        <v>0</v>
      </c>
      <c r="AF11">
        <f>MAX('Data #4'!F13:H13)</f>
        <v>0</v>
      </c>
      <c r="AG11">
        <f>MAX('Data #5'!F13:H13)</f>
        <v>0</v>
      </c>
      <c r="AH11" s="88">
        <f t="shared" si="6"/>
        <v>-11.443999999999999</v>
      </c>
      <c r="AI11" s="88">
        <f t="shared" si="7"/>
        <v>25.589561934507593</v>
      </c>
      <c r="AJ11" s="88">
        <v>-10</v>
      </c>
      <c r="AK11" s="92">
        <f t="shared" si="8"/>
        <v>0.52250007533201992</v>
      </c>
      <c r="AL11" s="88">
        <v>-15</v>
      </c>
      <c r="AM11" s="92">
        <f t="shared" si="9"/>
        <v>0.44473972895215746</v>
      </c>
      <c r="AP11">
        <v>150</v>
      </c>
      <c r="AQ11">
        <f>MAX('Data #1'!AU13:AW13)</f>
        <v>0</v>
      </c>
      <c r="AR11">
        <f>MAX('Data #2'!AU13:AW13)</f>
        <v>0</v>
      </c>
      <c r="AS11">
        <f>MAX('Data #3'!AU13:AW13)</f>
        <v>0</v>
      </c>
      <c r="AT11">
        <f>MAX('Data #4'!AU13:AW13)</f>
        <v>0</v>
      </c>
      <c r="AU11">
        <f>MAX('Data #5'!AU13:AW13)</f>
        <v>0</v>
      </c>
      <c r="AV11" s="88">
        <f t="shared" si="2"/>
        <v>0</v>
      </c>
      <c r="AW11" s="88">
        <f t="shared" si="3"/>
        <v>0</v>
      </c>
      <c r="AX11" s="88">
        <v>-10</v>
      </c>
      <c r="AY11" s="92" t="e">
        <f t="shared" si="10"/>
        <v>#NUM!</v>
      </c>
      <c r="AZ11" s="88">
        <v>-15</v>
      </c>
      <c r="BA11" s="92" t="e">
        <f t="shared" si="11"/>
        <v>#NUM!</v>
      </c>
      <c r="BC11">
        <v>150</v>
      </c>
      <c r="BD11">
        <f>MAX('Data #1'!AX13:AZ13)</f>
        <v>0</v>
      </c>
      <c r="BE11">
        <f>MAX('Data #2'!AX13:AZ13)</f>
        <v>0</v>
      </c>
      <c r="BF11">
        <f>MAX('Data #3'!AX13:AZ13)</f>
        <v>0</v>
      </c>
      <c r="BG11">
        <f>MAX('Data #4'!AX13:AZ13)</f>
        <v>0</v>
      </c>
      <c r="BH11">
        <f>MAX('Data #5'!AX13:AZ13)</f>
        <v>0</v>
      </c>
      <c r="BI11" s="88">
        <f t="shared" si="12"/>
        <v>0</v>
      </c>
      <c r="BJ11" s="88">
        <f t="shared" si="13"/>
        <v>0</v>
      </c>
      <c r="BK11" s="88">
        <v>-10</v>
      </c>
      <c r="BL11" s="92" t="e">
        <f t="shared" si="14"/>
        <v>#NUM!</v>
      </c>
      <c r="BM11" s="88">
        <v>-15</v>
      </c>
      <c r="BN11" s="92" t="e">
        <f t="shared" si="15"/>
        <v>#NUM!</v>
      </c>
    </row>
    <row r="12" spans="1:67">
      <c r="A12" s="19">
        <v>160</v>
      </c>
      <c r="B12" s="88">
        <f>'Data #1'!W14</f>
        <v>114.72666666666665</v>
      </c>
      <c r="C12" s="88">
        <f>'Data #2'!W14</f>
        <v>20</v>
      </c>
      <c r="D12" s="88">
        <f>'Data #3'!W14</f>
        <v>20</v>
      </c>
      <c r="E12" s="88">
        <f>'Data #4'!W14</f>
        <v>20</v>
      </c>
      <c r="F12" s="88">
        <f>'Data #5'!W14</f>
        <v>20</v>
      </c>
      <c r="H12" s="20">
        <v>160</v>
      </c>
      <c r="I12" s="88">
        <f>'Data #1'!AH14</f>
        <v>113.11333333333333</v>
      </c>
      <c r="J12" s="88">
        <f>'Data #2'!AH14</f>
        <v>20</v>
      </c>
      <c r="K12" s="88">
        <f>'Data #3'!AH14</f>
        <v>20</v>
      </c>
      <c r="L12" s="88">
        <f>'Data #4'!AH14</f>
        <v>20</v>
      </c>
      <c r="M12" s="88">
        <f>'Data #5'!AH14</f>
        <v>20</v>
      </c>
      <c r="O12">
        <v>160</v>
      </c>
      <c r="P12">
        <f>MAX('Data #1'!C14:E14)</f>
        <v>-56.53</v>
      </c>
      <c r="Q12">
        <f>MAX('Data #2'!C14:E14)</f>
        <v>0</v>
      </c>
      <c r="R12">
        <f>MAX('Data #3'!C14:E14)</f>
        <v>0</v>
      </c>
      <c r="S12">
        <f>MAX('Data #4'!C14:E14)</f>
        <v>0</v>
      </c>
      <c r="T12">
        <f>MAX('Data #5'!C14:E14)</f>
        <v>0</v>
      </c>
      <c r="U12" s="88">
        <f t="shared" si="0"/>
        <v>-11.306000000000001</v>
      </c>
      <c r="V12" s="88">
        <f t="shared" si="1"/>
        <v>25.280984553612623</v>
      </c>
      <c r="W12" s="88">
        <v>-10</v>
      </c>
      <c r="X12" s="92">
        <f t="shared" si="4"/>
        <v>0.5205999481613961</v>
      </c>
      <c r="Y12" s="88">
        <v>-15</v>
      </c>
      <c r="Z12" s="92">
        <f t="shared" si="5"/>
        <v>0.44191422623275461</v>
      </c>
      <c r="AB12">
        <v>160</v>
      </c>
      <c r="AC12">
        <f>MAX('Data #1'!F14:H14)</f>
        <v>-59.04</v>
      </c>
      <c r="AD12">
        <f>MAX('Data #2'!F14:H14)</f>
        <v>0</v>
      </c>
      <c r="AE12">
        <f>MAX('Data #3'!F14:H14)</f>
        <v>0</v>
      </c>
      <c r="AF12">
        <f>MAX('Data #4'!F14:H14)</f>
        <v>0</v>
      </c>
      <c r="AG12">
        <f>MAX('Data #5'!F14:H14)</f>
        <v>0</v>
      </c>
      <c r="AH12" s="88">
        <f t="shared" si="6"/>
        <v>-11.808</v>
      </c>
      <c r="AI12" s="88">
        <f t="shared" si="7"/>
        <v>26.403490678317517</v>
      </c>
      <c r="AJ12" s="88">
        <v>-10</v>
      </c>
      <c r="AK12" s="92">
        <f t="shared" si="8"/>
        <v>0.52729655595820202</v>
      </c>
      <c r="AL12" s="88">
        <v>-15</v>
      </c>
      <c r="AM12" s="92">
        <f t="shared" si="9"/>
        <v>0.45188785132801201</v>
      </c>
      <c r="AP12">
        <v>160</v>
      </c>
      <c r="AQ12">
        <f>MAX('Data #1'!AU14:AW14)</f>
        <v>0</v>
      </c>
      <c r="AR12">
        <f>MAX('Data #2'!AU14:AW14)</f>
        <v>0</v>
      </c>
      <c r="AS12">
        <f>MAX('Data #3'!AU14:AW14)</f>
        <v>0</v>
      </c>
      <c r="AT12">
        <f>MAX('Data #4'!AU14:AW14)</f>
        <v>0</v>
      </c>
      <c r="AU12">
        <f>MAX('Data #5'!AU14:AW14)</f>
        <v>0</v>
      </c>
      <c r="AV12" s="88">
        <f t="shared" si="2"/>
        <v>0</v>
      </c>
      <c r="AW12" s="88">
        <f t="shared" si="3"/>
        <v>0</v>
      </c>
      <c r="AX12" s="88">
        <v>-10</v>
      </c>
      <c r="AY12" s="92" t="e">
        <f t="shared" si="10"/>
        <v>#NUM!</v>
      </c>
      <c r="AZ12" s="88">
        <v>-15</v>
      </c>
      <c r="BA12" s="92" t="e">
        <f t="shared" si="11"/>
        <v>#NUM!</v>
      </c>
      <c r="BC12">
        <v>160</v>
      </c>
      <c r="BD12">
        <f>MAX('Data #1'!AX14:AZ14)</f>
        <v>0</v>
      </c>
      <c r="BE12">
        <f>MAX('Data #2'!AX14:AZ14)</f>
        <v>0</v>
      </c>
      <c r="BF12">
        <f>MAX('Data #3'!AX14:AZ14)</f>
        <v>0</v>
      </c>
      <c r="BG12">
        <f>MAX('Data #4'!AX14:AZ14)</f>
        <v>0</v>
      </c>
      <c r="BH12">
        <f>MAX('Data #5'!AX14:AZ14)</f>
        <v>0</v>
      </c>
      <c r="BI12" s="88">
        <f t="shared" si="12"/>
        <v>0</v>
      </c>
      <c r="BJ12" s="88">
        <f t="shared" si="13"/>
        <v>0</v>
      </c>
      <c r="BK12" s="88">
        <v>-10</v>
      </c>
      <c r="BL12" s="92" t="e">
        <f t="shared" si="14"/>
        <v>#NUM!</v>
      </c>
      <c r="BM12" s="88">
        <v>-15</v>
      </c>
      <c r="BN12" s="92" t="e">
        <f t="shared" si="15"/>
        <v>#NUM!</v>
      </c>
    </row>
    <row r="13" spans="1:67">
      <c r="A13" s="19">
        <v>170</v>
      </c>
      <c r="B13" s="88">
        <f>'Data #1'!W15</f>
        <v>114.64999999999999</v>
      </c>
      <c r="C13" s="88">
        <f>'Data #2'!W15</f>
        <v>20</v>
      </c>
      <c r="D13" s="88">
        <f>'Data #3'!W15</f>
        <v>20</v>
      </c>
      <c r="E13" s="88">
        <f>'Data #4'!W15</f>
        <v>20</v>
      </c>
      <c r="F13" s="88">
        <f>'Data #5'!W15</f>
        <v>20</v>
      </c>
      <c r="H13" s="20">
        <v>170</v>
      </c>
      <c r="I13" s="88">
        <f>'Data #1'!AH15</f>
        <v>109.06666666666666</v>
      </c>
      <c r="J13" s="88">
        <f>'Data #2'!AH15</f>
        <v>20</v>
      </c>
      <c r="K13" s="88">
        <f>'Data #3'!AH15</f>
        <v>20</v>
      </c>
      <c r="L13" s="88">
        <f>'Data #4'!AH15</f>
        <v>20</v>
      </c>
      <c r="M13" s="88">
        <f>'Data #5'!AH15</f>
        <v>20</v>
      </c>
      <c r="O13">
        <v>170</v>
      </c>
      <c r="P13">
        <f>MAX('Data #1'!C15:E15)</f>
        <v>-55.47</v>
      </c>
      <c r="Q13">
        <f>MAX('Data #2'!C15:E15)</f>
        <v>0</v>
      </c>
      <c r="R13">
        <f>MAX('Data #3'!C15:E15)</f>
        <v>0</v>
      </c>
      <c r="S13">
        <f>MAX('Data #4'!C15:E15)</f>
        <v>0</v>
      </c>
      <c r="T13">
        <f>MAX('Data #5'!C15:E15)</f>
        <v>0</v>
      </c>
      <c r="U13" s="88">
        <f t="shared" si="0"/>
        <v>-11.093999999999999</v>
      </c>
      <c r="V13" s="88">
        <f t="shared" si="1"/>
        <v>24.806938142382666</v>
      </c>
      <c r="W13" s="88">
        <v>-10</v>
      </c>
      <c r="X13" s="92">
        <f t="shared" si="4"/>
        <v>0.51758787898303216</v>
      </c>
      <c r="Y13" s="88">
        <v>-15</v>
      </c>
      <c r="Z13" s="92">
        <f t="shared" si="5"/>
        <v>0.43744276098299395</v>
      </c>
      <c r="AB13">
        <v>170</v>
      </c>
      <c r="AC13">
        <f>MAX('Data #1'!F15:H15)</f>
        <v>-53.55</v>
      </c>
      <c r="AD13">
        <f>MAX('Data #2'!F15:H15)</f>
        <v>0</v>
      </c>
      <c r="AE13">
        <f>MAX('Data #3'!F15:H15)</f>
        <v>0</v>
      </c>
      <c r="AF13">
        <f>MAX('Data #4'!F15:H15)</f>
        <v>0</v>
      </c>
      <c r="AG13">
        <f>MAX('Data #5'!F15:H15)</f>
        <v>0</v>
      </c>
      <c r="AH13" s="88">
        <f t="shared" si="6"/>
        <v>-10.709999999999999</v>
      </c>
      <c r="AI13" s="88">
        <f t="shared" si="7"/>
        <v>23.948288039022746</v>
      </c>
      <c r="AJ13" s="88">
        <v>-10</v>
      </c>
      <c r="AK13" s="92">
        <f t="shared" si="8"/>
        <v>0.51182579440044562</v>
      </c>
      <c r="AL13" s="88">
        <v>-15</v>
      </c>
      <c r="AM13" s="92">
        <f t="shared" si="9"/>
        <v>0.42891546625726096</v>
      </c>
      <c r="AP13">
        <v>170</v>
      </c>
      <c r="AQ13">
        <f>MAX('Data #1'!AU15:AW15)</f>
        <v>0</v>
      </c>
      <c r="AR13">
        <f>MAX('Data #2'!AU15:AW15)</f>
        <v>0</v>
      </c>
      <c r="AS13">
        <f>MAX('Data #3'!AU15:AW15)</f>
        <v>0</v>
      </c>
      <c r="AT13">
        <f>MAX('Data #4'!AU15:AW15)</f>
        <v>0</v>
      </c>
      <c r="AU13">
        <f>MAX('Data #5'!AU15:AW15)</f>
        <v>0</v>
      </c>
      <c r="AV13" s="88">
        <f t="shared" si="2"/>
        <v>0</v>
      </c>
      <c r="AW13" s="88">
        <f t="shared" si="3"/>
        <v>0</v>
      </c>
      <c r="AX13" s="88">
        <v>-10</v>
      </c>
      <c r="AY13" s="92" t="e">
        <f t="shared" si="10"/>
        <v>#NUM!</v>
      </c>
      <c r="AZ13" s="88">
        <v>-15</v>
      </c>
      <c r="BA13" s="92" t="e">
        <f t="shared" si="11"/>
        <v>#NUM!</v>
      </c>
      <c r="BC13">
        <v>170</v>
      </c>
      <c r="BD13">
        <f>MAX('Data #1'!AX15:AZ15)</f>
        <v>0</v>
      </c>
      <c r="BE13">
        <f>MAX('Data #2'!AX15:AZ15)</f>
        <v>0</v>
      </c>
      <c r="BF13">
        <f>MAX('Data #3'!AX15:AZ15)</f>
        <v>0</v>
      </c>
      <c r="BG13">
        <f>MAX('Data #4'!AX15:AZ15)</f>
        <v>0</v>
      </c>
      <c r="BH13">
        <f>MAX('Data #5'!AX15:AZ15)</f>
        <v>0</v>
      </c>
      <c r="BI13" s="88">
        <f t="shared" si="12"/>
        <v>0</v>
      </c>
      <c r="BJ13" s="88">
        <f t="shared" si="13"/>
        <v>0</v>
      </c>
      <c r="BK13" s="88">
        <v>-10</v>
      </c>
      <c r="BL13" s="92" t="e">
        <f t="shared" si="14"/>
        <v>#NUM!</v>
      </c>
      <c r="BM13" s="88">
        <v>-15</v>
      </c>
      <c r="BN13" s="92" t="e">
        <f t="shared" si="15"/>
        <v>#NUM!</v>
      </c>
    </row>
    <row r="14" spans="1:67">
      <c r="A14" s="19">
        <v>180</v>
      </c>
      <c r="B14" s="88">
        <f>'Data #1'!W16</f>
        <v>106.66666666666667</v>
      </c>
      <c r="C14" s="88">
        <f>'Data #2'!W16</f>
        <v>20</v>
      </c>
      <c r="D14" s="88">
        <f>'Data #3'!W16</f>
        <v>20</v>
      </c>
      <c r="E14" s="88">
        <f>'Data #4'!W16</f>
        <v>20</v>
      </c>
      <c r="F14" s="88">
        <f>'Data #5'!W16</f>
        <v>20</v>
      </c>
      <c r="H14" s="20">
        <v>180</v>
      </c>
      <c r="I14" s="88">
        <f>'Data #1'!AH16</f>
        <v>117.25666666666666</v>
      </c>
      <c r="J14" s="88">
        <f>'Data #2'!AH16</f>
        <v>20</v>
      </c>
      <c r="K14" s="88">
        <f>'Data #3'!AH16</f>
        <v>20</v>
      </c>
      <c r="L14" s="88">
        <f>'Data #4'!AH16</f>
        <v>20</v>
      </c>
      <c r="M14" s="88">
        <f>'Data #5'!AH16</f>
        <v>20</v>
      </c>
      <c r="O14">
        <v>180</v>
      </c>
      <c r="P14">
        <f>MAX('Data #1'!C16:E16)</f>
        <v>-50.72</v>
      </c>
      <c r="Q14">
        <f>MAX('Data #2'!C16:E16)</f>
        <v>0</v>
      </c>
      <c r="R14">
        <f>MAX('Data #3'!C16:E16)</f>
        <v>0</v>
      </c>
      <c r="S14">
        <f>MAX('Data #4'!C16:E16)</f>
        <v>0</v>
      </c>
      <c r="T14">
        <f>MAX('Data #5'!C16:E16)</f>
        <v>0</v>
      </c>
      <c r="U14" s="88">
        <f t="shared" si="0"/>
        <v>-10.144</v>
      </c>
      <c r="V14" s="88">
        <f t="shared" si="1"/>
        <v>22.682673563757866</v>
      </c>
      <c r="W14" s="88">
        <v>-10</v>
      </c>
      <c r="X14" s="92">
        <f t="shared" si="4"/>
        <v>0.50253265129146896</v>
      </c>
      <c r="Y14" s="88">
        <v>-15</v>
      </c>
      <c r="Z14" s="92">
        <f t="shared" si="5"/>
        <v>0.41524073315927629</v>
      </c>
      <c r="AB14">
        <v>180</v>
      </c>
      <c r="AC14">
        <f>MAX('Data #1'!F16:H16)</f>
        <v>-56.77</v>
      </c>
      <c r="AD14">
        <f>MAX('Data #2'!F16:H16)</f>
        <v>0</v>
      </c>
      <c r="AE14">
        <f>MAX('Data #3'!F16:H16)</f>
        <v>0</v>
      </c>
      <c r="AF14">
        <f>MAX('Data #4'!F16:H16)</f>
        <v>0</v>
      </c>
      <c r="AG14">
        <f>MAX('Data #5'!F16:H16)</f>
        <v>0</v>
      </c>
      <c r="AH14" s="88">
        <f t="shared" si="6"/>
        <v>-11.354000000000001</v>
      </c>
      <c r="AI14" s="88">
        <f t="shared" si="7"/>
        <v>25.388315816532614</v>
      </c>
      <c r="AJ14" s="88">
        <v>-10</v>
      </c>
      <c r="AK14" s="92">
        <f t="shared" si="8"/>
        <v>0.52126615635553686</v>
      </c>
      <c r="AL14" s="88">
        <v>-15</v>
      </c>
      <c r="AM14" s="92">
        <f t="shared" si="9"/>
        <v>0.44290447120395798</v>
      </c>
      <c r="AP14">
        <v>180</v>
      </c>
      <c r="AQ14">
        <f>MAX('Data #1'!AU16:AW16)</f>
        <v>0</v>
      </c>
      <c r="AR14">
        <f>MAX('Data #2'!AU16:AW16)</f>
        <v>0</v>
      </c>
      <c r="AS14">
        <f>MAX('Data #3'!AU16:AW16)</f>
        <v>0</v>
      </c>
      <c r="AT14">
        <f>MAX('Data #4'!AU16:AW16)</f>
        <v>0</v>
      </c>
      <c r="AU14">
        <f>MAX('Data #5'!AU16:AW16)</f>
        <v>0</v>
      </c>
      <c r="AV14" s="88">
        <f t="shared" si="2"/>
        <v>0</v>
      </c>
      <c r="AW14" s="88">
        <f t="shared" si="3"/>
        <v>0</v>
      </c>
      <c r="AX14" s="88">
        <v>-10</v>
      </c>
      <c r="AY14" s="92" t="e">
        <f t="shared" si="10"/>
        <v>#NUM!</v>
      </c>
      <c r="AZ14" s="88">
        <v>-15</v>
      </c>
      <c r="BA14" s="92" t="e">
        <f t="shared" si="11"/>
        <v>#NUM!</v>
      </c>
      <c r="BC14">
        <v>180</v>
      </c>
      <c r="BD14">
        <f>MAX('Data #1'!AX16:AZ16)</f>
        <v>0</v>
      </c>
      <c r="BE14">
        <f>MAX('Data #2'!AX16:AZ16)</f>
        <v>0</v>
      </c>
      <c r="BF14">
        <f>MAX('Data #3'!AX16:AZ16)</f>
        <v>0</v>
      </c>
      <c r="BG14">
        <f>MAX('Data #4'!AX16:AZ16)</f>
        <v>0</v>
      </c>
      <c r="BH14">
        <f>MAX('Data #5'!AX16:AZ16)</f>
        <v>0</v>
      </c>
      <c r="BI14" s="88">
        <f t="shared" si="12"/>
        <v>0</v>
      </c>
      <c r="BJ14" s="88">
        <f t="shared" si="13"/>
        <v>0</v>
      </c>
      <c r="BK14" s="88">
        <v>-10</v>
      </c>
      <c r="BL14" s="92" t="e">
        <f t="shared" si="14"/>
        <v>#NUM!</v>
      </c>
      <c r="BM14" s="88">
        <v>-15</v>
      </c>
      <c r="BN14" s="92" t="e">
        <f t="shared" si="15"/>
        <v>#NUM!</v>
      </c>
    </row>
    <row r="15" spans="1:67">
      <c r="A15" s="19">
        <v>190</v>
      </c>
      <c r="B15" s="88">
        <f>'Data #1'!W17</f>
        <v>107.14666666666669</v>
      </c>
      <c r="C15" s="88">
        <f>'Data #2'!W17</f>
        <v>20</v>
      </c>
      <c r="D15" s="88">
        <f>'Data #3'!W17</f>
        <v>20</v>
      </c>
      <c r="E15" s="88">
        <f>'Data #4'!W17</f>
        <v>20</v>
      </c>
      <c r="F15" s="88">
        <f>'Data #5'!W17</f>
        <v>20</v>
      </c>
      <c r="H15" s="20">
        <v>190</v>
      </c>
      <c r="I15" s="88">
        <f>'Data #1'!AH17</f>
        <v>113.62333333333333</v>
      </c>
      <c r="J15" s="88">
        <f>'Data #2'!AH17</f>
        <v>20</v>
      </c>
      <c r="K15" s="88">
        <f>'Data #3'!AH17</f>
        <v>20</v>
      </c>
      <c r="L15" s="88">
        <f>'Data #4'!AH17</f>
        <v>20</v>
      </c>
      <c r="M15" s="88">
        <f>'Data #5'!AH17</f>
        <v>20</v>
      </c>
      <c r="O15">
        <v>190</v>
      </c>
      <c r="P15">
        <f>MAX('Data #1'!C17:E17)</f>
        <v>-50.22</v>
      </c>
      <c r="Q15">
        <f>MAX('Data #2'!C17:E17)</f>
        <v>0</v>
      </c>
      <c r="R15">
        <f>MAX('Data #3'!C17:E17)</f>
        <v>0</v>
      </c>
      <c r="S15">
        <f>MAX('Data #4'!C17:E17)</f>
        <v>0</v>
      </c>
      <c r="T15">
        <f>MAX('Data #5'!C17:E17)</f>
        <v>0</v>
      </c>
      <c r="U15" s="88">
        <f t="shared" si="0"/>
        <v>-10.044</v>
      </c>
      <c r="V15" s="88">
        <f t="shared" si="1"/>
        <v>22.459066766007886</v>
      </c>
      <c r="W15" s="88">
        <v>-10</v>
      </c>
      <c r="X15" s="92">
        <f t="shared" si="4"/>
        <v>0.50078157517815636</v>
      </c>
      <c r="Y15" s="88">
        <v>-15</v>
      </c>
      <c r="Z15" s="92">
        <f t="shared" si="5"/>
        <v>0.41267542874852525</v>
      </c>
      <c r="AB15">
        <v>190</v>
      </c>
      <c r="AC15">
        <f>MAX('Data #1'!F17:H17)</f>
        <v>-55.04</v>
      </c>
      <c r="AD15">
        <f>MAX('Data #2'!F17:H17)</f>
        <v>0</v>
      </c>
      <c r="AE15">
        <f>MAX('Data #3'!F17:H17)</f>
        <v>0</v>
      </c>
      <c r="AF15">
        <f>MAX('Data #4'!F17:H17)</f>
        <v>0</v>
      </c>
      <c r="AG15">
        <f>MAX('Data #5'!F17:H17)</f>
        <v>0</v>
      </c>
      <c r="AH15" s="88">
        <f t="shared" si="6"/>
        <v>-11.007999999999999</v>
      </c>
      <c r="AI15" s="88">
        <f t="shared" si="7"/>
        <v>24.614636296317684</v>
      </c>
      <c r="AJ15" s="88">
        <v>-10</v>
      </c>
      <c r="AK15" s="92">
        <f t="shared" si="8"/>
        <v>0.51633261793395868</v>
      </c>
      <c r="AL15" s="88">
        <v>-15</v>
      </c>
      <c r="AM15" s="92">
        <f t="shared" si="9"/>
        <v>0.43558208191379222</v>
      </c>
      <c r="AP15">
        <v>190</v>
      </c>
      <c r="AQ15">
        <f>MAX('Data #1'!AU17:AW17)</f>
        <v>0</v>
      </c>
      <c r="AR15">
        <f>MAX('Data #2'!AU17:AW17)</f>
        <v>0</v>
      </c>
      <c r="AS15">
        <f>MAX('Data #3'!AU17:AW17)</f>
        <v>0</v>
      </c>
      <c r="AT15">
        <f>MAX('Data #4'!AU17:AW17)</f>
        <v>0</v>
      </c>
      <c r="AU15">
        <f>MAX('Data #5'!AU17:AW17)</f>
        <v>0</v>
      </c>
      <c r="AV15" s="88">
        <f t="shared" si="2"/>
        <v>0</v>
      </c>
      <c r="AW15" s="88">
        <f t="shared" si="3"/>
        <v>0</v>
      </c>
      <c r="AX15" s="88">
        <v>-10</v>
      </c>
      <c r="AY15" s="92" t="e">
        <f t="shared" si="10"/>
        <v>#NUM!</v>
      </c>
      <c r="AZ15" s="88">
        <v>-15</v>
      </c>
      <c r="BA15" s="92" t="e">
        <f t="shared" si="11"/>
        <v>#NUM!</v>
      </c>
      <c r="BC15">
        <v>190</v>
      </c>
      <c r="BD15">
        <f>MAX('Data #1'!AX17:AZ17)</f>
        <v>0</v>
      </c>
      <c r="BE15">
        <f>MAX('Data #2'!AX17:AZ17)</f>
        <v>0</v>
      </c>
      <c r="BF15">
        <f>MAX('Data #3'!AX17:AZ17)</f>
        <v>0</v>
      </c>
      <c r="BG15">
        <f>MAX('Data #4'!AX17:AZ17)</f>
        <v>0</v>
      </c>
      <c r="BH15">
        <f>MAX('Data #5'!AX17:AZ17)</f>
        <v>0</v>
      </c>
      <c r="BI15" s="88">
        <f t="shared" si="12"/>
        <v>0</v>
      </c>
      <c r="BJ15" s="88">
        <f t="shared" si="13"/>
        <v>0</v>
      </c>
      <c r="BK15" s="88">
        <v>-10</v>
      </c>
      <c r="BL15" s="92" t="e">
        <f t="shared" si="14"/>
        <v>#NUM!</v>
      </c>
      <c r="BM15" s="88">
        <v>-15</v>
      </c>
      <c r="BN15" s="92" t="e">
        <f t="shared" si="15"/>
        <v>#NUM!</v>
      </c>
    </row>
    <row r="16" spans="1:67">
      <c r="A16" s="19">
        <v>200</v>
      </c>
      <c r="B16" s="88">
        <f>'Data #1'!W18</f>
        <v>110.95666666666666</v>
      </c>
      <c r="C16" s="88">
        <f>'Data #2'!W18</f>
        <v>20</v>
      </c>
      <c r="D16" s="88">
        <f>'Data #3'!W18</f>
        <v>20</v>
      </c>
      <c r="E16" s="88">
        <f>'Data #4'!W18</f>
        <v>20</v>
      </c>
      <c r="F16" s="88">
        <f>'Data #5'!W18</f>
        <v>20</v>
      </c>
      <c r="H16" s="20">
        <v>200</v>
      </c>
      <c r="I16" s="88">
        <f>'Data #1'!AH18</f>
        <v>115.21999999999998</v>
      </c>
      <c r="J16" s="88">
        <f>'Data #2'!AH18</f>
        <v>20</v>
      </c>
      <c r="K16" s="88">
        <f>'Data #3'!AH18</f>
        <v>20</v>
      </c>
      <c r="L16" s="88">
        <f>'Data #4'!AH18</f>
        <v>20</v>
      </c>
      <c r="M16" s="88">
        <f>'Data #5'!AH18</f>
        <v>20</v>
      </c>
      <c r="O16">
        <v>200</v>
      </c>
      <c r="P16">
        <f>MAX('Data #1'!C18:E18)</f>
        <v>-53.6</v>
      </c>
      <c r="Q16">
        <f>MAX('Data #2'!C18:E18)</f>
        <v>0</v>
      </c>
      <c r="R16">
        <f>MAX('Data #3'!C18:E18)</f>
        <v>0</v>
      </c>
      <c r="S16">
        <f>MAX('Data #4'!C18:E18)</f>
        <v>0</v>
      </c>
      <c r="T16">
        <f>MAX('Data #5'!C18:E18)</f>
        <v>0</v>
      </c>
      <c r="U16" s="88">
        <f t="shared" si="0"/>
        <v>-10.72</v>
      </c>
      <c r="V16" s="88">
        <f t="shared" si="1"/>
        <v>23.970648718797744</v>
      </c>
      <c r="W16" s="88">
        <v>-10</v>
      </c>
      <c r="X16" s="92">
        <f t="shared" si="4"/>
        <v>0.51198112156902864</v>
      </c>
      <c r="Y16" s="88">
        <v>-15</v>
      </c>
      <c r="Z16" s="92">
        <f t="shared" si="5"/>
        <v>0.42914486264791141</v>
      </c>
      <c r="AB16">
        <v>200</v>
      </c>
      <c r="AC16">
        <f>MAX('Data #1'!F18:H18)</f>
        <v>-53.75</v>
      </c>
      <c r="AD16">
        <f>MAX('Data #2'!F18:H18)</f>
        <v>0</v>
      </c>
      <c r="AE16">
        <f>MAX('Data #3'!F18:H18)</f>
        <v>0</v>
      </c>
      <c r="AF16">
        <f>MAX('Data #4'!F18:H18)</f>
        <v>0</v>
      </c>
      <c r="AG16">
        <f>MAX('Data #5'!F18:H18)</f>
        <v>0</v>
      </c>
      <c r="AH16" s="88">
        <f t="shared" si="6"/>
        <v>-10.75</v>
      </c>
      <c r="AI16" s="88">
        <f t="shared" si="7"/>
        <v>24.037730758122738</v>
      </c>
      <c r="AJ16" s="88">
        <v>-10</v>
      </c>
      <c r="AK16" s="92">
        <f t="shared" si="8"/>
        <v>0.51244535826410453</v>
      </c>
      <c r="AL16" s="88">
        <v>-15</v>
      </c>
      <c r="AM16" s="92">
        <f t="shared" si="9"/>
        <v>0.42983063348006822</v>
      </c>
      <c r="AP16">
        <v>200</v>
      </c>
      <c r="AQ16">
        <f>MAX('Data #1'!AU18:AW18)</f>
        <v>0</v>
      </c>
      <c r="AR16">
        <f>MAX('Data #2'!AU18:AW18)</f>
        <v>0</v>
      </c>
      <c r="AS16">
        <f>MAX('Data #3'!AU18:AW18)</f>
        <v>0</v>
      </c>
      <c r="AT16">
        <f>MAX('Data #4'!AU18:AW18)</f>
        <v>0</v>
      </c>
      <c r="AU16">
        <f>MAX('Data #5'!AU18:AW18)</f>
        <v>0</v>
      </c>
      <c r="AV16" s="88">
        <f t="shared" si="2"/>
        <v>0</v>
      </c>
      <c r="AW16" s="88">
        <f t="shared" si="3"/>
        <v>0</v>
      </c>
      <c r="AX16" s="88">
        <v>-10</v>
      </c>
      <c r="AY16" s="92" t="e">
        <f t="shared" si="10"/>
        <v>#NUM!</v>
      </c>
      <c r="AZ16" s="88">
        <v>-15</v>
      </c>
      <c r="BA16" s="92" t="e">
        <f t="shared" si="11"/>
        <v>#NUM!</v>
      </c>
      <c r="BC16">
        <v>200</v>
      </c>
      <c r="BD16">
        <f>MAX('Data #1'!AX18:AZ18)</f>
        <v>0</v>
      </c>
      <c r="BE16">
        <f>MAX('Data #2'!AX18:AZ18)</f>
        <v>0</v>
      </c>
      <c r="BF16">
        <f>MAX('Data #3'!AX18:AZ18)</f>
        <v>0</v>
      </c>
      <c r="BG16">
        <f>MAX('Data #4'!AX18:AZ18)</f>
        <v>0</v>
      </c>
      <c r="BH16">
        <f>MAX('Data #5'!AX18:AZ18)</f>
        <v>0</v>
      </c>
      <c r="BI16" s="88">
        <f t="shared" si="12"/>
        <v>0</v>
      </c>
      <c r="BJ16" s="88">
        <f t="shared" si="13"/>
        <v>0</v>
      </c>
      <c r="BK16" s="88">
        <v>-10</v>
      </c>
      <c r="BL16" s="92" t="e">
        <f t="shared" si="14"/>
        <v>#NUM!</v>
      </c>
      <c r="BM16" s="88">
        <v>-15</v>
      </c>
      <c r="BN16" s="92" t="e">
        <f t="shared" si="15"/>
        <v>#NUM!</v>
      </c>
    </row>
    <row r="17" spans="1:66">
      <c r="A17" s="19">
        <v>212</v>
      </c>
      <c r="B17" s="88">
        <f>'Data #1'!W19</f>
        <v>107.99000000000001</v>
      </c>
      <c r="C17" s="88">
        <f>'Data #2'!W19</f>
        <v>20</v>
      </c>
      <c r="D17" s="88">
        <f>'Data #3'!W19</f>
        <v>20</v>
      </c>
      <c r="E17" s="88">
        <f>'Data #4'!W19</f>
        <v>20</v>
      </c>
      <c r="F17" s="88">
        <f>'Data #5'!W19</f>
        <v>20</v>
      </c>
      <c r="H17" s="20">
        <v>212</v>
      </c>
      <c r="I17" s="88">
        <f>'Data #1'!AH19</f>
        <v>117.88333333333333</v>
      </c>
      <c r="J17" s="88">
        <f>'Data #2'!AH19</f>
        <v>20</v>
      </c>
      <c r="K17" s="88">
        <f>'Data #3'!AH19</f>
        <v>20</v>
      </c>
      <c r="L17" s="88">
        <f>'Data #4'!AH19</f>
        <v>20</v>
      </c>
      <c r="M17" s="88">
        <f>'Data #5'!AH19</f>
        <v>20</v>
      </c>
      <c r="O17">
        <v>212</v>
      </c>
      <c r="P17">
        <f>MAX('Data #1'!C19:E19)</f>
        <v>-51.29</v>
      </c>
      <c r="Q17">
        <f>MAX('Data #2'!C19:E19)</f>
        <v>0</v>
      </c>
      <c r="R17">
        <f>MAX('Data #3'!C19:E19)</f>
        <v>0</v>
      </c>
      <c r="S17">
        <f>MAX('Data #4'!C19:E19)</f>
        <v>0</v>
      </c>
      <c r="T17">
        <f>MAX('Data #5'!C19:E19)</f>
        <v>0</v>
      </c>
      <c r="U17" s="88">
        <f t="shared" si="0"/>
        <v>-10.257999999999999</v>
      </c>
      <c r="V17" s="88">
        <f t="shared" si="1"/>
        <v>22.937585313192844</v>
      </c>
      <c r="W17" s="88">
        <v>-10</v>
      </c>
      <c r="X17" s="92">
        <f t="shared" si="4"/>
        <v>0.50448717407109633</v>
      </c>
      <c r="Y17" s="88">
        <v>-15</v>
      </c>
      <c r="Z17" s="92">
        <f t="shared" si="5"/>
        <v>0.4181084398271136</v>
      </c>
      <c r="AB17">
        <v>212</v>
      </c>
      <c r="AC17">
        <f>MAX('Data #1'!F19:H19)</f>
        <v>-57.33</v>
      </c>
      <c r="AD17">
        <f>MAX('Data #2'!F19:H19)</f>
        <v>0</v>
      </c>
      <c r="AE17">
        <f>MAX('Data #3'!F19:H19)</f>
        <v>0</v>
      </c>
      <c r="AF17">
        <f>MAX('Data #4'!F19:H19)</f>
        <v>0</v>
      </c>
      <c r="AG17">
        <f>MAX('Data #5'!F19:H19)</f>
        <v>0</v>
      </c>
      <c r="AH17" s="88">
        <f t="shared" si="6"/>
        <v>-11.465999999999999</v>
      </c>
      <c r="AI17" s="88">
        <f t="shared" si="7"/>
        <v>25.638755430012587</v>
      </c>
      <c r="AJ17" s="88">
        <v>-10</v>
      </c>
      <c r="AK17" s="92">
        <f t="shared" si="8"/>
        <v>0.52279872172655684</v>
      </c>
      <c r="AL17" s="88">
        <v>-15</v>
      </c>
      <c r="AM17" s="92">
        <f t="shared" si="9"/>
        <v>0.44518414506984988</v>
      </c>
      <c r="AP17">
        <v>212</v>
      </c>
      <c r="AQ17">
        <f>MAX('Data #1'!AU19:AW19)</f>
        <v>0</v>
      </c>
      <c r="AR17">
        <f>MAX('Data #2'!AU19:AW19)</f>
        <v>0</v>
      </c>
      <c r="AS17">
        <f>MAX('Data #3'!AU19:AW19)</f>
        <v>0</v>
      </c>
      <c r="AT17">
        <f>MAX('Data #4'!AU19:AW19)</f>
        <v>0</v>
      </c>
      <c r="AU17">
        <f>MAX('Data #5'!AU19:AW19)</f>
        <v>0</v>
      </c>
      <c r="AV17" s="88">
        <f t="shared" si="2"/>
        <v>0</v>
      </c>
      <c r="AW17" s="88">
        <f t="shared" si="3"/>
        <v>0</v>
      </c>
      <c r="AX17" s="88">
        <v>-10</v>
      </c>
      <c r="AY17" s="92" t="e">
        <f t="shared" si="10"/>
        <v>#NUM!</v>
      </c>
      <c r="AZ17" s="88">
        <v>-15</v>
      </c>
      <c r="BA17" s="92" t="e">
        <f t="shared" si="11"/>
        <v>#NUM!</v>
      </c>
      <c r="BC17">
        <v>212</v>
      </c>
      <c r="BD17">
        <f>MAX('Data #1'!AX19:AZ19)</f>
        <v>0</v>
      </c>
      <c r="BE17">
        <f>MAX('Data #2'!AX19:AZ19)</f>
        <v>0</v>
      </c>
      <c r="BF17">
        <f>MAX('Data #3'!AX19:AZ19)</f>
        <v>0</v>
      </c>
      <c r="BG17">
        <f>MAX('Data #4'!AX19:AZ19)</f>
        <v>0</v>
      </c>
      <c r="BH17">
        <f>MAX('Data #5'!AX19:AZ19)</f>
        <v>0</v>
      </c>
      <c r="BI17" s="88">
        <f t="shared" si="12"/>
        <v>0</v>
      </c>
      <c r="BJ17" s="88">
        <f t="shared" si="13"/>
        <v>0</v>
      </c>
      <c r="BK17" s="88">
        <v>-10</v>
      </c>
      <c r="BL17" s="92" t="e">
        <f t="shared" si="14"/>
        <v>#NUM!</v>
      </c>
      <c r="BM17" s="88">
        <v>-15</v>
      </c>
      <c r="BN17" s="92" t="e">
        <f t="shared" si="15"/>
        <v>#NUM!</v>
      </c>
    </row>
    <row r="18" spans="1:66">
      <c r="A18" s="19">
        <v>224</v>
      </c>
      <c r="B18" s="88">
        <f>'Data #1'!W20</f>
        <v>113.24666666666667</v>
      </c>
      <c r="C18" s="88">
        <f>'Data #2'!W20</f>
        <v>20</v>
      </c>
      <c r="D18" s="88">
        <f>'Data #3'!W20</f>
        <v>20</v>
      </c>
      <c r="E18" s="88">
        <f>'Data #4'!W20</f>
        <v>20</v>
      </c>
      <c r="F18" s="88">
        <f>'Data #5'!W20</f>
        <v>20</v>
      </c>
      <c r="H18" s="20">
        <v>224</v>
      </c>
      <c r="I18" s="88">
        <f>'Data #1'!AH20</f>
        <v>112.25</v>
      </c>
      <c r="J18" s="88">
        <f>'Data #2'!AH20</f>
        <v>20</v>
      </c>
      <c r="K18" s="88">
        <f>'Data #3'!AH20</f>
        <v>20</v>
      </c>
      <c r="L18" s="88">
        <f>'Data #4'!AH20</f>
        <v>20</v>
      </c>
      <c r="M18" s="88">
        <f>'Data #5'!AH20</f>
        <v>20</v>
      </c>
      <c r="O18">
        <v>224</v>
      </c>
      <c r="P18">
        <f>MAX('Data #1'!C20:E20)</f>
        <v>-52.77</v>
      </c>
      <c r="Q18">
        <f>MAX('Data #2'!C20:E20)</f>
        <v>0</v>
      </c>
      <c r="R18">
        <f>MAX('Data #3'!C20:E20)</f>
        <v>0</v>
      </c>
      <c r="S18">
        <f>MAX('Data #4'!C20:E20)</f>
        <v>0</v>
      </c>
      <c r="T18">
        <f>MAX('Data #5'!C20:E20)</f>
        <v>0</v>
      </c>
      <c r="U18" s="88">
        <f t="shared" si="0"/>
        <v>-10.554</v>
      </c>
      <c r="V18" s="88">
        <f t="shared" si="1"/>
        <v>23.599461434532781</v>
      </c>
      <c r="W18" s="88">
        <v>-10</v>
      </c>
      <c r="X18" s="92">
        <f t="shared" si="4"/>
        <v>0.50936435461459517</v>
      </c>
      <c r="Y18" s="88">
        <v>-15</v>
      </c>
      <c r="Z18" s="92">
        <f t="shared" si="5"/>
        <v>0.4252838505372194</v>
      </c>
      <c r="AB18">
        <v>224</v>
      </c>
      <c r="AC18">
        <f>MAX('Data #1'!F20:H20)</f>
        <v>-53.99</v>
      </c>
      <c r="AD18">
        <f>MAX('Data #2'!F20:H20)</f>
        <v>0</v>
      </c>
      <c r="AE18">
        <f>MAX('Data #3'!F20:H20)</f>
        <v>0</v>
      </c>
      <c r="AF18">
        <f>MAX('Data #4'!F20:H20)</f>
        <v>0</v>
      </c>
      <c r="AG18">
        <f>MAX('Data #5'!F20:H20)</f>
        <v>0</v>
      </c>
      <c r="AH18" s="88">
        <f t="shared" si="6"/>
        <v>-10.798</v>
      </c>
      <c r="AI18" s="88">
        <f t="shared" si="7"/>
        <v>24.14506202104273</v>
      </c>
      <c r="AJ18" s="88">
        <v>-10</v>
      </c>
      <c r="AK18" s="92">
        <f t="shared" si="8"/>
        <v>0.51318273654954638</v>
      </c>
      <c r="AL18" s="88">
        <v>-15</v>
      </c>
      <c r="AM18" s="92">
        <f t="shared" si="9"/>
        <v>0.43092037542049855</v>
      </c>
      <c r="AP18">
        <v>224</v>
      </c>
      <c r="AQ18">
        <f>MAX('Data #1'!AU20:AW20)</f>
        <v>0</v>
      </c>
      <c r="AR18">
        <f>MAX('Data #2'!AU20:AW20)</f>
        <v>0</v>
      </c>
      <c r="AS18">
        <f>MAX('Data #3'!AU20:AW20)</f>
        <v>0</v>
      </c>
      <c r="AT18">
        <f>MAX('Data #4'!AU20:AW20)</f>
        <v>0</v>
      </c>
      <c r="AU18">
        <f>MAX('Data #5'!AU20:AW20)</f>
        <v>0</v>
      </c>
      <c r="AV18" s="88">
        <f t="shared" si="2"/>
        <v>0</v>
      </c>
      <c r="AW18" s="88">
        <f t="shared" si="3"/>
        <v>0</v>
      </c>
      <c r="AX18" s="88">
        <v>-10</v>
      </c>
      <c r="AY18" s="92" t="e">
        <f t="shared" si="10"/>
        <v>#NUM!</v>
      </c>
      <c r="AZ18" s="88">
        <v>-15</v>
      </c>
      <c r="BA18" s="92" t="e">
        <f t="shared" si="11"/>
        <v>#NUM!</v>
      </c>
      <c r="BC18">
        <v>224</v>
      </c>
      <c r="BD18">
        <f>MAX('Data #1'!AX20:AZ20)</f>
        <v>0</v>
      </c>
      <c r="BE18">
        <f>MAX('Data #2'!AX20:AZ20)</f>
        <v>0</v>
      </c>
      <c r="BF18">
        <f>MAX('Data #3'!AX20:AZ20)</f>
        <v>0</v>
      </c>
      <c r="BG18">
        <f>MAX('Data #4'!AX20:AZ20)</f>
        <v>0</v>
      </c>
      <c r="BH18">
        <f>MAX('Data #5'!AX20:AZ20)</f>
        <v>0</v>
      </c>
      <c r="BI18" s="88">
        <f t="shared" si="12"/>
        <v>0</v>
      </c>
      <c r="BJ18" s="88">
        <f t="shared" si="13"/>
        <v>0</v>
      </c>
      <c r="BK18" s="88">
        <v>-10</v>
      </c>
      <c r="BL18" s="92" t="e">
        <f t="shared" si="14"/>
        <v>#NUM!</v>
      </c>
      <c r="BM18" s="88">
        <v>-15</v>
      </c>
      <c r="BN18" s="92" t="e">
        <f t="shared" si="15"/>
        <v>#NUM!</v>
      </c>
    </row>
    <row r="19" spans="1:66">
      <c r="A19" s="19">
        <v>236</v>
      </c>
      <c r="B19" s="88">
        <f>'Data #1'!W21</f>
        <v>108.22333333333331</v>
      </c>
      <c r="C19" s="88">
        <f>'Data #2'!W21</f>
        <v>20</v>
      </c>
      <c r="D19" s="88">
        <f>'Data #3'!W21</f>
        <v>20</v>
      </c>
      <c r="E19" s="88">
        <f>'Data #4'!W21</f>
        <v>20</v>
      </c>
      <c r="F19" s="88">
        <f>'Data #5'!W21</f>
        <v>20</v>
      </c>
      <c r="H19" s="20">
        <v>236</v>
      </c>
      <c r="I19" s="88">
        <f>'Data #1'!AH21</f>
        <v>114.79333333333334</v>
      </c>
      <c r="J19" s="88">
        <f>'Data #2'!AH21</f>
        <v>20</v>
      </c>
      <c r="K19" s="88">
        <f>'Data #3'!AH21</f>
        <v>20</v>
      </c>
      <c r="L19" s="88">
        <f>'Data #4'!AH21</f>
        <v>20</v>
      </c>
      <c r="M19" s="88">
        <f>'Data #5'!AH21</f>
        <v>20</v>
      </c>
      <c r="O19">
        <v>236</v>
      </c>
      <c r="P19">
        <f>MAX('Data #1'!C21:E21)</f>
        <v>-51.27</v>
      </c>
      <c r="Q19">
        <f>MAX('Data #2'!C21:E21)</f>
        <v>0</v>
      </c>
      <c r="R19">
        <f>MAX('Data #3'!C21:E21)</f>
        <v>0</v>
      </c>
      <c r="S19">
        <f>MAX('Data #4'!C21:E21)</f>
        <v>0</v>
      </c>
      <c r="T19">
        <f>MAX('Data #5'!C21:E21)</f>
        <v>0</v>
      </c>
      <c r="U19" s="88">
        <f t="shared" si="0"/>
        <v>-10.254000000000001</v>
      </c>
      <c r="V19" s="88">
        <f t="shared" si="1"/>
        <v>22.928641041282845</v>
      </c>
      <c r="W19" s="88">
        <v>-10</v>
      </c>
      <c r="X19" s="92">
        <f t="shared" si="4"/>
        <v>0.50441933154850727</v>
      </c>
      <c r="Y19" s="88">
        <v>-15</v>
      </c>
      <c r="Z19" s="92">
        <f t="shared" si="5"/>
        <v>0.41800882405118511</v>
      </c>
      <c r="AB19">
        <v>236</v>
      </c>
      <c r="AC19">
        <f>MAX('Data #1'!F21:H21)</f>
        <v>-54.77</v>
      </c>
      <c r="AD19">
        <f>MAX('Data #2'!F21:H21)</f>
        <v>0</v>
      </c>
      <c r="AE19">
        <f>MAX('Data #3'!F21:H21)</f>
        <v>0</v>
      </c>
      <c r="AF19">
        <f>MAX('Data #4'!F21:H21)</f>
        <v>0</v>
      </c>
      <c r="AG19">
        <f>MAX('Data #5'!F21:H21)</f>
        <v>0</v>
      </c>
      <c r="AH19" s="88">
        <f t="shared" si="6"/>
        <v>-10.954000000000001</v>
      </c>
      <c r="AI19" s="88">
        <f t="shared" si="7"/>
        <v>24.493888625532698</v>
      </c>
      <c r="AJ19" s="88">
        <v>-10</v>
      </c>
      <c r="AK19" s="92">
        <f t="shared" si="8"/>
        <v>0.51553427216444692</v>
      </c>
      <c r="AL19" s="88">
        <v>-15</v>
      </c>
      <c r="AM19" s="92">
        <f t="shared" si="9"/>
        <v>0.43439955508791739</v>
      </c>
      <c r="AP19">
        <v>236</v>
      </c>
      <c r="AQ19">
        <f>MAX('Data #1'!AU21:AW21)</f>
        <v>0</v>
      </c>
      <c r="AR19">
        <f>MAX('Data #2'!AU21:AW21)</f>
        <v>0</v>
      </c>
      <c r="AS19">
        <f>MAX('Data #3'!AU21:AW21)</f>
        <v>0</v>
      </c>
      <c r="AT19">
        <f>MAX('Data #4'!AU21:AW21)</f>
        <v>0</v>
      </c>
      <c r="AU19">
        <f>MAX('Data #5'!AU21:AW21)</f>
        <v>0</v>
      </c>
      <c r="AV19" s="88">
        <f t="shared" si="2"/>
        <v>0</v>
      </c>
      <c r="AW19" s="88">
        <f t="shared" si="3"/>
        <v>0</v>
      </c>
      <c r="AX19" s="88">
        <v>-10</v>
      </c>
      <c r="AY19" s="92" t="e">
        <f t="shared" si="10"/>
        <v>#NUM!</v>
      </c>
      <c r="AZ19" s="88">
        <v>-15</v>
      </c>
      <c r="BA19" s="92" t="e">
        <f t="shared" si="11"/>
        <v>#NUM!</v>
      </c>
      <c r="BC19">
        <v>236</v>
      </c>
      <c r="BD19">
        <f>MAX('Data #1'!AX21:AZ21)</f>
        <v>0</v>
      </c>
      <c r="BE19">
        <f>MAX('Data #2'!AX21:AZ21)</f>
        <v>0</v>
      </c>
      <c r="BF19">
        <f>MAX('Data #3'!AX21:AZ21)</f>
        <v>0</v>
      </c>
      <c r="BG19">
        <f>MAX('Data #4'!AX21:AZ21)</f>
        <v>0</v>
      </c>
      <c r="BH19">
        <f>MAX('Data #5'!AX21:AZ21)</f>
        <v>0</v>
      </c>
      <c r="BI19" s="88">
        <f t="shared" si="12"/>
        <v>0</v>
      </c>
      <c r="BJ19" s="88">
        <f t="shared" si="13"/>
        <v>0</v>
      </c>
      <c r="BK19" s="88">
        <v>-10</v>
      </c>
      <c r="BL19" s="92" t="e">
        <f t="shared" si="14"/>
        <v>#NUM!</v>
      </c>
      <c r="BM19" s="88">
        <v>-15</v>
      </c>
      <c r="BN19" s="92" t="e">
        <f t="shared" si="15"/>
        <v>#NUM!</v>
      </c>
    </row>
    <row r="20" spans="1:66">
      <c r="A20" s="19">
        <v>250</v>
      </c>
      <c r="B20" s="88">
        <f>'Data #1'!W22</f>
        <v>104.02</v>
      </c>
      <c r="C20" s="88">
        <f>'Data #2'!W22</f>
        <v>20</v>
      </c>
      <c r="D20" s="88">
        <f>'Data #3'!W22</f>
        <v>20</v>
      </c>
      <c r="E20" s="88">
        <f>'Data #4'!W22</f>
        <v>20</v>
      </c>
      <c r="F20" s="88">
        <f>'Data #5'!W22</f>
        <v>20</v>
      </c>
      <c r="H20" s="20">
        <v>250</v>
      </c>
      <c r="I20" s="88">
        <f>'Data #1'!AH22</f>
        <v>114.04333333333334</v>
      </c>
      <c r="J20" s="88">
        <f>'Data #2'!AH22</f>
        <v>20</v>
      </c>
      <c r="K20" s="88">
        <f>'Data #3'!AH22</f>
        <v>20</v>
      </c>
      <c r="L20" s="88">
        <f>'Data #4'!AH22</f>
        <v>20</v>
      </c>
      <c r="M20" s="88">
        <f>'Data #5'!AH22</f>
        <v>20</v>
      </c>
      <c r="O20">
        <v>250</v>
      </c>
      <c r="P20">
        <f>MAX('Data #1'!C22:E22)</f>
        <v>-48.44</v>
      </c>
      <c r="Q20">
        <f>MAX('Data #2'!C22:E22)</f>
        <v>0</v>
      </c>
      <c r="R20">
        <f>MAX('Data #3'!C22:E22)</f>
        <v>0</v>
      </c>
      <c r="S20">
        <f>MAX('Data #4'!C22:E22)</f>
        <v>0</v>
      </c>
      <c r="T20">
        <f>MAX('Data #5'!C22:E22)</f>
        <v>0</v>
      </c>
      <c r="U20" s="88">
        <f t="shared" si="0"/>
        <v>-9.6879999999999988</v>
      </c>
      <c r="V20" s="88">
        <f t="shared" si="1"/>
        <v>21.663026566017962</v>
      </c>
      <c r="W20" s="88">
        <v>-10</v>
      </c>
      <c r="X20" s="92">
        <f t="shared" si="4"/>
        <v>0.49425446448532251</v>
      </c>
      <c r="Y20" s="88">
        <v>-15</v>
      </c>
      <c r="Z20" s="92">
        <f t="shared" si="5"/>
        <v>0.40314675151549118</v>
      </c>
      <c r="AB20">
        <v>250</v>
      </c>
      <c r="AC20">
        <f>MAX('Data #1'!F22:H22)</f>
        <v>-55.42</v>
      </c>
      <c r="AD20">
        <f>MAX('Data #2'!F22:H22)</f>
        <v>0</v>
      </c>
      <c r="AE20">
        <f>MAX('Data #3'!F22:H22)</f>
        <v>0</v>
      </c>
      <c r="AF20">
        <f>MAX('Data #4'!F22:H22)</f>
        <v>0</v>
      </c>
      <c r="AG20">
        <f>MAX('Data #5'!F22:H22)</f>
        <v>0</v>
      </c>
      <c r="AH20" s="88">
        <f t="shared" si="6"/>
        <v>-11.084</v>
      </c>
      <c r="AI20" s="88">
        <f t="shared" si="7"/>
        <v>24.784577462607672</v>
      </c>
      <c r="AJ20" s="88">
        <v>-10</v>
      </c>
      <c r="AK20" s="92">
        <f t="shared" si="8"/>
        <v>0.51744292787575152</v>
      </c>
      <c r="AL20" s="88">
        <v>-15</v>
      </c>
      <c r="AM20" s="92">
        <f t="shared" si="9"/>
        <v>0.43722781497973606</v>
      </c>
      <c r="AP20">
        <v>250</v>
      </c>
      <c r="AQ20">
        <f>MAX('Data #1'!AU22:AW22)</f>
        <v>0</v>
      </c>
      <c r="AR20">
        <f>MAX('Data #2'!AU22:AW22)</f>
        <v>0</v>
      </c>
      <c r="AS20">
        <f>MAX('Data #3'!AU22:AW22)</f>
        <v>0</v>
      </c>
      <c r="AT20">
        <f>MAX('Data #4'!AU22:AW22)</f>
        <v>0</v>
      </c>
      <c r="AU20">
        <f>MAX('Data #5'!AU22:AW22)</f>
        <v>0</v>
      </c>
      <c r="AV20" s="88">
        <f t="shared" si="2"/>
        <v>0</v>
      </c>
      <c r="AW20" s="88">
        <f t="shared" si="3"/>
        <v>0</v>
      </c>
      <c r="AX20" s="88">
        <v>-10</v>
      </c>
      <c r="AY20" s="92" t="e">
        <f t="shared" si="10"/>
        <v>#NUM!</v>
      </c>
      <c r="AZ20" s="88">
        <v>-15</v>
      </c>
      <c r="BA20" s="92" t="e">
        <f t="shared" si="11"/>
        <v>#NUM!</v>
      </c>
      <c r="BC20">
        <v>250</v>
      </c>
      <c r="BD20">
        <f>MAX('Data #1'!AX22:AZ22)</f>
        <v>0</v>
      </c>
      <c r="BE20">
        <f>MAX('Data #2'!AX22:AZ22)</f>
        <v>0</v>
      </c>
      <c r="BF20">
        <f>MAX('Data #3'!AX22:AZ22)</f>
        <v>0</v>
      </c>
      <c r="BG20">
        <f>MAX('Data #4'!AX22:AZ22)</f>
        <v>0</v>
      </c>
      <c r="BH20">
        <f>MAX('Data #5'!AX22:AZ22)</f>
        <v>0</v>
      </c>
      <c r="BI20" s="88">
        <f t="shared" si="12"/>
        <v>0</v>
      </c>
      <c r="BJ20" s="88">
        <f t="shared" si="13"/>
        <v>0</v>
      </c>
      <c r="BK20" s="88">
        <v>-10</v>
      </c>
      <c r="BL20" s="92" t="e">
        <f t="shared" si="14"/>
        <v>#NUM!</v>
      </c>
      <c r="BM20" s="88">
        <v>-15</v>
      </c>
      <c r="BN20" s="92" t="e">
        <f t="shared" si="15"/>
        <v>#NUM!</v>
      </c>
    </row>
    <row r="21" spans="1:66">
      <c r="A21" s="19">
        <v>265</v>
      </c>
      <c r="B21" s="88">
        <f>'Data #1'!W23</f>
        <v>109.48333333333333</v>
      </c>
      <c r="C21" s="88">
        <f>'Data #2'!W23</f>
        <v>20</v>
      </c>
      <c r="D21" s="88">
        <f>'Data #3'!W23</f>
        <v>20</v>
      </c>
      <c r="E21" s="88">
        <f>'Data #4'!W23</f>
        <v>20</v>
      </c>
      <c r="F21" s="88">
        <f>'Data #5'!W23</f>
        <v>20</v>
      </c>
      <c r="H21" s="20">
        <v>265</v>
      </c>
      <c r="I21" s="88">
        <f>'Data #1'!AH23</f>
        <v>114.23666666666666</v>
      </c>
      <c r="J21" s="88">
        <f>'Data #2'!AH23</f>
        <v>20</v>
      </c>
      <c r="K21" s="88">
        <f>'Data #3'!AH23</f>
        <v>20</v>
      </c>
      <c r="L21" s="88">
        <f>'Data #4'!AH23</f>
        <v>20</v>
      </c>
      <c r="M21" s="88">
        <f>'Data #5'!AH23</f>
        <v>20</v>
      </c>
      <c r="O21">
        <v>265</v>
      </c>
      <c r="P21">
        <f>MAX('Data #1'!C23:E23)</f>
        <v>-51.2</v>
      </c>
      <c r="Q21">
        <f>MAX('Data #2'!C23:E23)</f>
        <v>0</v>
      </c>
      <c r="R21">
        <f>MAX('Data #3'!C23:E23)</f>
        <v>0</v>
      </c>
      <c r="S21">
        <f>MAX('Data #4'!C23:E23)</f>
        <v>0</v>
      </c>
      <c r="T21">
        <f>MAX('Data #5'!C23:E23)</f>
        <v>0</v>
      </c>
      <c r="U21" s="88">
        <f t="shared" si="0"/>
        <v>-10.24</v>
      </c>
      <c r="V21" s="88">
        <f t="shared" si="1"/>
        <v>22.89733608959785</v>
      </c>
      <c r="W21" s="88">
        <v>-10</v>
      </c>
      <c r="X21" s="92">
        <f t="shared" si="4"/>
        <v>0.50418146433219424</v>
      </c>
      <c r="Y21" s="88">
        <v>-15</v>
      </c>
      <c r="Z21" s="92">
        <f t="shared" si="5"/>
        <v>0.41765959755702153</v>
      </c>
      <c r="AB21">
        <v>265</v>
      </c>
      <c r="AC21">
        <f>MAX('Data #1'!F23:H23)</f>
        <v>-56.01</v>
      </c>
      <c r="AD21">
        <f>MAX('Data #2'!F23:H23)</f>
        <v>0</v>
      </c>
      <c r="AE21">
        <f>MAX('Data #3'!F23:H23)</f>
        <v>0</v>
      </c>
      <c r="AF21">
        <f>MAX('Data #4'!F23:H23)</f>
        <v>0</v>
      </c>
      <c r="AG21">
        <f>MAX('Data #5'!F23:H23)</f>
        <v>0</v>
      </c>
      <c r="AH21" s="88">
        <f t="shared" si="6"/>
        <v>-11.202</v>
      </c>
      <c r="AI21" s="88">
        <f t="shared" si="7"/>
        <v>25.048433483952643</v>
      </c>
      <c r="AJ21" s="88">
        <v>-10</v>
      </c>
      <c r="AK21" s="92">
        <f t="shared" si="8"/>
        <v>0.51913671149886542</v>
      </c>
      <c r="AL21" s="88">
        <v>-15</v>
      </c>
      <c r="AM21" s="92">
        <f t="shared" si="9"/>
        <v>0.4397408647310207</v>
      </c>
      <c r="AP21">
        <v>265</v>
      </c>
      <c r="AQ21">
        <f>MAX('Data #1'!AU23:AW23)</f>
        <v>0</v>
      </c>
      <c r="AR21">
        <f>MAX('Data #2'!AU23:AW23)</f>
        <v>0</v>
      </c>
      <c r="AS21">
        <f>MAX('Data #3'!AU23:AW23)</f>
        <v>0</v>
      </c>
      <c r="AT21">
        <f>MAX('Data #4'!AU23:AW23)</f>
        <v>0</v>
      </c>
      <c r="AU21">
        <f>MAX('Data #5'!AU23:AW23)</f>
        <v>0</v>
      </c>
      <c r="AV21" s="88">
        <f t="shared" si="2"/>
        <v>0</v>
      </c>
      <c r="AW21" s="88">
        <f t="shared" si="3"/>
        <v>0</v>
      </c>
      <c r="AX21" s="88">
        <v>-10</v>
      </c>
      <c r="AY21" s="92" t="e">
        <f t="shared" si="10"/>
        <v>#NUM!</v>
      </c>
      <c r="AZ21" s="88">
        <v>-15</v>
      </c>
      <c r="BA21" s="92" t="e">
        <f t="shared" si="11"/>
        <v>#NUM!</v>
      </c>
      <c r="BC21">
        <v>265</v>
      </c>
      <c r="BD21">
        <f>MAX('Data #1'!AX23:AZ23)</f>
        <v>0</v>
      </c>
      <c r="BE21">
        <f>MAX('Data #2'!AX23:AZ23)</f>
        <v>0</v>
      </c>
      <c r="BF21">
        <f>MAX('Data #3'!AX23:AZ23)</f>
        <v>0</v>
      </c>
      <c r="BG21">
        <f>MAX('Data #4'!AX23:AZ23)</f>
        <v>0</v>
      </c>
      <c r="BH21">
        <f>MAX('Data #5'!AX23:AZ23)</f>
        <v>0</v>
      </c>
      <c r="BI21" s="88">
        <f t="shared" si="12"/>
        <v>0</v>
      </c>
      <c r="BJ21" s="88">
        <f t="shared" si="13"/>
        <v>0</v>
      </c>
      <c r="BK21" s="88">
        <v>-10</v>
      </c>
      <c r="BL21" s="92" t="e">
        <f t="shared" si="14"/>
        <v>#NUM!</v>
      </c>
      <c r="BM21" s="88">
        <v>-15</v>
      </c>
      <c r="BN21" s="92" t="e">
        <f t="shared" si="15"/>
        <v>#NUM!</v>
      </c>
    </row>
    <row r="22" spans="1:66">
      <c r="A22" s="19">
        <v>280</v>
      </c>
      <c r="B22" s="88">
        <f>'Data #1'!W24</f>
        <v>105.00666666666666</v>
      </c>
      <c r="C22" s="88">
        <f>'Data #2'!W24</f>
        <v>20</v>
      </c>
      <c r="D22" s="88">
        <f>'Data #3'!W24</f>
        <v>20</v>
      </c>
      <c r="E22" s="88">
        <f>'Data #4'!W24</f>
        <v>20</v>
      </c>
      <c r="F22" s="88">
        <f>'Data #5'!W24</f>
        <v>20</v>
      </c>
      <c r="H22" s="20">
        <v>280</v>
      </c>
      <c r="I22" s="88">
        <f>'Data #1'!AH24</f>
        <v>109.21</v>
      </c>
      <c r="J22" s="88">
        <f>'Data #2'!AH24</f>
        <v>20</v>
      </c>
      <c r="K22" s="88">
        <f>'Data #3'!AH24</f>
        <v>20</v>
      </c>
      <c r="L22" s="88">
        <f>'Data #4'!AH24</f>
        <v>20</v>
      </c>
      <c r="M22" s="88">
        <f>'Data #5'!AH24</f>
        <v>20</v>
      </c>
      <c r="O22">
        <v>280</v>
      </c>
      <c r="P22">
        <f>MAX('Data #1'!C24:E24)</f>
        <v>-47.95</v>
      </c>
      <c r="Q22">
        <f>MAX('Data #2'!C24:E24)</f>
        <v>0</v>
      </c>
      <c r="R22">
        <f>MAX('Data #3'!C24:E24)</f>
        <v>0</v>
      </c>
      <c r="S22">
        <f>MAX('Data #4'!C24:E24)</f>
        <v>0</v>
      </c>
      <c r="T22">
        <f>MAX('Data #5'!C24:E24)</f>
        <v>0</v>
      </c>
      <c r="U22" s="88">
        <f t="shared" si="0"/>
        <v>-9.59</v>
      </c>
      <c r="V22" s="88">
        <f t="shared" si="1"/>
        <v>21.443891904222983</v>
      </c>
      <c r="W22" s="88">
        <v>-10</v>
      </c>
      <c r="X22" s="92">
        <f t="shared" si="4"/>
        <v>0.49237282249658521</v>
      </c>
      <c r="Y22" s="88">
        <v>-15</v>
      </c>
      <c r="Z22" s="92">
        <f t="shared" si="5"/>
        <v>0.4004098910039291</v>
      </c>
      <c r="AB22">
        <v>280</v>
      </c>
      <c r="AC22">
        <f>MAX('Data #1'!F24:H24)</f>
        <v>-47.77</v>
      </c>
      <c r="AD22">
        <f>MAX('Data #2'!F24:H24)</f>
        <v>0</v>
      </c>
      <c r="AE22">
        <f>MAX('Data #3'!F24:H24)</f>
        <v>0</v>
      </c>
      <c r="AF22">
        <f>MAX('Data #4'!F24:H24)</f>
        <v>0</v>
      </c>
      <c r="AG22">
        <f>MAX('Data #5'!F24:H24)</f>
        <v>0</v>
      </c>
      <c r="AH22" s="88">
        <f t="shared" si="6"/>
        <v>-9.5540000000000003</v>
      </c>
      <c r="AI22" s="88">
        <f t="shared" si="7"/>
        <v>21.363393457032991</v>
      </c>
      <c r="AJ22" s="88">
        <v>-10</v>
      </c>
      <c r="AK22" s="92">
        <f t="shared" si="8"/>
        <v>0.49167195354571713</v>
      </c>
      <c r="AL22" s="88">
        <v>-15</v>
      </c>
      <c r="AM22" s="92">
        <f t="shared" si="9"/>
        <v>0.39939165366041351</v>
      </c>
      <c r="AP22">
        <v>280</v>
      </c>
      <c r="AQ22">
        <f>MAX('Data #1'!AU24:AW24)</f>
        <v>0</v>
      </c>
      <c r="AR22">
        <f>MAX('Data #2'!AU24:AW24)</f>
        <v>0</v>
      </c>
      <c r="AS22">
        <f>MAX('Data #3'!AU24:AW24)</f>
        <v>0</v>
      </c>
      <c r="AT22">
        <f>MAX('Data #4'!AU24:AW24)</f>
        <v>0</v>
      </c>
      <c r="AU22">
        <f>MAX('Data #5'!AU24:AW24)</f>
        <v>0</v>
      </c>
      <c r="AV22" s="88">
        <f t="shared" si="2"/>
        <v>0</v>
      </c>
      <c r="AW22" s="88">
        <f t="shared" si="3"/>
        <v>0</v>
      </c>
      <c r="AX22" s="88">
        <v>-10</v>
      </c>
      <c r="AY22" s="92" t="e">
        <f t="shared" si="10"/>
        <v>#NUM!</v>
      </c>
      <c r="AZ22" s="88">
        <v>-15</v>
      </c>
      <c r="BA22" s="92" t="e">
        <f t="shared" si="11"/>
        <v>#NUM!</v>
      </c>
      <c r="BC22">
        <v>280</v>
      </c>
      <c r="BD22">
        <f>MAX('Data #1'!AX24:AZ24)</f>
        <v>0</v>
      </c>
      <c r="BE22">
        <f>MAX('Data #2'!AX24:AZ24)</f>
        <v>0</v>
      </c>
      <c r="BF22">
        <f>MAX('Data #3'!AX24:AZ24)</f>
        <v>0</v>
      </c>
      <c r="BG22">
        <f>MAX('Data #4'!AX24:AZ24)</f>
        <v>0</v>
      </c>
      <c r="BH22">
        <f>MAX('Data #5'!AX24:AZ24)</f>
        <v>0</v>
      </c>
      <c r="BI22" s="88">
        <f t="shared" si="12"/>
        <v>0</v>
      </c>
      <c r="BJ22" s="88">
        <f t="shared" si="13"/>
        <v>0</v>
      </c>
      <c r="BK22" s="88">
        <v>-10</v>
      </c>
      <c r="BL22" s="92" t="e">
        <f t="shared" si="14"/>
        <v>#NUM!</v>
      </c>
      <c r="BM22" s="88">
        <v>-15</v>
      </c>
      <c r="BN22" s="92" t="e">
        <f t="shared" si="15"/>
        <v>#NUM!</v>
      </c>
    </row>
    <row r="23" spans="1:66">
      <c r="A23" s="19">
        <v>300</v>
      </c>
      <c r="B23" s="88">
        <f>'Data #1'!W25</f>
        <v>106.58333333333333</v>
      </c>
      <c r="C23" s="88">
        <f>'Data #2'!W25</f>
        <v>20</v>
      </c>
      <c r="D23" s="88">
        <f>'Data #3'!W25</f>
        <v>20</v>
      </c>
      <c r="E23" s="88">
        <f>'Data #4'!W25</f>
        <v>20</v>
      </c>
      <c r="F23" s="88">
        <f>'Data #5'!W25</f>
        <v>20</v>
      </c>
      <c r="H23" s="20">
        <v>300</v>
      </c>
      <c r="I23" s="88">
        <f>'Data #1'!AH25</f>
        <v>115.25</v>
      </c>
      <c r="J23" s="88">
        <f>'Data #2'!AH25</f>
        <v>20</v>
      </c>
      <c r="K23" s="88">
        <f>'Data #3'!AH25</f>
        <v>20</v>
      </c>
      <c r="L23" s="88">
        <f>'Data #4'!AH25</f>
        <v>20</v>
      </c>
      <c r="M23" s="88">
        <f>'Data #5'!AH25</f>
        <v>20</v>
      </c>
      <c r="O23">
        <v>300</v>
      </c>
      <c r="P23">
        <f>MAX('Data #1'!C25:E25)</f>
        <v>-49.5</v>
      </c>
      <c r="Q23">
        <f>MAX('Data #2'!C25:E25)</f>
        <v>0</v>
      </c>
      <c r="R23">
        <f>MAX('Data #3'!C25:E25)</f>
        <v>0</v>
      </c>
      <c r="S23">
        <f>MAX('Data #4'!C25:E25)</f>
        <v>0</v>
      </c>
      <c r="T23">
        <f>MAX('Data #5'!C25:E25)</f>
        <v>0</v>
      </c>
      <c r="U23" s="88">
        <f t="shared" si="0"/>
        <v>-9.9</v>
      </c>
      <c r="V23" s="88">
        <f t="shared" si="1"/>
        <v>22.137072977247918</v>
      </c>
      <c r="W23" s="88">
        <v>-10</v>
      </c>
      <c r="X23" s="92">
        <f t="shared" si="4"/>
        <v>0.4981978605572312</v>
      </c>
      <c r="Y23" s="88">
        <v>-15</v>
      </c>
      <c r="Z23" s="92">
        <f t="shared" si="5"/>
        <v>0.4088971776939882</v>
      </c>
      <c r="AB23">
        <v>300</v>
      </c>
      <c r="AC23">
        <f>MAX('Data #1'!F25:H25)</f>
        <v>-51.05</v>
      </c>
      <c r="AD23">
        <f>MAX('Data #2'!F25:H25)</f>
        <v>0</v>
      </c>
      <c r="AE23">
        <f>MAX('Data #3'!F25:H25)</f>
        <v>0</v>
      </c>
      <c r="AF23">
        <f>MAX('Data #4'!F25:H25)</f>
        <v>0</v>
      </c>
      <c r="AG23">
        <f>MAX('Data #5'!F25:H25)</f>
        <v>0</v>
      </c>
      <c r="AH23" s="88">
        <f t="shared" si="6"/>
        <v>-10.209999999999999</v>
      </c>
      <c r="AI23" s="88">
        <f t="shared" si="7"/>
        <v>22.830254050272849</v>
      </c>
      <c r="AJ23" s="88">
        <v>-10</v>
      </c>
      <c r="AK23" s="92">
        <f t="shared" si="8"/>
        <v>0.50366954731732683</v>
      </c>
      <c r="AL23" s="88">
        <v>-15</v>
      </c>
      <c r="AM23" s="92">
        <f t="shared" si="9"/>
        <v>0.4169082506566108</v>
      </c>
      <c r="AP23">
        <v>300</v>
      </c>
      <c r="AQ23">
        <f>MAX('Data #1'!AU25:AW25)</f>
        <v>0</v>
      </c>
      <c r="AR23">
        <f>MAX('Data #2'!AU25:AW25)</f>
        <v>0</v>
      </c>
      <c r="AS23">
        <f>MAX('Data #3'!AU25:AW25)</f>
        <v>0</v>
      </c>
      <c r="AT23">
        <f>MAX('Data #4'!AU25:AW25)</f>
        <v>0</v>
      </c>
      <c r="AU23">
        <f>MAX('Data #5'!AU25:AW25)</f>
        <v>0</v>
      </c>
      <c r="AV23" s="88">
        <f t="shared" si="2"/>
        <v>0</v>
      </c>
      <c r="AW23" s="88">
        <f t="shared" si="3"/>
        <v>0</v>
      </c>
      <c r="AX23" s="88">
        <v>-10</v>
      </c>
      <c r="AY23" s="92" t="e">
        <f t="shared" si="10"/>
        <v>#NUM!</v>
      </c>
      <c r="AZ23" s="88">
        <v>-15</v>
      </c>
      <c r="BA23" s="92" t="e">
        <f t="shared" si="11"/>
        <v>#NUM!</v>
      </c>
      <c r="BC23">
        <v>300</v>
      </c>
      <c r="BD23">
        <f>MAX('Data #1'!AX25:AZ25)</f>
        <v>0</v>
      </c>
      <c r="BE23">
        <f>MAX('Data #2'!AX25:AZ25)</f>
        <v>0</v>
      </c>
      <c r="BF23">
        <f>MAX('Data #3'!AX25:AZ25)</f>
        <v>0</v>
      </c>
      <c r="BG23">
        <f>MAX('Data #4'!AX25:AZ25)</f>
        <v>0</v>
      </c>
      <c r="BH23">
        <f>MAX('Data #5'!AX25:AZ25)</f>
        <v>0</v>
      </c>
      <c r="BI23" s="88">
        <f t="shared" si="12"/>
        <v>0</v>
      </c>
      <c r="BJ23" s="88">
        <f t="shared" si="13"/>
        <v>0</v>
      </c>
      <c r="BK23" s="88">
        <v>-10</v>
      </c>
      <c r="BL23" s="92" t="e">
        <f t="shared" si="14"/>
        <v>#NUM!</v>
      </c>
      <c r="BM23" s="88">
        <v>-15</v>
      </c>
      <c r="BN23" s="92" t="e">
        <f t="shared" si="15"/>
        <v>#NUM!</v>
      </c>
    </row>
    <row r="24" spans="1:66">
      <c r="A24" s="19">
        <v>315</v>
      </c>
      <c r="B24" s="88">
        <f>'Data #1'!W26</f>
        <v>99.88</v>
      </c>
      <c r="C24" s="88">
        <f>'Data #2'!W26</f>
        <v>20</v>
      </c>
      <c r="D24" s="88">
        <f>'Data #3'!W26</f>
        <v>20</v>
      </c>
      <c r="E24" s="88">
        <f>'Data #4'!W26</f>
        <v>20</v>
      </c>
      <c r="F24" s="88">
        <f>'Data #5'!W26</f>
        <v>20</v>
      </c>
      <c r="H24" s="20">
        <v>315</v>
      </c>
      <c r="I24" s="88">
        <f>'Data #1'!AH26</f>
        <v>106.08</v>
      </c>
      <c r="J24" s="88">
        <f>'Data #2'!AH26</f>
        <v>20</v>
      </c>
      <c r="K24" s="88">
        <f>'Data #3'!AH26</f>
        <v>20</v>
      </c>
      <c r="L24" s="88">
        <f>'Data #4'!AH26</f>
        <v>20</v>
      </c>
      <c r="M24" s="88">
        <f>'Data #5'!AH26</f>
        <v>20</v>
      </c>
      <c r="O24">
        <v>315</v>
      </c>
      <c r="P24">
        <f>MAX('Data #1'!C26:E26)</f>
        <v>-39.409999999999997</v>
      </c>
      <c r="Q24">
        <f>MAX('Data #2'!C26:E26)</f>
        <v>0</v>
      </c>
      <c r="R24">
        <f>MAX('Data #3'!C26:E26)</f>
        <v>0</v>
      </c>
      <c r="S24">
        <f>MAX('Data #4'!C26:E26)</f>
        <v>0</v>
      </c>
      <c r="T24">
        <f>MAX('Data #5'!C26:E26)</f>
        <v>0</v>
      </c>
      <c r="U24" s="88">
        <f t="shared" si="0"/>
        <v>-7.8819999999999997</v>
      </c>
      <c r="V24" s="88">
        <f t="shared" si="1"/>
        <v>17.624687798653341</v>
      </c>
      <c r="W24" s="88">
        <v>-10</v>
      </c>
      <c r="X24" s="92">
        <f t="shared" si="4"/>
        <v>0.45217331364959418</v>
      </c>
      <c r="Y24" s="88">
        <v>-15</v>
      </c>
      <c r="Z24" s="92">
        <f t="shared" si="5"/>
        <v>0.34315588357456528</v>
      </c>
      <c r="AB24">
        <v>315</v>
      </c>
      <c r="AC24">
        <f>MAX('Data #1'!F26:H26)</f>
        <v>-49.47</v>
      </c>
      <c r="AD24">
        <f>MAX('Data #2'!F26:H26)</f>
        <v>0</v>
      </c>
      <c r="AE24">
        <f>MAX('Data #3'!F26:H26)</f>
        <v>0</v>
      </c>
      <c r="AF24">
        <f>MAX('Data #4'!F26:H26)</f>
        <v>0</v>
      </c>
      <c r="AG24">
        <f>MAX('Data #5'!F26:H26)</f>
        <v>0</v>
      </c>
      <c r="AH24" s="88">
        <f t="shared" si="6"/>
        <v>-9.8940000000000001</v>
      </c>
      <c r="AI24" s="88">
        <f t="shared" si="7"/>
        <v>22.12365656938292</v>
      </c>
      <c r="AJ24" s="88">
        <v>-10</v>
      </c>
      <c r="AK24" s="92">
        <f t="shared" si="8"/>
        <v>0.49808857456287026</v>
      </c>
      <c r="AL24" s="88">
        <v>-15</v>
      </c>
      <c r="AM24" s="92">
        <f t="shared" si="9"/>
        <v>0.40873754768076265</v>
      </c>
      <c r="AP24">
        <v>315</v>
      </c>
      <c r="AQ24">
        <f>MAX('Data #1'!AU26:AW26)</f>
        <v>0</v>
      </c>
      <c r="AR24">
        <f>MAX('Data #2'!AU26:AW26)</f>
        <v>0</v>
      </c>
      <c r="AS24">
        <f>MAX('Data #3'!AU26:AW26)</f>
        <v>0</v>
      </c>
      <c r="AT24">
        <f>MAX('Data #4'!AU26:AW26)</f>
        <v>0</v>
      </c>
      <c r="AU24">
        <f>MAX('Data #5'!AU26:AW26)</f>
        <v>0</v>
      </c>
      <c r="AV24" s="88">
        <f t="shared" si="2"/>
        <v>0</v>
      </c>
      <c r="AW24" s="88">
        <f t="shared" si="3"/>
        <v>0</v>
      </c>
      <c r="AX24" s="88">
        <v>-10</v>
      </c>
      <c r="AY24" s="92" t="e">
        <f t="shared" si="10"/>
        <v>#NUM!</v>
      </c>
      <c r="AZ24" s="88">
        <v>-15</v>
      </c>
      <c r="BA24" s="92" t="e">
        <f t="shared" si="11"/>
        <v>#NUM!</v>
      </c>
      <c r="BC24">
        <v>315</v>
      </c>
      <c r="BD24">
        <f>MAX('Data #1'!AX26:AZ26)</f>
        <v>0</v>
      </c>
      <c r="BE24">
        <f>MAX('Data #2'!AX26:AZ26)</f>
        <v>0</v>
      </c>
      <c r="BF24">
        <f>MAX('Data #3'!AX26:AZ26)</f>
        <v>0</v>
      </c>
      <c r="BG24">
        <f>MAX('Data #4'!AX26:AZ26)</f>
        <v>0</v>
      </c>
      <c r="BH24">
        <f>MAX('Data #5'!AX26:AZ26)</f>
        <v>0</v>
      </c>
      <c r="BI24" s="88">
        <f t="shared" si="12"/>
        <v>0</v>
      </c>
      <c r="BJ24" s="88">
        <f t="shared" si="13"/>
        <v>0</v>
      </c>
      <c r="BK24" s="88">
        <v>-10</v>
      </c>
      <c r="BL24" s="92" t="e">
        <f t="shared" si="14"/>
        <v>#NUM!</v>
      </c>
      <c r="BM24" s="88">
        <v>-15</v>
      </c>
      <c r="BN24" s="92" t="e">
        <f t="shared" si="15"/>
        <v>#NUM!</v>
      </c>
    </row>
    <row r="25" spans="1:66">
      <c r="A25" s="19">
        <v>335</v>
      </c>
      <c r="B25" s="88">
        <f>'Data #1'!W27</f>
        <v>104.32333333333334</v>
      </c>
      <c r="C25" s="88">
        <f>'Data #2'!W27</f>
        <v>20</v>
      </c>
      <c r="D25" s="88">
        <f>'Data #3'!W27</f>
        <v>20</v>
      </c>
      <c r="E25" s="88">
        <f>'Data #4'!W27</f>
        <v>20</v>
      </c>
      <c r="F25" s="88">
        <f>'Data #5'!W27</f>
        <v>20</v>
      </c>
      <c r="H25" s="20">
        <v>335</v>
      </c>
      <c r="I25" s="88">
        <f>'Data #1'!AH27</f>
        <v>103.85333333333334</v>
      </c>
      <c r="J25" s="88">
        <f>'Data #2'!AH27</f>
        <v>20</v>
      </c>
      <c r="K25" s="88">
        <f>'Data #3'!AH27</f>
        <v>20</v>
      </c>
      <c r="L25" s="88">
        <f>'Data #4'!AH27</f>
        <v>20</v>
      </c>
      <c r="M25" s="88">
        <f>'Data #5'!AH27</f>
        <v>20</v>
      </c>
      <c r="O25">
        <v>335</v>
      </c>
      <c r="P25">
        <f>MAX('Data #1'!C27:E27)</f>
        <v>-42.19</v>
      </c>
      <c r="Q25">
        <f>MAX('Data #2'!C27:E27)</f>
        <v>0</v>
      </c>
      <c r="R25">
        <f>MAX('Data #3'!C27:E27)</f>
        <v>0</v>
      </c>
      <c r="S25">
        <f>MAX('Data #4'!C27:E27)</f>
        <v>0</v>
      </c>
      <c r="T25">
        <f>MAX('Data #5'!C27:E27)</f>
        <v>0</v>
      </c>
      <c r="U25" s="88">
        <f t="shared" si="0"/>
        <v>-8.4379999999999988</v>
      </c>
      <c r="V25" s="88">
        <f t="shared" si="1"/>
        <v>18.867941594143225</v>
      </c>
      <c r="W25" s="88">
        <v>-10</v>
      </c>
      <c r="X25" s="92">
        <f t="shared" si="4"/>
        <v>0.46701088041709843</v>
      </c>
      <c r="Y25" s="88">
        <v>-15</v>
      </c>
      <c r="Z25" s="92">
        <f t="shared" si="5"/>
        <v>0.36400057037306094</v>
      </c>
      <c r="AB25">
        <v>335</v>
      </c>
      <c r="AC25">
        <f>MAX('Data #1'!F27:H27)</f>
        <v>-45.39</v>
      </c>
      <c r="AD25">
        <f>MAX('Data #2'!F27:H27)</f>
        <v>0</v>
      </c>
      <c r="AE25">
        <f>MAX('Data #3'!F27:H27)</f>
        <v>0</v>
      </c>
      <c r="AF25">
        <f>MAX('Data #4'!F27:H27)</f>
        <v>0</v>
      </c>
      <c r="AG25">
        <f>MAX('Data #5'!F27:H27)</f>
        <v>0</v>
      </c>
      <c r="AH25" s="88">
        <f t="shared" si="6"/>
        <v>-9.0779999999999994</v>
      </c>
      <c r="AI25" s="88">
        <f t="shared" si="7"/>
        <v>20.299025099743091</v>
      </c>
      <c r="AJ25" s="88">
        <v>-10</v>
      </c>
      <c r="AK25" s="92">
        <f t="shared" si="8"/>
        <v>0.48188591098030831</v>
      </c>
      <c r="AL25" s="88">
        <v>-15</v>
      </c>
      <c r="AM25" s="92">
        <f t="shared" si="9"/>
        <v>0.38524341952817864</v>
      </c>
      <c r="AP25">
        <v>335</v>
      </c>
      <c r="AQ25">
        <f>MAX('Data #1'!AU27:AW27)</f>
        <v>0</v>
      </c>
      <c r="AR25">
        <f>MAX('Data #2'!AU27:AW27)</f>
        <v>0</v>
      </c>
      <c r="AS25">
        <f>MAX('Data #3'!AU27:AW27)</f>
        <v>0</v>
      </c>
      <c r="AT25">
        <f>MAX('Data #4'!AU27:AW27)</f>
        <v>0</v>
      </c>
      <c r="AU25">
        <f>MAX('Data #5'!AU27:AW27)</f>
        <v>0</v>
      </c>
      <c r="AV25" s="88">
        <f t="shared" si="2"/>
        <v>0</v>
      </c>
      <c r="AW25" s="88">
        <f t="shared" si="3"/>
        <v>0</v>
      </c>
      <c r="AX25" s="88">
        <v>-10</v>
      </c>
      <c r="AY25" s="92" t="e">
        <f t="shared" si="10"/>
        <v>#NUM!</v>
      </c>
      <c r="AZ25" s="88">
        <v>-15</v>
      </c>
      <c r="BA25" s="92" t="e">
        <f t="shared" si="11"/>
        <v>#NUM!</v>
      </c>
      <c r="BC25">
        <v>335</v>
      </c>
      <c r="BD25">
        <f>MAX('Data #1'!AX27:AZ27)</f>
        <v>0</v>
      </c>
      <c r="BE25">
        <f>MAX('Data #2'!AX27:AZ27)</f>
        <v>0</v>
      </c>
      <c r="BF25">
        <f>MAX('Data #3'!AX27:AZ27)</f>
        <v>0</v>
      </c>
      <c r="BG25">
        <f>MAX('Data #4'!AX27:AZ27)</f>
        <v>0</v>
      </c>
      <c r="BH25">
        <f>MAX('Data #5'!AX27:AZ27)</f>
        <v>0</v>
      </c>
      <c r="BI25" s="88">
        <f t="shared" si="12"/>
        <v>0</v>
      </c>
      <c r="BJ25" s="88">
        <f t="shared" si="13"/>
        <v>0</v>
      </c>
      <c r="BK25" s="88">
        <v>-10</v>
      </c>
      <c r="BL25" s="92" t="e">
        <f t="shared" si="14"/>
        <v>#NUM!</v>
      </c>
      <c r="BM25" s="88">
        <v>-15</v>
      </c>
      <c r="BN25" s="92" t="e">
        <f t="shared" si="15"/>
        <v>#NUM!</v>
      </c>
    </row>
    <row r="26" spans="1:66">
      <c r="A26" s="19">
        <v>355</v>
      </c>
      <c r="B26" s="88">
        <f>'Data #1'!W28</f>
        <v>101.24666666666667</v>
      </c>
      <c r="C26" s="88">
        <f>'Data #2'!W28</f>
        <v>20</v>
      </c>
      <c r="D26" s="88">
        <f>'Data #3'!W28</f>
        <v>20</v>
      </c>
      <c r="E26" s="88">
        <f>'Data #4'!W28</f>
        <v>20</v>
      </c>
      <c r="F26" s="88">
        <f>'Data #5'!W28</f>
        <v>20</v>
      </c>
      <c r="H26" s="20">
        <v>355</v>
      </c>
      <c r="I26" s="88">
        <f>'Data #1'!AH28</f>
        <v>105.85000000000001</v>
      </c>
      <c r="J26" s="88">
        <f>'Data #2'!AH28</f>
        <v>20</v>
      </c>
      <c r="K26" s="88">
        <f>'Data #3'!AH28</f>
        <v>20</v>
      </c>
      <c r="L26" s="88">
        <f>'Data #4'!AH28</f>
        <v>20</v>
      </c>
      <c r="M26" s="88">
        <f>'Data #5'!AH28</f>
        <v>20</v>
      </c>
      <c r="O26">
        <v>355</v>
      </c>
      <c r="P26">
        <f>MAX('Data #1'!C28:E28)</f>
        <v>-41.28</v>
      </c>
      <c r="Q26">
        <f>MAX('Data #2'!C28:E28)</f>
        <v>0</v>
      </c>
      <c r="R26">
        <f>MAX('Data #3'!C28:E28)</f>
        <v>0</v>
      </c>
      <c r="S26">
        <f>MAX('Data #4'!C28:E28)</f>
        <v>0</v>
      </c>
      <c r="T26">
        <f>MAX('Data #5'!C28:E28)</f>
        <v>0</v>
      </c>
      <c r="U26" s="88">
        <f t="shared" si="0"/>
        <v>-8.2560000000000002</v>
      </c>
      <c r="V26" s="88">
        <f t="shared" si="1"/>
        <v>18.460977222238263</v>
      </c>
      <c r="W26" s="88">
        <v>-10</v>
      </c>
      <c r="X26" s="92">
        <f t="shared" si="4"/>
        <v>0.46236808944652774</v>
      </c>
      <c r="Y26" s="88">
        <v>-15</v>
      </c>
      <c r="Z26" s="92">
        <f t="shared" si="5"/>
        <v>0.35743959467354125</v>
      </c>
      <c r="AB26">
        <v>355</v>
      </c>
      <c r="AC26">
        <f>MAX('Data #1'!F28:H28)</f>
        <v>-47.61</v>
      </c>
      <c r="AD26">
        <f>MAX('Data #2'!F28:H28)</f>
        <v>0</v>
      </c>
      <c r="AE26">
        <f>MAX('Data #3'!F28:H28)</f>
        <v>0</v>
      </c>
      <c r="AF26">
        <f>MAX('Data #4'!F28:H28)</f>
        <v>0</v>
      </c>
      <c r="AG26">
        <f>MAX('Data #5'!F28:H28)</f>
        <v>0</v>
      </c>
      <c r="AH26" s="88">
        <f t="shared" si="6"/>
        <v>-9.5220000000000002</v>
      </c>
      <c r="AI26" s="88">
        <f t="shared" si="7"/>
        <v>21.291839281752996</v>
      </c>
      <c r="AJ26" s="88">
        <v>-10</v>
      </c>
      <c r="AK26" s="92">
        <f t="shared" si="8"/>
        <v>0.49104453164286288</v>
      </c>
      <c r="AL26" s="88">
        <v>-15</v>
      </c>
      <c r="AM26" s="92">
        <f t="shared" si="9"/>
        <v>0.39848067017444011</v>
      </c>
      <c r="AP26">
        <v>355</v>
      </c>
      <c r="AQ26">
        <f>MAX('Data #1'!AU28:AW28)</f>
        <v>0</v>
      </c>
      <c r="AR26">
        <f>MAX('Data #2'!AU28:AW28)</f>
        <v>0</v>
      </c>
      <c r="AS26">
        <f>MAX('Data #3'!AU28:AW28)</f>
        <v>0</v>
      </c>
      <c r="AT26">
        <f>MAX('Data #4'!AU28:AW28)</f>
        <v>0</v>
      </c>
      <c r="AU26">
        <f>MAX('Data #5'!AU28:AW28)</f>
        <v>0</v>
      </c>
      <c r="AV26" s="88">
        <f t="shared" si="2"/>
        <v>0</v>
      </c>
      <c r="AW26" s="88">
        <f t="shared" si="3"/>
        <v>0</v>
      </c>
      <c r="AX26" s="88">
        <v>-10</v>
      </c>
      <c r="AY26" s="92" t="e">
        <f t="shared" si="10"/>
        <v>#NUM!</v>
      </c>
      <c r="AZ26" s="88">
        <v>-15</v>
      </c>
      <c r="BA26" s="92" t="e">
        <f t="shared" si="11"/>
        <v>#NUM!</v>
      </c>
      <c r="BC26">
        <v>355</v>
      </c>
      <c r="BD26">
        <f>MAX('Data #1'!AX28:AZ28)</f>
        <v>0</v>
      </c>
      <c r="BE26">
        <f>MAX('Data #2'!AX28:AZ28)</f>
        <v>0</v>
      </c>
      <c r="BF26">
        <f>MAX('Data #3'!AX28:AZ28)</f>
        <v>0</v>
      </c>
      <c r="BG26">
        <f>MAX('Data #4'!AX28:AZ28)</f>
        <v>0</v>
      </c>
      <c r="BH26">
        <f>MAX('Data #5'!AX28:AZ28)</f>
        <v>0</v>
      </c>
      <c r="BI26" s="88">
        <f t="shared" si="12"/>
        <v>0</v>
      </c>
      <c r="BJ26" s="88">
        <f t="shared" si="13"/>
        <v>0</v>
      </c>
      <c r="BK26" s="88">
        <v>-10</v>
      </c>
      <c r="BL26" s="92" t="e">
        <f t="shared" si="14"/>
        <v>#NUM!</v>
      </c>
      <c r="BM26" s="88">
        <v>-15</v>
      </c>
      <c r="BN26" s="92" t="e">
        <f t="shared" si="15"/>
        <v>#NUM!</v>
      </c>
    </row>
    <row r="27" spans="1:66">
      <c r="A27" s="19">
        <v>375</v>
      </c>
      <c r="B27" s="88">
        <f>'Data #1'!W29</f>
        <v>100.95333333333333</v>
      </c>
      <c r="C27" s="88">
        <f>'Data #2'!W29</f>
        <v>20</v>
      </c>
      <c r="D27" s="88">
        <f>'Data #3'!W29</f>
        <v>20</v>
      </c>
      <c r="E27" s="88">
        <f>'Data #4'!W29</f>
        <v>20</v>
      </c>
      <c r="F27" s="88">
        <f>'Data #5'!W29</f>
        <v>20</v>
      </c>
      <c r="H27" s="20">
        <v>375</v>
      </c>
      <c r="I27" s="88">
        <f>'Data #1'!AH29</f>
        <v>99.67</v>
      </c>
      <c r="J27" s="88">
        <f>'Data #2'!AH29</f>
        <v>20</v>
      </c>
      <c r="K27" s="88">
        <f>'Data #3'!AH29</f>
        <v>20</v>
      </c>
      <c r="L27" s="88">
        <f>'Data #4'!AH29</f>
        <v>20</v>
      </c>
      <c r="M27" s="88">
        <f>'Data #5'!AH29</f>
        <v>20</v>
      </c>
      <c r="O27">
        <v>375</v>
      </c>
      <c r="P27">
        <f>MAX('Data #1'!C29:E29)</f>
        <v>-38.81</v>
      </c>
      <c r="Q27">
        <f>MAX('Data #2'!C29:E29)</f>
        <v>0</v>
      </c>
      <c r="R27">
        <f>MAX('Data #3'!C29:E29)</f>
        <v>0</v>
      </c>
      <c r="S27">
        <f>MAX('Data #4'!C29:E29)</f>
        <v>0</v>
      </c>
      <c r="T27">
        <f>MAX('Data #5'!C29:E29)</f>
        <v>0</v>
      </c>
      <c r="U27" s="88">
        <f t="shared" si="0"/>
        <v>-7.7620000000000005</v>
      </c>
      <c r="V27" s="88">
        <f t="shared" si="1"/>
        <v>17.356359641353368</v>
      </c>
      <c r="W27" s="88">
        <v>-10</v>
      </c>
      <c r="X27" s="92">
        <f t="shared" si="4"/>
        <v>0.44870094453191323</v>
      </c>
      <c r="Y27" s="88">
        <v>-15</v>
      </c>
      <c r="Z27" s="92">
        <f t="shared" si="5"/>
        <v>0.33833081688612915</v>
      </c>
      <c r="AB27">
        <v>375</v>
      </c>
      <c r="AC27">
        <f>MAX('Data #1'!F29:H29)</f>
        <v>-41.23</v>
      </c>
      <c r="AD27">
        <f>MAX('Data #2'!F29:H29)</f>
        <v>0</v>
      </c>
      <c r="AE27">
        <f>MAX('Data #3'!F29:H29)</f>
        <v>0</v>
      </c>
      <c r="AF27">
        <f>MAX('Data #4'!F29:H29)</f>
        <v>0</v>
      </c>
      <c r="AG27">
        <f>MAX('Data #5'!F29:H29)</f>
        <v>0</v>
      </c>
      <c r="AH27" s="88">
        <f t="shared" si="6"/>
        <v>-8.2459999999999987</v>
      </c>
      <c r="AI27" s="88">
        <f t="shared" si="7"/>
        <v>18.438616542463265</v>
      </c>
      <c r="AJ27" s="88">
        <v>-10</v>
      </c>
      <c r="AK27" s="92">
        <f t="shared" si="8"/>
        <v>0.46210719753611595</v>
      </c>
      <c r="AL27" s="88">
        <v>-15</v>
      </c>
      <c r="AM27" s="92">
        <f t="shared" si="9"/>
        <v>0.35707193474580601</v>
      </c>
      <c r="AP27">
        <v>375</v>
      </c>
      <c r="AQ27">
        <f>MAX('Data #1'!AU29:AW29)</f>
        <v>0</v>
      </c>
      <c r="AR27">
        <f>MAX('Data #2'!AU29:AW29)</f>
        <v>0</v>
      </c>
      <c r="AS27">
        <f>MAX('Data #3'!AU29:AW29)</f>
        <v>0</v>
      </c>
      <c r="AT27">
        <f>MAX('Data #4'!AU29:AW29)</f>
        <v>0</v>
      </c>
      <c r="AU27">
        <f>MAX('Data #5'!AU29:AW29)</f>
        <v>0</v>
      </c>
      <c r="AV27" s="88">
        <f t="shared" si="2"/>
        <v>0</v>
      </c>
      <c r="AW27" s="88">
        <f t="shared" si="3"/>
        <v>0</v>
      </c>
      <c r="AX27" s="88">
        <v>-10</v>
      </c>
      <c r="AY27" s="92" t="e">
        <f t="shared" si="10"/>
        <v>#NUM!</v>
      </c>
      <c r="AZ27" s="88">
        <v>-15</v>
      </c>
      <c r="BA27" s="92" t="e">
        <f t="shared" si="11"/>
        <v>#NUM!</v>
      </c>
      <c r="BC27">
        <v>375</v>
      </c>
      <c r="BD27">
        <f>MAX('Data #1'!AX29:AZ29)</f>
        <v>0</v>
      </c>
      <c r="BE27">
        <f>MAX('Data #2'!AX29:AZ29)</f>
        <v>0</v>
      </c>
      <c r="BF27">
        <f>MAX('Data #3'!AX29:AZ29)</f>
        <v>0</v>
      </c>
      <c r="BG27">
        <f>MAX('Data #4'!AX29:AZ29)</f>
        <v>0</v>
      </c>
      <c r="BH27">
        <f>MAX('Data #5'!AX29:AZ29)</f>
        <v>0</v>
      </c>
      <c r="BI27" s="88">
        <f t="shared" si="12"/>
        <v>0</v>
      </c>
      <c r="BJ27" s="88">
        <f t="shared" si="13"/>
        <v>0</v>
      </c>
      <c r="BK27" s="88">
        <v>-10</v>
      </c>
      <c r="BL27" s="92" t="e">
        <f t="shared" si="14"/>
        <v>#NUM!</v>
      </c>
      <c r="BM27" s="88">
        <v>-15</v>
      </c>
      <c r="BN27" s="92" t="e">
        <f t="shared" si="15"/>
        <v>#NUM!</v>
      </c>
    </row>
    <row r="28" spans="1:66">
      <c r="A28" s="19">
        <v>400</v>
      </c>
      <c r="B28" s="88">
        <f>'Data #1'!W30</f>
        <v>101.70333333333333</v>
      </c>
      <c r="C28" s="88">
        <f>'Data #2'!W30</f>
        <v>20</v>
      </c>
      <c r="D28" s="88">
        <f>'Data #3'!W30</f>
        <v>20</v>
      </c>
      <c r="E28" s="88">
        <f>'Data #4'!W30</f>
        <v>20</v>
      </c>
      <c r="F28" s="88">
        <f>'Data #5'!W30</f>
        <v>20</v>
      </c>
      <c r="H28" s="20">
        <v>400</v>
      </c>
      <c r="I28" s="88">
        <f>'Data #1'!AH30</f>
        <v>98.146666666666661</v>
      </c>
      <c r="J28" s="88">
        <f>'Data #2'!AH30</f>
        <v>20</v>
      </c>
      <c r="K28" s="88">
        <f>'Data #3'!AH30</f>
        <v>20</v>
      </c>
      <c r="L28" s="88">
        <f>'Data #4'!AH30</f>
        <v>20</v>
      </c>
      <c r="M28" s="88">
        <f>'Data #5'!AH30</f>
        <v>20</v>
      </c>
      <c r="O28">
        <v>400</v>
      </c>
      <c r="P28">
        <f>MAX('Data #1'!C30:E30)</f>
        <v>-41.6</v>
      </c>
      <c r="Q28">
        <f>MAX('Data #2'!C30:E30)</f>
        <v>0</v>
      </c>
      <c r="R28">
        <f>MAX('Data #3'!C30:E30)</f>
        <v>0</v>
      </c>
      <c r="S28">
        <f>MAX('Data #4'!C30:E30)</f>
        <v>0</v>
      </c>
      <c r="T28">
        <f>MAX('Data #5'!C30:E30)</f>
        <v>0</v>
      </c>
      <c r="U28" s="88">
        <f t="shared" si="0"/>
        <v>-8.32</v>
      </c>
      <c r="V28" s="88">
        <f t="shared" si="1"/>
        <v>18.604085572798251</v>
      </c>
      <c r="W28" s="88">
        <v>-10</v>
      </c>
      <c r="X28" s="92">
        <f t="shared" si="4"/>
        <v>0.46402331933814167</v>
      </c>
      <c r="Y28" s="88">
        <v>-15</v>
      </c>
      <c r="Z28" s="92">
        <f t="shared" si="5"/>
        <v>0.35977475970087303</v>
      </c>
      <c r="AB28">
        <v>400</v>
      </c>
      <c r="AC28">
        <f>MAX('Data #1'!F30:H30)</f>
        <v>-39.340000000000003</v>
      </c>
      <c r="AD28">
        <f>MAX('Data #2'!F30:H30)</f>
        <v>0</v>
      </c>
      <c r="AE28">
        <f>MAX('Data #3'!F30:H30)</f>
        <v>0</v>
      </c>
      <c r="AF28">
        <f>MAX('Data #4'!F30:H30)</f>
        <v>0</v>
      </c>
      <c r="AG28">
        <f>MAX('Data #5'!F30:H30)</f>
        <v>0</v>
      </c>
      <c r="AH28" s="88">
        <f t="shared" si="6"/>
        <v>-7.8680000000000003</v>
      </c>
      <c r="AI28" s="88">
        <f t="shared" si="7"/>
        <v>17.593382846968346</v>
      </c>
      <c r="AJ28" s="88">
        <v>-10</v>
      </c>
      <c r="AK28" s="92">
        <f t="shared" si="8"/>
        <v>0.45177347019548397</v>
      </c>
      <c r="AL28" s="88">
        <v>-15</v>
      </c>
      <c r="AM28" s="92">
        <f t="shared" si="9"/>
        <v>0.34259922060328452</v>
      </c>
      <c r="AP28">
        <v>400</v>
      </c>
      <c r="AQ28">
        <f>MAX('Data #1'!AU30:AW30)</f>
        <v>0</v>
      </c>
      <c r="AR28">
        <f>MAX('Data #2'!AU30:AW30)</f>
        <v>0</v>
      </c>
      <c r="AS28">
        <f>MAX('Data #3'!AU30:AW30)</f>
        <v>0</v>
      </c>
      <c r="AT28">
        <f>MAX('Data #4'!AU30:AW30)</f>
        <v>0</v>
      </c>
      <c r="AU28">
        <f>MAX('Data #5'!AU30:AW30)</f>
        <v>0</v>
      </c>
      <c r="AV28" s="88">
        <f t="shared" si="2"/>
        <v>0</v>
      </c>
      <c r="AW28" s="88">
        <f t="shared" si="3"/>
        <v>0</v>
      </c>
      <c r="AX28" s="88">
        <v>-10</v>
      </c>
      <c r="AY28" s="92" t="e">
        <f t="shared" si="10"/>
        <v>#NUM!</v>
      </c>
      <c r="AZ28" s="88">
        <v>-15</v>
      </c>
      <c r="BA28" s="92" t="e">
        <f t="shared" si="11"/>
        <v>#NUM!</v>
      </c>
      <c r="BC28">
        <v>400</v>
      </c>
      <c r="BD28">
        <f>MAX('Data #1'!AX30:AZ30)</f>
        <v>0</v>
      </c>
      <c r="BE28">
        <f>MAX('Data #2'!AX30:AZ30)</f>
        <v>0</v>
      </c>
      <c r="BF28">
        <f>MAX('Data #3'!AX30:AZ30)</f>
        <v>0</v>
      </c>
      <c r="BG28">
        <f>MAX('Data #4'!AX30:AZ30)</f>
        <v>0</v>
      </c>
      <c r="BH28">
        <f>MAX('Data #5'!AX30:AZ30)</f>
        <v>0</v>
      </c>
      <c r="BI28" s="88">
        <f t="shared" si="12"/>
        <v>0</v>
      </c>
      <c r="BJ28" s="88">
        <f t="shared" si="13"/>
        <v>0</v>
      </c>
      <c r="BK28" s="88">
        <v>-10</v>
      </c>
      <c r="BL28" s="92" t="e">
        <f t="shared" si="14"/>
        <v>#NUM!</v>
      </c>
      <c r="BM28" s="88">
        <v>-15</v>
      </c>
      <c r="BN28" s="92" t="e">
        <f t="shared" si="15"/>
        <v>#NUM!</v>
      </c>
    </row>
    <row r="29" spans="1:66">
      <c r="A29" s="19">
        <v>425</v>
      </c>
      <c r="B29" s="88">
        <f>'Data #1'!W31</f>
        <v>100.17</v>
      </c>
      <c r="C29" s="88">
        <f>'Data #2'!W31</f>
        <v>20</v>
      </c>
      <c r="D29" s="88">
        <f>'Data #3'!W31</f>
        <v>20</v>
      </c>
      <c r="E29" s="88">
        <f>'Data #4'!W31</f>
        <v>20</v>
      </c>
      <c r="F29" s="88">
        <f>'Data #5'!W31</f>
        <v>20</v>
      </c>
      <c r="H29" s="20">
        <v>425</v>
      </c>
      <c r="I29" s="88">
        <f>'Data #1'!AH31</f>
        <v>99.423333333333332</v>
      </c>
      <c r="J29" s="88">
        <f>'Data #2'!AH31</f>
        <v>20</v>
      </c>
      <c r="K29" s="88">
        <f>'Data #3'!AH31</f>
        <v>20</v>
      </c>
      <c r="L29" s="88">
        <f>'Data #4'!AH31</f>
        <v>20</v>
      </c>
      <c r="M29" s="88">
        <f>'Data #5'!AH31</f>
        <v>20</v>
      </c>
      <c r="O29">
        <v>425</v>
      </c>
      <c r="P29">
        <f>MAX('Data #1'!C31:E31)</f>
        <v>-41.41</v>
      </c>
      <c r="Q29">
        <f>MAX('Data #2'!C31:E31)</f>
        <v>0</v>
      </c>
      <c r="R29">
        <f>MAX('Data #3'!C31:E31)</f>
        <v>0</v>
      </c>
      <c r="S29">
        <f>MAX('Data #4'!C31:E31)</f>
        <v>0</v>
      </c>
      <c r="T29">
        <f>MAX('Data #5'!C31:E31)</f>
        <v>0</v>
      </c>
      <c r="U29" s="88">
        <f t="shared" si="0"/>
        <v>-8.282</v>
      </c>
      <c r="V29" s="88">
        <f t="shared" si="1"/>
        <v>18.519114989653257</v>
      </c>
      <c r="W29" s="88">
        <v>-10</v>
      </c>
      <c r="X29" s="92">
        <f t="shared" si="4"/>
        <v>0.46304353484504779</v>
      </c>
      <c r="Y29" s="88">
        <v>-15</v>
      </c>
      <c r="Z29" s="92">
        <f t="shared" si="5"/>
        <v>0.35839196942166923</v>
      </c>
      <c r="AB29">
        <v>425</v>
      </c>
      <c r="AC29">
        <f>MAX('Data #1'!F31:H31)</f>
        <v>-39.28</v>
      </c>
      <c r="AD29">
        <f>MAX('Data #2'!F31:H31)</f>
        <v>0</v>
      </c>
      <c r="AE29">
        <f>MAX('Data #3'!F31:H31)</f>
        <v>0</v>
      </c>
      <c r="AF29">
        <f>MAX('Data #4'!F31:H31)</f>
        <v>0</v>
      </c>
      <c r="AG29">
        <f>MAX('Data #5'!F31:H31)</f>
        <v>0</v>
      </c>
      <c r="AH29" s="88">
        <f t="shared" si="6"/>
        <v>-7.8559999999999999</v>
      </c>
      <c r="AI29" s="88">
        <f t="shared" si="7"/>
        <v>17.56655003123835</v>
      </c>
      <c r="AJ29" s="88">
        <v>-10</v>
      </c>
      <c r="AK29" s="92">
        <f t="shared" si="8"/>
        <v>0.45142965207440389</v>
      </c>
      <c r="AL29" s="88">
        <v>-15</v>
      </c>
      <c r="AM29" s="92">
        <f t="shared" si="9"/>
        <v>0.34212077497075322</v>
      </c>
      <c r="AP29">
        <v>425</v>
      </c>
      <c r="AQ29">
        <f>MAX('Data #1'!AU31:AW31)</f>
        <v>0</v>
      </c>
      <c r="AR29">
        <f>MAX('Data #2'!AU31:AW31)</f>
        <v>0</v>
      </c>
      <c r="AS29">
        <f>MAX('Data #3'!AU31:AW31)</f>
        <v>0</v>
      </c>
      <c r="AT29">
        <f>MAX('Data #4'!AU31:AW31)</f>
        <v>0</v>
      </c>
      <c r="AU29">
        <f>MAX('Data #5'!AU31:AW31)</f>
        <v>0</v>
      </c>
      <c r="AV29" s="88">
        <f t="shared" si="2"/>
        <v>0</v>
      </c>
      <c r="AW29" s="88">
        <f t="shared" si="3"/>
        <v>0</v>
      </c>
      <c r="AX29" s="88">
        <v>-10</v>
      </c>
      <c r="AY29" s="92" t="e">
        <f t="shared" si="10"/>
        <v>#NUM!</v>
      </c>
      <c r="AZ29" s="88">
        <v>-15</v>
      </c>
      <c r="BA29" s="92" t="e">
        <f t="shared" si="11"/>
        <v>#NUM!</v>
      </c>
      <c r="BC29">
        <v>425</v>
      </c>
      <c r="BD29">
        <f>MAX('Data #1'!AX31:AZ31)</f>
        <v>0</v>
      </c>
      <c r="BE29">
        <f>MAX('Data #2'!AX31:AZ31)</f>
        <v>0</v>
      </c>
      <c r="BF29">
        <f>MAX('Data #3'!AX31:AZ31)</f>
        <v>0</v>
      </c>
      <c r="BG29">
        <f>MAX('Data #4'!AX31:AZ31)</f>
        <v>0</v>
      </c>
      <c r="BH29">
        <f>MAX('Data #5'!AX31:AZ31)</f>
        <v>0</v>
      </c>
      <c r="BI29" s="88">
        <f t="shared" si="12"/>
        <v>0</v>
      </c>
      <c r="BJ29" s="88">
        <f t="shared" si="13"/>
        <v>0</v>
      </c>
      <c r="BK29" s="88">
        <v>-10</v>
      </c>
      <c r="BL29" s="92" t="e">
        <f t="shared" si="14"/>
        <v>#NUM!</v>
      </c>
      <c r="BM29" s="88">
        <v>-15</v>
      </c>
      <c r="BN29" s="92" t="e">
        <f t="shared" si="15"/>
        <v>#NUM!</v>
      </c>
    </row>
    <row r="30" spans="1:66">
      <c r="A30" s="19">
        <v>450</v>
      </c>
      <c r="B30" s="88">
        <f>'Data #1'!W32</f>
        <v>101.88</v>
      </c>
      <c r="C30" s="88">
        <f>'Data #2'!W32</f>
        <v>20</v>
      </c>
      <c r="D30" s="88">
        <f>'Data #3'!W32</f>
        <v>20</v>
      </c>
      <c r="E30" s="88">
        <f>'Data #4'!W32</f>
        <v>20</v>
      </c>
      <c r="F30" s="88">
        <f>'Data #5'!W32</f>
        <v>20</v>
      </c>
      <c r="H30" s="20">
        <v>450</v>
      </c>
      <c r="I30" s="88">
        <f>'Data #1'!AH32</f>
        <v>96.279999999999987</v>
      </c>
      <c r="J30" s="88">
        <f>'Data #2'!AH32</f>
        <v>20</v>
      </c>
      <c r="K30" s="88">
        <f>'Data #3'!AH32</f>
        <v>20</v>
      </c>
      <c r="L30" s="88">
        <f>'Data #4'!AH32</f>
        <v>20</v>
      </c>
      <c r="M30" s="88">
        <f>'Data #5'!AH32</f>
        <v>20</v>
      </c>
      <c r="O30">
        <v>450</v>
      </c>
      <c r="P30">
        <f>MAX('Data #1'!C32:E32)</f>
        <v>-43.27</v>
      </c>
      <c r="Q30">
        <f>MAX('Data #2'!C32:E32)</f>
        <v>0</v>
      </c>
      <c r="R30">
        <f>MAX('Data #3'!C32:E32)</f>
        <v>0</v>
      </c>
      <c r="S30">
        <f>MAX('Data #4'!C32:E32)</f>
        <v>0</v>
      </c>
      <c r="T30">
        <f>MAX('Data #5'!C32:E32)</f>
        <v>0</v>
      </c>
      <c r="U30" s="88">
        <f t="shared" si="0"/>
        <v>-8.6539999999999999</v>
      </c>
      <c r="V30" s="88">
        <f t="shared" si="1"/>
        <v>19.350932277283182</v>
      </c>
      <c r="W30" s="88">
        <v>-10</v>
      </c>
      <c r="X30" s="92">
        <f t="shared" si="4"/>
        <v>0.47227298336380052</v>
      </c>
      <c r="Y30" s="88">
        <v>-15</v>
      </c>
      <c r="Z30" s="92">
        <f t="shared" si="5"/>
        <v>0.3714774347130666</v>
      </c>
      <c r="AB30">
        <v>450</v>
      </c>
      <c r="AC30">
        <f>MAX('Data #1'!F32:H32)</f>
        <v>-37.159999999999997</v>
      </c>
      <c r="AD30">
        <f>MAX('Data #2'!F32:H32)</f>
        <v>0</v>
      </c>
      <c r="AE30">
        <f>MAX('Data #3'!F32:H32)</f>
        <v>0</v>
      </c>
      <c r="AF30">
        <f>MAX('Data #4'!F32:H32)</f>
        <v>0</v>
      </c>
      <c r="AG30">
        <f>MAX('Data #5'!F32:H32)</f>
        <v>0</v>
      </c>
      <c r="AH30" s="88">
        <f t="shared" si="6"/>
        <v>-7.4319999999999995</v>
      </c>
      <c r="AI30" s="88">
        <f t="shared" si="7"/>
        <v>16.618457208778437</v>
      </c>
      <c r="AJ30" s="88">
        <v>-10</v>
      </c>
      <c r="AK30" s="92">
        <f t="shared" si="8"/>
        <v>0.43859711998086881</v>
      </c>
      <c r="AL30" s="88">
        <v>-15</v>
      </c>
      <c r="AM30" s="92">
        <f t="shared" si="9"/>
        <v>0.32441173043652738</v>
      </c>
      <c r="AP30">
        <v>450</v>
      </c>
      <c r="AQ30">
        <f>MAX('Data #1'!AU32:AW32)</f>
        <v>0</v>
      </c>
      <c r="AR30">
        <f>MAX('Data #2'!AU32:AW32)</f>
        <v>0</v>
      </c>
      <c r="AS30">
        <f>MAX('Data #3'!AU32:AW32)</f>
        <v>0</v>
      </c>
      <c r="AT30">
        <f>MAX('Data #4'!AU32:AW32)</f>
        <v>0</v>
      </c>
      <c r="AU30">
        <f>MAX('Data #5'!AU32:AW32)</f>
        <v>0</v>
      </c>
      <c r="AV30" s="88">
        <f t="shared" si="2"/>
        <v>0</v>
      </c>
      <c r="AW30" s="88">
        <f t="shared" si="3"/>
        <v>0</v>
      </c>
      <c r="AX30" s="88">
        <v>-10</v>
      </c>
      <c r="AY30" s="92" t="e">
        <f t="shared" si="10"/>
        <v>#NUM!</v>
      </c>
      <c r="AZ30" s="88">
        <v>-15</v>
      </c>
      <c r="BA30" s="92" t="e">
        <f t="shared" si="11"/>
        <v>#NUM!</v>
      </c>
      <c r="BC30">
        <v>450</v>
      </c>
      <c r="BD30">
        <f>MAX('Data #1'!AX32:AZ32)</f>
        <v>0</v>
      </c>
      <c r="BE30">
        <f>MAX('Data #2'!AX32:AZ32)</f>
        <v>0</v>
      </c>
      <c r="BF30">
        <f>MAX('Data #3'!AX32:AZ32)</f>
        <v>0</v>
      </c>
      <c r="BG30">
        <f>MAX('Data #4'!AX32:AZ32)</f>
        <v>0</v>
      </c>
      <c r="BH30">
        <f>MAX('Data #5'!AX32:AZ32)</f>
        <v>0</v>
      </c>
      <c r="BI30" s="88">
        <f t="shared" si="12"/>
        <v>0</v>
      </c>
      <c r="BJ30" s="88">
        <f t="shared" si="13"/>
        <v>0</v>
      </c>
      <c r="BK30" s="88">
        <v>-10</v>
      </c>
      <c r="BL30" s="92" t="e">
        <f t="shared" si="14"/>
        <v>#NUM!</v>
      </c>
      <c r="BM30" s="88">
        <v>-15</v>
      </c>
      <c r="BN30" s="92" t="e">
        <f t="shared" si="15"/>
        <v>#NUM!</v>
      </c>
    </row>
    <row r="31" spans="1:66">
      <c r="A31" s="19">
        <v>475</v>
      </c>
      <c r="B31" s="88">
        <f>'Data #1'!W33</f>
        <v>101.24666666666667</v>
      </c>
      <c r="C31" s="88">
        <f>'Data #2'!W33</f>
        <v>20</v>
      </c>
      <c r="D31" s="88">
        <f>'Data #3'!W33</f>
        <v>20</v>
      </c>
      <c r="E31" s="88">
        <f>'Data #4'!W33</f>
        <v>20</v>
      </c>
      <c r="F31" s="88">
        <f>'Data #5'!W33</f>
        <v>20</v>
      </c>
      <c r="H31" s="20">
        <v>475</v>
      </c>
      <c r="I31" s="88">
        <f>'Data #1'!AH33</f>
        <v>95.643333333333331</v>
      </c>
      <c r="J31" s="88">
        <f>'Data #2'!AH33</f>
        <v>20</v>
      </c>
      <c r="K31" s="88">
        <f>'Data #3'!AH33</f>
        <v>20</v>
      </c>
      <c r="L31" s="88">
        <f>'Data #4'!AH33</f>
        <v>20</v>
      </c>
      <c r="M31" s="88">
        <f>'Data #5'!AH33</f>
        <v>20</v>
      </c>
      <c r="O31">
        <v>475</v>
      </c>
      <c r="P31">
        <f>MAX('Data #1'!C33:E33)</f>
        <v>-39.869999999999997</v>
      </c>
      <c r="Q31">
        <f>MAX('Data #2'!C33:E33)</f>
        <v>0</v>
      </c>
      <c r="R31">
        <f>MAX('Data #3'!C33:E33)</f>
        <v>0</v>
      </c>
      <c r="S31">
        <f>MAX('Data #4'!C33:E33)</f>
        <v>0</v>
      </c>
      <c r="T31">
        <f>MAX('Data #5'!C33:E33)</f>
        <v>0</v>
      </c>
      <c r="U31" s="88">
        <f t="shared" si="0"/>
        <v>-7.9739999999999993</v>
      </c>
      <c r="V31" s="88">
        <f t="shared" si="1"/>
        <v>17.830406052583321</v>
      </c>
      <c r="W31" s="88">
        <v>-10</v>
      </c>
      <c r="X31" s="92">
        <f t="shared" si="4"/>
        <v>0.45476708717817255</v>
      </c>
      <c r="Y31" s="88">
        <v>-15</v>
      </c>
      <c r="Z31" s="92">
        <f t="shared" si="5"/>
        <v>0.34677354274155348</v>
      </c>
      <c r="AB31">
        <v>475</v>
      </c>
      <c r="AC31">
        <f>MAX('Data #1'!F33:H33)</f>
        <v>-36.409999999999997</v>
      </c>
      <c r="AD31">
        <f>MAX('Data #2'!F33:H33)</f>
        <v>0</v>
      </c>
      <c r="AE31">
        <f>MAX('Data #3'!F33:H33)</f>
        <v>0</v>
      </c>
      <c r="AF31">
        <f>MAX('Data #4'!F33:H33)</f>
        <v>0</v>
      </c>
      <c r="AG31">
        <f>MAX('Data #5'!F33:H33)</f>
        <v>0</v>
      </c>
      <c r="AH31" s="88">
        <f t="shared" si="6"/>
        <v>-7.2819999999999991</v>
      </c>
      <c r="AI31" s="88">
        <f t="shared" si="7"/>
        <v>16.283047012153467</v>
      </c>
      <c r="AJ31" s="88">
        <v>-10</v>
      </c>
      <c r="AK31" s="92">
        <f t="shared" si="8"/>
        <v>0.43371568161610191</v>
      </c>
      <c r="AL31" s="88">
        <v>-15</v>
      </c>
      <c r="AM31" s="92">
        <f t="shared" si="9"/>
        <v>0.31775355095923208</v>
      </c>
      <c r="AP31">
        <v>475</v>
      </c>
      <c r="AQ31">
        <f>MAX('Data #1'!AU33:AW33)</f>
        <v>0</v>
      </c>
      <c r="AR31">
        <f>MAX('Data #2'!AU33:AW33)</f>
        <v>0</v>
      </c>
      <c r="AS31">
        <f>MAX('Data #3'!AU33:AW33)</f>
        <v>0</v>
      </c>
      <c r="AT31">
        <f>MAX('Data #4'!AU33:AW33)</f>
        <v>0</v>
      </c>
      <c r="AU31">
        <f>MAX('Data #5'!AU33:AW33)</f>
        <v>0</v>
      </c>
      <c r="AV31" s="88">
        <f t="shared" si="2"/>
        <v>0</v>
      </c>
      <c r="AW31" s="88">
        <f t="shared" si="3"/>
        <v>0</v>
      </c>
      <c r="AX31" s="88">
        <v>-10</v>
      </c>
      <c r="AY31" s="92" t="e">
        <f t="shared" si="10"/>
        <v>#NUM!</v>
      </c>
      <c r="AZ31" s="88">
        <v>-15</v>
      </c>
      <c r="BA31" s="92" t="e">
        <f t="shared" si="11"/>
        <v>#NUM!</v>
      </c>
      <c r="BC31">
        <v>475</v>
      </c>
      <c r="BD31">
        <f>MAX('Data #1'!AX33:AZ33)</f>
        <v>0</v>
      </c>
      <c r="BE31">
        <f>MAX('Data #2'!AX33:AZ33)</f>
        <v>0</v>
      </c>
      <c r="BF31">
        <f>MAX('Data #3'!AX33:AZ33)</f>
        <v>0</v>
      </c>
      <c r="BG31">
        <f>MAX('Data #4'!AX33:AZ33)</f>
        <v>0</v>
      </c>
      <c r="BH31">
        <f>MAX('Data #5'!AX33:AZ33)</f>
        <v>0</v>
      </c>
      <c r="BI31" s="88">
        <f t="shared" si="12"/>
        <v>0</v>
      </c>
      <c r="BJ31" s="88">
        <f t="shared" si="13"/>
        <v>0</v>
      </c>
      <c r="BK31" s="88">
        <v>-10</v>
      </c>
      <c r="BL31" s="92" t="e">
        <f t="shared" si="14"/>
        <v>#NUM!</v>
      </c>
      <c r="BM31" s="88">
        <v>-15</v>
      </c>
      <c r="BN31" s="92" t="e">
        <f t="shared" si="15"/>
        <v>#NUM!</v>
      </c>
    </row>
    <row r="32" spans="1:66">
      <c r="A32" s="19">
        <v>500</v>
      </c>
      <c r="B32" s="88">
        <f>'Data #1'!W34</f>
        <v>101.17</v>
      </c>
      <c r="C32" s="88">
        <f>'Data #2'!W34</f>
        <v>20</v>
      </c>
      <c r="D32" s="88">
        <f>'Data #3'!W34</f>
        <v>20</v>
      </c>
      <c r="E32" s="88">
        <f>'Data #4'!W34</f>
        <v>20</v>
      </c>
      <c r="F32" s="88">
        <f>'Data #5'!W34</f>
        <v>20</v>
      </c>
      <c r="H32" s="20">
        <v>500</v>
      </c>
      <c r="I32" s="88">
        <f>'Data #1'!AH34</f>
        <v>94.566666666666649</v>
      </c>
      <c r="J32" s="88">
        <f>'Data #2'!AH34</f>
        <v>20</v>
      </c>
      <c r="K32" s="88">
        <f>'Data #3'!AH34</f>
        <v>20</v>
      </c>
      <c r="L32" s="88">
        <f>'Data #4'!AH34</f>
        <v>20</v>
      </c>
      <c r="M32" s="88">
        <f>'Data #5'!AH34</f>
        <v>20</v>
      </c>
      <c r="O32">
        <v>500</v>
      </c>
      <c r="P32">
        <f>MAX('Data #1'!C34:E34)</f>
        <v>-40.65</v>
      </c>
      <c r="Q32">
        <f>MAX('Data #2'!C34:E34)</f>
        <v>0</v>
      </c>
      <c r="R32">
        <f>MAX('Data #3'!C34:E34)</f>
        <v>0</v>
      </c>
      <c r="S32">
        <f>MAX('Data #4'!C34:E34)</f>
        <v>0</v>
      </c>
      <c r="T32">
        <f>MAX('Data #5'!C34:E34)</f>
        <v>0</v>
      </c>
      <c r="U32" s="88">
        <f t="shared" si="0"/>
        <v>-8.129999999999999</v>
      </c>
      <c r="V32" s="88">
        <f t="shared" si="1"/>
        <v>18.179232657073289</v>
      </c>
      <c r="W32" s="88">
        <v>-10</v>
      </c>
      <c r="X32" s="92">
        <f t="shared" si="4"/>
        <v>0.45903520585192958</v>
      </c>
      <c r="Y32" s="88">
        <v>-15</v>
      </c>
      <c r="Z32" s="92">
        <f t="shared" si="5"/>
        <v>0.35275105223593739</v>
      </c>
      <c r="AB32">
        <v>500</v>
      </c>
      <c r="AC32">
        <f>MAX('Data #1'!F34:H34)</f>
        <v>-35.35</v>
      </c>
      <c r="AD32">
        <f>MAX('Data #2'!F34:H34)</f>
        <v>0</v>
      </c>
      <c r="AE32">
        <f>MAX('Data #3'!F34:H34)</f>
        <v>0</v>
      </c>
      <c r="AF32">
        <f>MAX('Data #4'!F34:H34)</f>
        <v>0</v>
      </c>
      <c r="AG32">
        <f>MAX('Data #5'!F34:H34)</f>
        <v>0</v>
      </c>
      <c r="AH32" s="88">
        <f t="shared" si="6"/>
        <v>-7.07</v>
      </c>
      <c r="AI32" s="88">
        <f t="shared" si="7"/>
        <v>15.809000600923515</v>
      </c>
      <c r="AJ32" s="88">
        <v>-10</v>
      </c>
      <c r="AK32" s="92">
        <f t="shared" si="8"/>
        <v>0.42648217947344541</v>
      </c>
      <c r="AL32" s="88">
        <v>-15</v>
      </c>
      <c r="AM32" s="92">
        <f t="shared" si="9"/>
        <v>0.30796989139714587</v>
      </c>
      <c r="AP32">
        <v>500</v>
      </c>
      <c r="AQ32">
        <f>MAX('Data #1'!AU34:AW34)</f>
        <v>0</v>
      </c>
      <c r="AR32">
        <f>MAX('Data #2'!AU34:AW34)</f>
        <v>0</v>
      </c>
      <c r="AS32">
        <f>MAX('Data #3'!AU34:AW34)</f>
        <v>0</v>
      </c>
      <c r="AT32">
        <f>MAX('Data #4'!AU34:AW34)</f>
        <v>0</v>
      </c>
      <c r="AU32">
        <f>MAX('Data #5'!AU34:AW34)</f>
        <v>0</v>
      </c>
      <c r="AV32" s="88">
        <f t="shared" si="2"/>
        <v>0</v>
      </c>
      <c r="AW32" s="88">
        <f t="shared" si="3"/>
        <v>0</v>
      </c>
      <c r="AX32" s="88">
        <v>-10</v>
      </c>
      <c r="AY32" s="92" t="e">
        <f t="shared" si="10"/>
        <v>#NUM!</v>
      </c>
      <c r="AZ32" s="88">
        <v>-15</v>
      </c>
      <c r="BA32" s="92" t="e">
        <f t="shared" si="11"/>
        <v>#NUM!</v>
      </c>
      <c r="BC32">
        <v>500</v>
      </c>
      <c r="BD32">
        <f>MAX('Data #1'!AX34:AZ34)</f>
        <v>0</v>
      </c>
      <c r="BE32">
        <f>MAX('Data #2'!AX34:AZ34)</f>
        <v>0</v>
      </c>
      <c r="BF32">
        <f>MAX('Data #3'!AX34:AZ34)</f>
        <v>0</v>
      </c>
      <c r="BG32">
        <f>MAX('Data #4'!AX34:AZ34)</f>
        <v>0</v>
      </c>
      <c r="BH32">
        <f>MAX('Data #5'!AX34:AZ34)</f>
        <v>0</v>
      </c>
      <c r="BI32" s="88">
        <f t="shared" si="12"/>
        <v>0</v>
      </c>
      <c r="BJ32" s="88">
        <f t="shared" si="13"/>
        <v>0</v>
      </c>
      <c r="BK32" s="88">
        <v>-10</v>
      </c>
      <c r="BL32" s="92" t="e">
        <f t="shared" si="14"/>
        <v>#NUM!</v>
      </c>
      <c r="BM32" s="88">
        <v>-15</v>
      </c>
      <c r="BN32" s="92" t="e">
        <f t="shared" si="15"/>
        <v>#NUM!</v>
      </c>
    </row>
    <row r="33" spans="1:66">
      <c r="A33" s="19">
        <v>530</v>
      </c>
      <c r="B33" s="88">
        <f>'Data #1'!W35</f>
        <v>100.37666666666667</v>
      </c>
      <c r="C33" s="88">
        <f>'Data #2'!W35</f>
        <v>20</v>
      </c>
      <c r="D33" s="88">
        <f>'Data #3'!W35</f>
        <v>20</v>
      </c>
      <c r="E33" s="88">
        <f>'Data #4'!W35</f>
        <v>20</v>
      </c>
      <c r="F33" s="88">
        <f>'Data #5'!W35</f>
        <v>20</v>
      </c>
      <c r="H33" s="20">
        <v>530</v>
      </c>
      <c r="I33" s="88">
        <f>'Data #1'!AH35</f>
        <v>94.976666666666674</v>
      </c>
      <c r="J33" s="88">
        <f>'Data #2'!AH35</f>
        <v>20</v>
      </c>
      <c r="K33" s="88">
        <f>'Data #3'!AH35</f>
        <v>20</v>
      </c>
      <c r="L33" s="88">
        <f>'Data #4'!AH35</f>
        <v>20</v>
      </c>
      <c r="M33" s="88">
        <f>'Data #5'!AH35</f>
        <v>20</v>
      </c>
      <c r="O33">
        <v>530</v>
      </c>
      <c r="P33">
        <f>MAX('Data #1'!C35:E35)</f>
        <v>-39.46</v>
      </c>
      <c r="Q33">
        <f>MAX('Data #2'!C35:E35)</f>
        <v>0</v>
      </c>
      <c r="R33">
        <f>MAX('Data #3'!C35:E35)</f>
        <v>0</v>
      </c>
      <c r="S33">
        <f>MAX('Data #4'!C35:E35)</f>
        <v>0</v>
      </c>
      <c r="T33">
        <f>MAX('Data #5'!C35:E35)</f>
        <v>0</v>
      </c>
      <c r="U33" s="88">
        <f t="shared" si="0"/>
        <v>-7.8920000000000003</v>
      </c>
      <c r="V33" s="88">
        <f t="shared" si="1"/>
        <v>17.647048478428339</v>
      </c>
      <c r="W33" s="88">
        <v>-10</v>
      </c>
      <c r="X33" s="92">
        <f t="shared" si="4"/>
        <v>0.45245807718205133</v>
      </c>
      <c r="Y33" s="88">
        <v>-15</v>
      </c>
      <c r="Z33" s="92">
        <f t="shared" si="5"/>
        <v>0.34355249848146513</v>
      </c>
      <c r="AB33">
        <v>530</v>
      </c>
      <c r="AC33">
        <f>MAX('Data #1'!F35:H35)</f>
        <v>-35.67</v>
      </c>
      <c r="AD33">
        <f>MAX('Data #2'!F35:H35)</f>
        <v>0</v>
      </c>
      <c r="AE33">
        <f>MAX('Data #3'!F35:H35)</f>
        <v>0</v>
      </c>
      <c r="AF33">
        <f>MAX('Data #4'!F35:H35)</f>
        <v>0</v>
      </c>
      <c r="AG33">
        <f>MAX('Data #5'!F35:H35)</f>
        <v>0</v>
      </c>
      <c r="AH33" s="88">
        <f t="shared" si="6"/>
        <v>-7.1340000000000003</v>
      </c>
      <c r="AI33" s="88">
        <f t="shared" si="7"/>
        <v>15.952108951483501</v>
      </c>
      <c r="AJ33" s="88">
        <v>-10</v>
      </c>
      <c r="AK33" s="92">
        <f t="shared" si="8"/>
        <v>0.42870866351353831</v>
      </c>
      <c r="AL33" s="88">
        <v>-15</v>
      </c>
      <c r="AM33" s="92">
        <f t="shared" si="9"/>
        <v>0.31097063156361487</v>
      </c>
      <c r="AP33">
        <v>530</v>
      </c>
      <c r="AQ33">
        <f>MAX('Data #1'!AU35:AW35)</f>
        <v>0</v>
      </c>
      <c r="AR33">
        <f>MAX('Data #2'!AU35:AW35)</f>
        <v>0</v>
      </c>
      <c r="AS33">
        <f>MAX('Data #3'!AU35:AW35)</f>
        <v>0</v>
      </c>
      <c r="AT33">
        <f>MAX('Data #4'!AU35:AW35)</f>
        <v>0</v>
      </c>
      <c r="AU33">
        <f>MAX('Data #5'!AU35:AW35)</f>
        <v>0</v>
      </c>
      <c r="AV33" s="88">
        <f t="shared" si="2"/>
        <v>0</v>
      </c>
      <c r="AW33" s="88">
        <f t="shared" si="3"/>
        <v>0</v>
      </c>
      <c r="AX33" s="88">
        <v>-10</v>
      </c>
      <c r="AY33" s="92" t="e">
        <f t="shared" si="10"/>
        <v>#NUM!</v>
      </c>
      <c r="AZ33" s="88">
        <v>-15</v>
      </c>
      <c r="BA33" s="92" t="e">
        <f t="shared" si="11"/>
        <v>#NUM!</v>
      </c>
      <c r="BC33">
        <v>530</v>
      </c>
      <c r="BD33">
        <f>MAX('Data #1'!AX35:AZ35)</f>
        <v>0</v>
      </c>
      <c r="BE33">
        <f>MAX('Data #2'!AX35:AZ35)</f>
        <v>0</v>
      </c>
      <c r="BF33">
        <f>MAX('Data #3'!AX35:AZ35)</f>
        <v>0</v>
      </c>
      <c r="BG33">
        <f>MAX('Data #4'!AX35:AZ35)</f>
        <v>0</v>
      </c>
      <c r="BH33">
        <f>MAX('Data #5'!AX35:AZ35)</f>
        <v>0</v>
      </c>
      <c r="BI33" s="88">
        <f t="shared" si="12"/>
        <v>0</v>
      </c>
      <c r="BJ33" s="88">
        <f t="shared" si="13"/>
        <v>0</v>
      </c>
      <c r="BK33" s="88">
        <v>-10</v>
      </c>
      <c r="BL33" s="92" t="e">
        <f t="shared" si="14"/>
        <v>#NUM!</v>
      </c>
      <c r="BM33" s="88">
        <v>-15</v>
      </c>
      <c r="BN33" s="92" t="e">
        <f t="shared" si="15"/>
        <v>#NUM!</v>
      </c>
    </row>
    <row r="34" spans="1:66">
      <c r="A34" s="19">
        <v>560</v>
      </c>
      <c r="B34" s="88">
        <f>'Data #1'!W36</f>
        <v>101.44333333333333</v>
      </c>
      <c r="C34" s="88">
        <f>'Data #2'!W36</f>
        <v>20</v>
      </c>
      <c r="D34" s="88">
        <f>'Data #3'!W36</f>
        <v>20</v>
      </c>
      <c r="E34" s="88">
        <f>'Data #4'!W36</f>
        <v>20</v>
      </c>
      <c r="F34" s="88">
        <f>'Data #5'!W36</f>
        <v>20</v>
      </c>
      <c r="H34" s="20">
        <v>560</v>
      </c>
      <c r="I34" s="88">
        <f>'Data #1'!AH36</f>
        <v>95.67</v>
      </c>
      <c r="J34" s="88">
        <f>'Data #2'!AH36</f>
        <v>20</v>
      </c>
      <c r="K34" s="88">
        <f>'Data #3'!AH36</f>
        <v>20</v>
      </c>
      <c r="L34" s="88">
        <f>'Data #4'!AH36</f>
        <v>20</v>
      </c>
      <c r="M34" s="88">
        <f>'Data #5'!AH36</f>
        <v>20</v>
      </c>
      <c r="O34">
        <v>560</v>
      </c>
      <c r="P34">
        <f>MAX('Data #1'!C36:E36)</f>
        <v>-38.65</v>
      </c>
      <c r="Q34">
        <f>MAX('Data #2'!C36:E36)</f>
        <v>0</v>
      </c>
      <c r="R34">
        <f>MAX('Data #3'!C36:E36)</f>
        <v>0</v>
      </c>
      <c r="S34">
        <f>MAX('Data #4'!C36:E36)</f>
        <v>0</v>
      </c>
      <c r="T34">
        <f>MAX('Data #5'!C36:E36)</f>
        <v>0</v>
      </c>
      <c r="U34" s="88">
        <f t="shared" si="0"/>
        <v>-7.7299999999999995</v>
      </c>
      <c r="V34" s="88">
        <f t="shared" si="1"/>
        <v>17.284805466073376</v>
      </c>
      <c r="W34" s="88">
        <v>-10</v>
      </c>
      <c r="X34" s="92">
        <f t="shared" si="4"/>
        <v>0.4477574393260767</v>
      </c>
      <c r="Y34" s="88">
        <v>-15</v>
      </c>
      <c r="Z34" s="92">
        <f t="shared" si="5"/>
        <v>0.33702336825821966</v>
      </c>
      <c r="AB34">
        <v>560</v>
      </c>
      <c r="AC34">
        <f>MAX('Data #1'!F36:H36)</f>
        <v>-36.049999999999997</v>
      </c>
      <c r="AD34">
        <f>MAX('Data #2'!F36:H36)</f>
        <v>0</v>
      </c>
      <c r="AE34">
        <f>MAX('Data #3'!F36:H36)</f>
        <v>0</v>
      </c>
      <c r="AF34">
        <f>MAX('Data #4'!F36:H36)</f>
        <v>0</v>
      </c>
      <c r="AG34">
        <f>MAX('Data #5'!F36:H36)</f>
        <v>0</v>
      </c>
      <c r="AH34" s="88">
        <f t="shared" si="6"/>
        <v>-7.2099999999999991</v>
      </c>
      <c r="AI34" s="88">
        <f t="shared" si="7"/>
        <v>16.122050117773483</v>
      </c>
      <c r="AJ34" s="88">
        <v>-10</v>
      </c>
      <c r="AK34" s="92">
        <f t="shared" si="8"/>
        <v>0.43130413170967713</v>
      </c>
      <c r="AL34" s="88">
        <v>-15</v>
      </c>
      <c r="AM34" s="92">
        <f t="shared" si="9"/>
        <v>0.31448071250455578</v>
      </c>
      <c r="AP34">
        <v>560</v>
      </c>
      <c r="AQ34">
        <f>MAX('Data #1'!AU36:AW36)</f>
        <v>0</v>
      </c>
      <c r="AR34">
        <f>MAX('Data #2'!AU36:AW36)</f>
        <v>0</v>
      </c>
      <c r="AS34">
        <f>MAX('Data #3'!AU36:AW36)</f>
        <v>0</v>
      </c>
      <c r="AT34">
        <f>MAX('Data #4'!AU36:AW36)</f>
        <v>0</v>
      </c>
      <c r="AU34">
        <f>MAX('Data #5'!AU36:AW36)</f>
        <v>0</v>
      </c>
      <c r="AV34" s="88">
        <f t="shared" si="2"/>
        <v>0</v>
      </c>
      <c r="AW34" s="88">
        <f t="shared" si="3"/>
        <v>0</v>
      </c>
      <c r="AX34" s="88">
        <v>-10</v>
      </c>
      <c r="AY34" s="92" t="e">
        <f t="shared" si="10"/>
        <v>#NUM!</v>
      </c>
      <c r="AZ34" s="88">
        <v>-15</v>
      </c>
      <c r="BA34" s="92" t="e">
        <f t="shared" si="11"/>
        <v>#NUM!</v>
      </c>
      <c r="BC34">
        <v>560</v>
      </c>
      <c r="BD34">
        <f>MAX('Data #1'!AX36:AZ36)</f>
        <v>0</v>
      </c>
      <c r="BE34">
        <f>MAX('Data #2'!AX36:AZ36)</f>
        <v>0</v>
      </c>
      <c r="BF34">
        <f>MAX('Data #3'!AX36:AZ36)</f>
        <v>0</v>
      </c>
      <c r="BG34">
        <f>MAX('Data #4'!AX36:AZ36)</f>
        <v>0</v>
      </c>
      <c r="BH34">
        <f>MAX('Data #5'!AX36:AZ36)</f>
        <v>0</v>
      </c>
      <c r="BI34" s="88">
        <f t="shared" si="12"/>
        <v>0</v>
      </c>
      <c r="BJ34" s="88">
        <f t="shared" si="13"/>
        <v>0</v>
      </c>
      <c r="BK34" s="88">
        <v>-10</v>
      </c>
      <c r="BL34" s="92" t="e">
        <f t="shared" si="14"/>
        <v>#NUM!</v>
      </c>
      <c r="BM34" s="88">
        <v>-15</v>
      </c>
      <c r="BN34" s="92" t="e">
        <f t="shared" si="15"/>
        <v>#NUM!</v>
      </c>
    </row>
    <row r="35" spans="1:66">
      <c r="A35" s="19">
        <v>600</v>
      </c>
      <c r="B35" s="88">
        <f>'Data #1'!W37</f>
        <v>102.73666666666668</v>
      </c>
      <c r="C35" s="88">
        <f>'Data #2'!W37</f>
        <v>20</v>
      </c>
      <c r="D35" s="88">
        <f>'Data #3'!W37</f>
        <v>20</v>
      </c>
      <c r="E35" s="88">
        <f>'Data #4'!W37</f>
        <v>20</v>
      </c>
      <c r="F35" s="88">
        <f>'Data #5'!W37</f>
        <v>20</v>
      </c>
      <c r="H35" s="20">
        <v>600</v>
      </c>
      <c r="I35" s="88">
        <f>'Data #1'!AH37</f>
        <v>96.673333333333332</v>
      </c>
      <c r="J35" s="88">
        <f>'Data #2'!AH37</f>
        <v>20</v>
      </c>
      <c r="K35" s="88">
        <f>'Data #3'!AH37</f>
        <v>20</v>
      </c>
      <c r="L35" s="88">
        <f>'Data #4'!AH37</f>
        <v>20</v>
      </c>
      <c r="M35" s="88">
        <f>'Data #5'!AH37</f>
        <v>20</v>
      </c>
      <c r="O35">
        <v>600</v>
      </c>
      <c r="P35">
        <f>MAX('Data #1'!C37:E37)</f>
        <v>-40.6</v>
      </c>
      <c r="Q35">
        <f>MAX('Data #2'!C37:E37)</f>
        <v>0</v>
      </c>
      <c r="R35">
        <f>MAX('Data #3'!C37:E37)</f>
        <v>0</v>
      </c>
      <c r="S35">
        <f>MAX('Data #4'!C37:E37)</f>
        <v>0</v>
      </c>
      <c r="T35">
        <f>MAX('Data #5'!C37:E37)</f>
        <v>0</v>
      </c>
      <c r="U35" s="88">
        <f t="shared" si="0"/>
        <v>-8.120000000000001</v>
      </c>
      <c r="V35" s="88">
        <f t="shared" si="1"/>
        <v>18.156871977298294</v>
      </c>
      <c r="W35" s="88">
        <v>-10</v>
      </c>
      <c r="X35" s="92">
        <f t="shared" si="4"/>
        <v>0.45876638332421532</v>
      </c>
      <c r="Y35" s="88">
        <v>-15</v>
      </c>
      <c r="Z35" s="92">
        <f t="shared" si="5"/>
        <v>0.3523736754133695</v>
      </c>
      <c r="AB35">
        <v>600</v>
      </c>
      <c r="AC35">
        <f>MAX('Data #1'!F37:H37)</f>
        <v>-35.93</v>
      </c>
      <c r="AD35">
        <f>MAX('Data #2'!F37:H37)</f>
        <v>0</v>
      </c>
      <c r="AE35">
        <f>MAX('Data #3'!F37:H37)</f>
        <v>0</v>
      </c>
      <c r="AF35">
        <f>MAX('Data #4'!F37:H37)</f>
        <v>0</v>
      </c>
      <c r="AG35">
        <f>MAX('Data #5'!F37:H37)</f>
        <v>0</v>
      </c>
      <c r="AH35" s="88">
        <f t="shared" si="6"/>
        <v>-7.1859999999999999</v>
      </c>
      <c r="AI35" s="88">
        <f t="shared" si="7"/>
        <v>16.068384486313487</v>
      </c>
      <c r="AJ35" s="88">
        <v>-10</v>
      </c>
      <c r="AK35" s="92">
        <f t="shared" si="8"/>
        <v>0.43049011645027302</v>
      </c>
      <c r="AL35" s="88">
        <v>-15</v>
      </c>
      <c r="AM35" s="92">
        <f t="shared" si="9"/>
        <v>0.31337846115082357</v>
      </c>
      <c r="AP35">
        <v>600</v>
      </c>
      <c r="AQ35">
        <f>MAX('Data #1'!AU37:AW37)</f>
        <v>0</v>
      </c>
      <c r="AR35">
        <f>MAX('Data #2'!AU37:AW37)</f>
        <v>0</v>
      </c>
      <c r="AS35">
        <f>MAX('Data #3'!AU37:AW37)</f>
        <v>0</v>
      </c>
      <c r="AT35">
        <f>MAX('Data #4'!AU37:AW37)</f>
        <v>0</v>
      </c>
      <c r="AU35">
        <f>MAX('Data #5'!AU37:AW37)</f>
        <v>0</v>
      </c>
      <c r="AV35" s="88">
        <f t="shared" si="2"/>
        <v>0</v>
      </c>
      <c r="AW35" s="88">
        <f t="shared" si="3"/>
        <v>0</v>
      </c>
      <c r="AX35" s="88">
        <v>-10</v>
      </c>
      <c r="AY35" s="92" t="e">
        <f t="shared" si="10"/>
        <v>#NUM!</v>
      </c>
      <c r="AZ35" s="88">
        <v>-15</v>
      </c>
      <c r="BA35" s="92" t="e">
        <f t="shared" si="11"/>
        <v>#NUM!</v>
      </c>
      <c r="BC35">
        <v>600</v>
      </c>
      <c r="BD35">
        <f>MAX('Data #1'!AX37:AZ37)</f>
        <v>0</v>
      </c>
      <c r="BE35">
        <f>MAX('Data #2'!AX37:AZ37)</f>
        <v>0</v>
      </c>
      <c r="BF35">
        <f>MAX('Data #3'!AX37:AZ37)</f>
        <v>0</v>
      </c>
      <c r="BG35">
        <f>MAX('Data #4'!AX37:AZ37)</f>
        <v>0</v>
      </c>
      <c r="BH35">
        <f>MAX('Data #5'!AX37:AZ37)</f>
        <v>0</v>
      </c>
      <c r="BI35" s="88">
        <f t="shared" si="12"/>
        <v>0</v>
      </c>
      <c r="BJ35" s="88">
        <f t="shared" si="13"/>
        <v>0</v>
      </c>
      <c r="BK35" s="88">
        <v>-10</v>
      </c>
      <c r="BL35" s="92" t="e">
        <f t="shared" si="14"/>
        <v>#NUM!</v>
      </c>
      <c r="BM35" s="88">
        <v>-15</v>
      </c>
      <c r="BN35" s="92" t="e">
        <f t="shared" si="15"/>
        <v>#NUM!</v>
      </c>
    </row>
    <row r="36" spans="1:66">
      <c r="A36" s="19">
        <v>630</v>
      </c>
      <c r="B36" s="88">
        <f>'Data #1'!W38</f>
        <v>103.92</v>
      </c>
      <c r="C36" s="88">
        <f>'Data #2'!W38</f>
        <v>20</v>
      </c>
      <c r="D36" s="88">
        <f>'Data #3'!W38</f>
        <v>20</v>
      </c>
      <c r="E36" s="88">
        <f>'Data #4'!W38</f>
        <v>20</v>
      </c>
      <c r="F36" s="88">
        <f>'Data #5'!W38</f>
        <v>20</v>
      </c>
      <c r="H36" s="20">
        <v>630</v>
      </c>
      <c r="I36" s="88">
        <f>'Data #1'!AH38</f>
        <v>97.52</v>
      </c>
      <c r="J36" s="88">
        <f>'Data #2'!AH38</f>
        <v>20</v>
      </c>
      <c r="K36" s="88">
        <f>'Data #3'!AH38</f>
        <v>20</v>
      </c>
      <c r="L36" s="88">
        <f>'Data #4'!AH38</f>
        <v>20</v>
      </c>
      <c r="M36" s="88">
        <f>'Data #5'!AH38</f>
        <v>20</v>
      </c>
      <c r="O36">
        <v>630</v>
      </c>
      <c r="P36">
        <f>MAX('Data #1'!C38:E38)</f>
        <v>-42.46</v>
      </c>
      <c r="Q36">
        <f>MAX('Data #2'!C38:E38)</f>
        <v>0</v>
      </c>
      <c r="R36">
        <f>MAX('Data #3'!C38:E38)</f>
        <v>0</v>
      </c>
      <c r="S36">
        <f>MAX('Data #4'!C38:E38)</f>
        <v>0</v>
      </c>
      <c r="T36">
        <f>MAX('Data #5'!C38:E38)</f>
        <v>0</v>
      </c>
      <c r="U36" s="88">
        <f t="shared" ref="U36:U67" si="16">AVERAGE(P36:T36)</f>
        <v>-8.4920000000000009</v>
      </c>
      <c r="V36" s="88">
        <f t="shared" ref="V36:V68" si="17">_xlfn.STDEV.S(P36:T36)</f>
        <v>18.988689264928215</v>
      </c>
      <c r="W36" s="88">
        <v>-10</v>
      </c>
      <c r="X36" s="92">
        <f t="shared" si="4"/>
        <v>0.46835099169221406</v>
      </c>
      <c r="Y36" s="88">
        <v>-15</v>
      </c>
      <c r="Z36" s="92">
        <f t="shared" si="5"/>
        <v>0.36590066637922347</v>
      </c>
      <c r="AB36">
        <v>630</v>
      </c>
      <c r="AC36">
        <f>MAX('Data #1'!F38:H38)</f>
        <v>-37.799999999999997</v>
      </c>
      <c r="AD36">
        <f>MAX('Data #2'!F38:H38)</f>
        <v>0</v>
      </c>
      <c r="AE36">
        <f>MAX('Data #3'!F38:H38)</f>
        <v>0</v>
      </c>
      <c r="AF36">
        <f>MAX('Data #4'!F38:H38)</f>
        <v>0</v>
      </c>
      <c r="AG36">
        <f>MAX('Data #5'!F38:H38)</f>
        <v>0</v>
      </c>
      <c r="AH36" s="88">
        <f t="shared" si="6"/>
        <v>-7.56</v>
      </c>
      <c r="AI36" s="88">
        <f t="shared" si="7"/>
        <v>16.904673909898406</v>
      </c>
      <c r="AJ36" s="88">
        <v>-10</v>
      </c>
      <c r="AK36" s="92">
        <f t="shared" si="8"/>
        <v>0.44261647864912318</v>
      </c>
      <c r="AL36" s="88">
        <v>-15</v>
      </c>
      <c r="AM36" s="92">
        <f t="shared" si="9"/>
        <v>0.32992692115268296</v>
      </c>
      <c r="AP36">
        <v>630</v>
      </c>
      <c r="AQ36">
        <f>MAX('Data #1'!AU38:AW38)</f>
        <v>0</v>
      </c>
      <c r="AR36">
        <f>MAX('Data #2'!AU38:AW38)</f>
        <v>0</v>
      </c>
      <c r="AS36">
        <f>MAX('Data #3'!AU38:AW38)</f>
        <v>0</v>
      </c>
      <c r="AT36">
        <f>MAX('Data #4'!AU38:AW38)</f>
        <v>0</v>
      </c>
      <c r="AU36">
        <f>MAX('Data #5'!AU38:AW38)</f>
        <v>0</v>
      </c>
      <c r="AV36" s="88">
        <f t="shared" si="2"/>
        <v>0</v>
      </c>
      <c r="AW36" s="88">
        <f t="shared" si="3"/>
        <v>0</v>
      </c>
      <c r="AX36" s="88">
        <v>-10</v>
      </c>
      <c r="AY36" s="92" t="e">
        <f t="shared" si="10"/>
        <v>#NUM!</v>
      </c>
      <c r="AZ36" s="88">
        <v>-15</v>
      </c>
      <c r="BA36" s="92" t="e">
        <f t="shared" si="11"/>
        <v>#NUM!</v>
      </c>
      <c r="BC36">
        <v>630</v>
      </c>
      <c r="BD36">
        <f>MAX('Data #1'!AX38:AZ38)</f>
        <v>0</v>
      </c>
      <c r="BE36">
        <f>MAX('Data #2'!AX38:AZ38)</f>
        <v>0</v>
      </c>
      <c r="BF36">
        <f>MAX('Data #3'!AX38:AZ38)</f>
        <v>0</v>
      </c>
      <c r="BG36">
        <f>MAX('Data #4'!AX38:AZ38)</f>
        <v>0</v>
      </c>
      <c r="BH36">
        <f>MAX('Data #5'!AX38:AZ38)</f>
        <v>0</v>
      </c>
      <c r="BI36" s="88">
        <f t="shared" si="12"/>
        <v>0</v>
      </c>
      <c r="BJ36" s="88">
        <f t="shared" si="13"/>
        <v>0</v>
      </c>
      <c r="BK36" s="88">
        <v>-10</v>
      </c>
      <c r="BL36" s="92" t="e">
        <f t="shared" si="14"/>
        <v>#NUM!</v>
      </c>
      <c r="BM36" s="88">
        <v>-15</v>
      </c>
      <c r="BN36" s="92" t="e">
        <f t="shared" si="15"/>
        <v>#NUM!</v>
      </c>
    </row>
    <row r="37" spans="1:66">
      <c r="A37" s="19">
        <v>670</v>
      </c>
      <c r="B37" s="88">
        <f>'Data #1'!W39</f>
        <v>105.41333333333334</v>
      </c>
      <c r="C37" s="88">
        <f>'Data #2'!W39</f>
        <v>20</v>
      </c>
      <c r="D37" s="88">
        <f>'Data #3'!W39</f>
        <v>20</v>
      </c>
      <c r="E37" s="88">
        <f>'Data #4'!W39</f>
        <v>20</v>
      </c>
      <c r="F37" s="88">
        <f>'Data #5'!W39</f>
        <v>20</v>
      </c>
      <c r="H37" s="20">
        <v>670</v>
      </c>
      <c r="I37" s="88">
        <f>'Data #1'!AH39</f>
        <v>97.190000000000012</v>
      </c>
      <c r="J37" s="88">
        <f>'Data #2'!AH39</f>
        <v>20</v>
      </c>
      <c r="K37" s="88">
        <f>'Data #3'!AH39</f>
        <v>20</v>
      </c>
      <c r="L37" s="88">
        <f>'Data #4'!AH39</f>
        <v>20</v>
      </c>
      <c r="M37" s="88">
        <f>'Data #5'!AH39</f>
        <v>20</v>
      </c>
      <c r="O37">
        <v>670</v>
      </c>
      <c r="P37">
        <f>MAX('Data #1'!C39:E39)</f>
        <v>-43.65</v>
      </c>
      <c r="Q37">
        <f>MAX('Data #2'!C39:E39)</f>
        <v>0</v>
      </c>
      <c r="R37">
        <f>MAX('Data #3'!C39:E39)</f>
        <v>0</v>
      </c>
      <c r="S37">
        <f>MAX('Data #4'!C39:E39)</f>
        <v>0</v>
      </c>
      <c r="T37">
        <f>MAX('Data #5'!C39:E39)</f>
        <v>0</v>
      </c>
      <c r="U37" s="88">
        <f t="shared" si="16"/>
        <v>-8.73</v>
      </c>
      <c r="V37" s="88">
        <f t="shared" si="17"/>
        <v>19.520873443573162</v>
      </c>
      <c r="W37" s="88">
        <v>-10</v>
      </c>
      <c r="X37" s="92">
        <f t="shared" si="4"/>
        <v>0.47406368570346757</v>
      </c>
      <c r="Y37" s="88">
        <v>-15</v>
      </c>
      <c r="Z37" s="92">
        <f t="shared" si="5"/>
        <v>0.37403144530801069</v>
      </c>
      <c r="AB37">
        <v>670</v>
      </c>
      <c r="AC37">
        <f>MAX('Data #1'!F39:H39)</f>
        <v>-36.950000000000003</v>
      </c>
      <c r="AD37">
        <f>MAX('Data #2'!F39:H39)</f>
        <v>0</v>
      </c>
      <c r="AE37">
        <f>MAX('Data #3'!F39:H39)</f>
        <v>0</v>
      </c>
      <c r="AF37">
        <f>MAX('Data #4'!F39:H39)</f>
        <v>0</v>
      </c>
      <c r="AG37">
        <f>MAX('Data #5'!F39:H39)</f>
        <v>0</v>
      </c>
      <c r="AH37" s="88">
        <f t="shared" si="6"/>
        <v>-7.3900000000000006</v>
      </c>
      <c r="AI37" s="88">
        <f t="shared" si="7"/>
        <v>16.524542353723447</v>
      </c>
      <c r="AJ37" s="88">
        <v>-10</v>
      </c>
      <c r="AK37" s="92">
        <f t="shared" si="8"/>
        <v>0.43724932619843526</v>
      </c>
      <c r="AL37" s="88">
        <v>-15</v>
      </c>
      <c r="AM37" s="92">
        <f t="shared" si="9"/>
        <v>0.32256895275989694</v>
      </c>
      <c r="AP37">
        <v>670</v>
      </c>
      <c r="AQ37">
        <f>MAX('Data #1'!AU39:AW39)</f>
        <v>0</v>
      </c>
      <c r="AR37">
        <f>MAX('Data #2'!AU39:AW39)</f>
        <v>0</v>
      </c>
      <c r="AS37">
        <f>MAX('Data #3'!AU39:AW39)</f>
        <v>0</v>
      </c>
      <c r="AT37">
        <f>MAX('Data #4'!AU39:AW39)</f>
        <v>0</v>
      </c>
      <c r="AU37">
        <f>MAX('Data #5'!AU39:AW39)</f>
        <v>0</v>
      </c>
      <c r="AV37" s="88">
        <f t="shared" si="2"/>
        <v>0</v>
      </c>
      <c r="AW37" s="88">
        <f t="shared" si="3"/>
        <v>0</v>
      </c>
      <c r="AX37" s="88">
        <v>-10</v>
      </c>
      <c r="AY37" s="92" t="e">
        <f t="shared" si="10"/>
        <v>#NUM!</v>
      </c>
      <c r="AZ37" s="88">
        <v>-15</v>
      </c>
      <c r="BA37" s="92" t="e">
        <f t="shared" si="11"/>
        <v>#NUM!</v>
      </c>
      <c r="BC37">
        <v>670</v>
      </c>
      <c r="BD37">
        <f>MAX('Data #1'!AX39:AZ39)</f>
        <v>0</v>
      </c>
      <c r="BE37">
        <f>MAX('Data #2'!AX39:AZ39)</f>
        <v>0</v>
      </c>
      <c r="BF37">
        <f>MAX('Data #3'!AX39:AZ39)</f>
        <v>0</v>
      </c>
      <c r="BG37">
        <f>MAX('Data #4'!AX39:AZ39)</f>
        <v>0</v>
      </c>
      <c r="BH37">
        <f>MAX('Data #5'!AX39:AZ39)</f>
        <v>0</v>
      </c>
      <c r="BI37" s="88">
        <f t="shared" si="12"/>
        <v>0</v>
      </c>
      <c r="BJ37" s="88">
        <f t="shared" si="13"/>
        <v>0</v>
      </c>
      <c r="BK37" s="88">
        <v>-10</v>
      </c>
      <c r="BL37" s="92" t="e">
        <f t="shared" si="14"/>
        <v>#NUM!</v>
      </c>
      <c r="BM37" s="88">
        <v>-15</v>
      </c>
      <c r="BN37" s="92" t="e">
        <f t="shared" si="15"/>
        <v>#NUM!</v>
      </c>
    </row>
    <row r="38" spans="1:66">
      <c r="A38" s="19">
        <v>710</v>
      </c>
      <c r="B38" s="88">
        <f>'Data #1'!W40</f>
        <v>103.81</v>
      </c>
      <c r="C38" s="88">
        <f>'Data #2'!W40</f>
        <v>20</v>
      </c>
      <c r="D38" s="88">
        <f>'Data #3'!W40</f>
        <v>20</v>
      </c>
      <c r="E38" s="88">
        <f>'Data #4'!W40</f>
        <v>20</v>
      </c>
      <c r="F38" s="88">
        <f>'Data #5'!W40</f>
        <v>20</v>
      </c>
      <c r="H38" s="20">
        <v>710</v>
      </c>
      <c r="I38" s="88">
        <f>'Data #1'!AH40</f>
        <v>96.516666666666666</v>
      </c>
      <c r="J38" s="88">
        <f>'Data #2'!AH40</f>
        <v>20</v>
      </c>
      <c r="K38" s="88">
        <f>'Data #3'!AH40</f>
        <v>20</v>
      </c>
      <c r="L38" s="88">
        <f>'Data #4'!AH40</f>
        <v>20</v>
      </c>
      <c r="M38" s="88">
        <f>'Data #5'!AH40</f>
        <v>20</v>
      </c>
      <c r="O38">
        <v>710</v>
      </c>
      <c r="P38">
        <f>MAX('Data #1'!C40:E40)</f>
        <v>-41.49</v>
      </c>
      <c r="Q38">
        <f>MAX('Data #2'!C40:E40)</f>
        <v>0</v>
      </c>
      <c r="R38">
        <f>MAX('Data #3'!C40:E40)</f>
        <v>0</v>
      </c>
      <c r="S38">
        <f>MAX('Data #4'!C40:E40)</f>
        <v>0</v>
      </c>
      <c r="T38">
        <f>MAX('Data #5'!C40:E40)</f>
        <v>0</v>
      </c>
      <c r="U38" s="88">
        <f t="shared" si="16"/>
        <v>-8.298</v>
      </c>
      <c r="V38" s="88">
        <f t="shared" si="17"/>
        <v>18.554892077293257</v>
      </c>
      <c r="W38" s="88">
        <v>-10</v>
      </c>
      <c r="X38" s="92">
        <f t="shared" si="4"/>
        <v>0.46345714243226199</v>
      </c>
      <c r="Y38" s="88">
        <v>-15</v>
      </c>
      <c r="Z38" s="92">
        <f t="shared" si="5"/>
        <v>0.35897551529359484</v>
      </c>
      <c r="AB38">
        <v>710</v>
      </c>
      <c r="AC38">
        <f>MAX('Data #1'!F40:H40)</f>
        <v>-35.92</v>
      </c>
      <c r="AD38">
        <f>MAX('Data #2'!F40:H40)</f>
        <v>0</v>
      </c>
      <c r="AE38">
        <f>MAX('Data #3'!F40:H40)</f>
        <v>0</v>
      </c>
      <c r="AF38">
        <f>MAX('Data #4'!F40:H40)</f>
        <v>0</v>
      </c>
      <c r="AG38">
        <f>MAX('Data #5'!F40:H40)</f>
        <v>0</v>
      </c>
      <c r="AH38" s="88">
        <f t="shared" si="6"/>
        <v>-7.1840000000000002</v>
      </c>
      <c r="AI38" s="88">
        <f t="shared" si="7"/>
        <v>16.063912350358493</v>
      </c>
      <c r="AJ38" s="88">
        <v>-10</v>
      </c>
      <c r="AK38" s="92">
        <f t="shared" si="8"/>
        <v>0.430422049674412</v>
      </c>
      <c r="AL38" s="88">
        <v>-15</v>
      </c>
      <c r="AM38" s="92">
        <f t="shared" si="9"/>
        <v>0.31328634974465813</v>
      </c>
      <c r="AP38">
        <v>710</v>
      </c>
      <c r="AQ38">
        <f>MAX('Data #1'!AU40:AW40)</f>
        <v>0</v>
      </c>
      <c r="AR38">
        <f>MAX('Data #2'!AU40:AW40)</f>
        <v>0</v>
      </c>
      <c r="AS38">
        <f>MAX('Data #3'!AU40:AW40)</f>
        <v>0</v>
      </c>
      <c r="AT38">
        <f>MAX('Data #4'!AU40:AW40)</f>
        <v>0</v>
      </c>
      <c r="AU38">
        <f>MAX('Data #5'!AU40:AW40)</f>
        <v>0</v>
      </c>
      <c r="AV38" s="88">
        <f t="shared" si="2"/>
        <v>0</v>
      </c>
      <c r="AW38" s="88">
        <f t="shared" si="3"/>
        <v>0</v>
      </c>
      <c r="AX38" s="88">
        <v>-10</v>
      </c>
      <c r="AY38" s="92" t="e">
        <f t="shared" si="10"/>
        <v>#NUM!</v>
      </c>
      <c r="AZ38" s="88">
        <v>-15</v>
      </c>
      <c r="BA38" s="92" t="e">
        <f t="shared" si="11"/>
        <v>#NUM!</v>
      </c>
      <c r="BC38">
        <v>710</v>
      </c>
      <c r="BD38">
        <f>MAX('Data #1'!AX40:AZ40)</f>
        <v>0</v>
      </c>
      <c r="BE38">
        <f>MAX('Data #2'!AX40:AZ40)</f>
        <v>0</v>
      </c>
      <c r="BF38">
        <f>MAX('Data #3'!AX40:AZ40)</f>
        <v>0</v>
      </c>
      <c r="BG38">
        <f>MAX('Data #4'!AX40:AZ40)</f>
        <v>0</v>
      </c>
      <c r="BH38">
        <f>MAX('Data #5'!AX40:AZ40)</f>
        <v>0</v>
      </c>
      <c r="BI38" s="88">
        <f t="shared" si="12"/>
        <v>0</v>
      </c>
      <c r="BJ38" s="88">
        <f t="shared" si="13"/>
        <v>0</v>
      </c>
      <c r="BK38" s="88">
        <v>-10</v>
      </c>
      <c r="BL38" s="92" t="e">
        <f t="shared" si="14"/>
        <v>#NUM!</v>
      </c>
      <c r="BM38" s="88">
        <v>-15</v>
      </c>
      <c r="BN38" s="92" t="e">
        <f t="shared" si="15"/>
        <v>#NUM!</v>
      </c>
    </row>
    <row r="39" spans="1:66">
      <c r="A39" s="19">
        <v>750</v>
      </c>
      <c r="B39" s="88">
        <f>'Data #1'!W41</f>
        <v>103.69</v>
      </c>
      <c r="C39" s="88">
        <f>'Data #2'!W41</f>
        <v>20</v>
      </c>
      <c r="D39" s="88">
        <f>'Data #3'!W41</f>
        <v>20</v>
      </c>
      <c r="E39" s="88">
        <f>'Data #4'!W41</f>
        <v>20</v>
      </c>
      <c r="F39" s="88">
        <f>'Data #5'!W41</f>
        <v>20</v>
      </c>
      <c r="H39" s="20">
        <v>750</v>
      </c>
      <c r="I39" s="88">
        <f>'Data #1'!AH41</f>
        <v>94.353333333333339</v>
      </c>
      <c r="J39" s="88">
        <f>'Data #2'!AH41</f>
        <v>20</v>
      </c>
      <c r="K39" s="88">
        <f>'Data #3'!AH41</f>
        <v>20</v>
      </c>
      <c r="L39" s="88">
        <f>'Data #4'!AH41</f>
        <v>20</v>
      </c>
      <c r="M39" s="88">
        <f>'Data #5'!AH41</f>
        <v>20</v>
      </c>
      <c r="O39">
        <v>750</v>
      </c>
      <c r="P39">
        <f>MAX('Data #1'!C41:E41)</f>
        <v>-40.450000000000003</v>
      </c>
      <c r="Q39">
        <f>MAX('Data #2'!C41:E41)</f>
        <v>0</v>
      </c>
      <c r="R39">
        <f>MAX('Data #3'!C41:E41)</f>
        <v>0</v>
      </c>
      <c r="S39">
        <f>MAX('Data #4'!C41:E41)</f>
        <v>0</v>
      </c>
      <c r="T39">
        <f>MAX('Data #5'!C41:E41)</f>
        <v>0</v>
      </c>
      <c r="U39" s="88">
        <f t="shared" si="16"/>
        <v>-8.09</v>
      </c>
      <c r="V39" s="88">
        <f t="shared" si="17"/>
        <v>18.0897899379733</v>
      </c>
      <c r="W39" s="88">
        <v>-10</v>
      </c>
      <c r="X39" s="92">
        <f t="shared" si="4"/>
        <v>0.45795604287160724</v>
      </c>
      <c r="Y39" s="88">
        <v>-15</v>
      </c>
      <c r="Z39" s="92">
        <f t="shared" si="5"/>
        <v>0.35123682784589938</v>
      </c>
      <c r="AB39">
        <v>750</v>
      </c>
      <c r="AC39">
        <f>MAX('Data #1'!F41:H41)</f>
        <v>-33.200000000000003</v>
      </c>
      <c r="AD39">
        <f>MAX('Data #2'!F41:H41)</f>
        <v>0</v>
      </c>
      <c r="AE39">
        <f>MAX('Data #3'!F41:H41)</f>
        <v>0</v>
      </c>
      <c r="AF39">
        <f>MAX('Data #4'!F41:H41)</f>
        <v>0</v>
      </c>
      <c r="AG39">
        <f>MAX('Data #5'!F41:H41)</f>
        <v>0</v>
      </c>
      <c r="AH39" s="88">
        <f t="shared" si="6"/>
        <v>-6.6400000000000006</v>
      </c>
      <c r="AI39" s="88">
        <f t="shared" si="7"/>
        <v>14.847491370598604</v>
      </c>
      <c r="AJ39" s="88">
        <v>-10</v>
      </c>
      <c r="AK39" s="92">
        <f t="shared" si="8"/>
        <v>0.41048371650712984</v>
      </c>
      <c r="AL39" s="88">
        <v>-15</v>
      </c>
      <c r="AM39" s="92">
        <f t="shared" si="9"/>
        <v>0.2866976673243784</v>
      </c>
      <c r="AP39">
        <v>750</v>
      </c>
      <c r="AQ39">
        <f>MAX('Data #1'!AU41:AW41)</f>
        <v>0</v>
      </c>
      <c r="AR39">
        <f>MAX('Data #2'!AU41:AW41)</f>
        <v>0</v>
      </c>
      <c r="AS39">
        <f>MAX('Data #3'!AU41:AW41)</f>
        <v>0</v>
      </c>
      <c r="AT39">
        <f>MAX('Data #4'!AU41:AW41)</f>
        <v>0</v>
      </c>
      <c r="AU39">
        <f>MAX('Data #5'!AU41:AW41)</f>
        <v>0</v>
      </c>
      <c r="AV39" s="88">
        <f t="shared" si="2"/>
        <v>0</v>
      </c>
      <c r="AW39" s="88">
        <f t="shared" si="3"/>
        <v>0</v>
      </c>
      <c r="AX39" s="88">
        <v>-10</v>
      </c>
      <c r="AY39" s="92" t="e">
        <f t="shared" si="10"/>
        <v>#NUM!</v>
      </c>
      <c r="AZ39" s="88">
        <v>-15</v>
      </c>
      <c r="BA39" s="92" t="e">
        <f t="shared" si="11"/>
        <v>#NUM!</v>
      </c>
      <c r="BC39">
        <v>750</v>
      </c>
      <c r="BD39">
        <f>MAX('Data #1'!AX41:AZ41)</f>
        <v>0</v>
      </c>
      <c r="BE39">
        <f>MAX('Data #2'!AX41:AZ41)</f>
        <v>0</v>
      </c>
      <c r="BF39">
        <f>MAX('Data #3'!AX41:AZ41)</f>
        <v>0</v>
      </c>
      <c r="BG39">
        <f>MAX('Data #4'!AX41:AZ41)</f>
        <v>0</v>
      </c>
      <c r="BH39">
        <f>MAX('Data #5'!AX41:AZ41)</f>
        <v>0</v>
      </c>
      <c r="BI39" s="88">
        <f t="shared" si="12"/>
        <v>0</v>
      </c>
      <c r="BJ39" s="88">
        <f t="shared" si="13"/>
        <v>0</v>
      </c>
      <c r="BK39" s="88">
        <v>-10</v>
      </c>
      <c r="BL39" s="92" t="e">
        <f t="shared" si="14"/>
        <v>#NUM!</v>
      </c>
      <c r="BM39" s="88">
        <v>-15</v>
      </c>
      <c r="BN39" s="92" t="e">
        <f t="shared" si="15"/>
        <v>#NUM!</v>
      </c>
    </row>
    <row r="40" spans="1:66">
      <c r="A40" s="19">
        <v>800</v>
      </c>
      <c r="B40" s="88">
        <f>'Data #1'!W42</f>
        <v>102.93</v>
      </c>
      <c r="C40" s="88">
        <f>'Data #2'!W42</f>
        <v>20</v>
      </c>
      <c r="D40" s="88">
        <f>'Data #3'!W42</f>
        <v>20</v>
      </c>
      <c r="E40" s="88">
        <f>'Data #4'!W42</f>
        <v>20</v>
      </c>
      <c r="F40" s="88">
        <f>'Data #5'!W42</f>
        <v>20</v>
      </c>
      <c r="H40" s="20">
        <v>800</v>
      </c>
      <c r="I40" s="88">
        <f>'Data #1'!AH42</f>
        <v>93.839999999999989</v>
      </c>
      <c r="J40" s="88">
        <f>'Data #2'!AH42</f>
        <v>20</v>
      </c>
      <c r="K40" s="88">
        <f>'Data #3'!AH42</f>
        <v>20</v>
      </c>
      <c r="L40" s="88">
        <f>'Data #4'!AH42</f>
        <v>20</v>
      </c>
      <c r="M40" s="88">
        <f>'Data #5'!AH42</f>
        <v>20</v>
      </c>
      <c r="O40">
        <v>800</v>
      </c>
      <c r="P40">
        <f>MAX('Data #1'!C42:E42)</f>
        <v>-37.89</v>
      </c>
      <c r="Q40">
        <f>MAX('Data #2'!C42:E42)</f>
        <v>0</v>
      </c>
      <c r="R40">
        <f>MAX('Data #3'!C42:E42)</f>
        <v>0</v>
      </c>
      <c r="S40">
        <f>MAX('Data #4'!C42:E42)</f>
        <v>0</v>
      </c>
      <c r="T40">
        <f>MAX('Data #5'!C42:E42)</f>
        <v>0</v>
      </c>
      <c r="U40" s="88">
        <f t="shared" si="16"/>
        <v>-7.5780000000000003</v>
      </c>
      <c r="V40" s="88">
        <f t="shared" si="17"/>
        <v>16.944923133493408</v>
      </c>
      <c r="W40" s="88">
        <v>-10</v>
      </c>
      <c r="X40" s="92">
        <f t="shared" si="4"/>
        <v>0.44317128457793764</v>
      </c>
      <c r="Y40" s="88">
        <v>-15</v>
      </c>
      <c r="Z40" s="92">
        <f t="shared" si="5"/>
        <v>0.3306904964624009</v>
      </c>
      <c r="AB40">
        <v>800</v>
      </c>
      <c r="AC40">
        <f>MAX('Data #1'!F42:H42)</f>
        <v>-31.26</v>
      </c>
      <c r="AD40">
        <f>MAX('Data #2'!F42:H42)</f>
        <v>0</v>
      </c>
      <c r="AE40">
        <f>MAX('Data #3'!F42:H42)</f>
        <v>0</v>
      </c>
      <c r="AF40">
        <f>MAX('Data #4'!F42:H42)</f>
        <v>0</v>
      </c>
      <c r="AG40">
        <f>MAX('Data #5'!F42:H42)</f>
        <v>0</v>
      </c>
      <c r="AH40" s="88">
        <f t="shared" si="6"/>
        <v>-6.2520000000000007</v>
      </c>
      <c r="AI40" s="88">
        <f t="shared" si="7"/>
        <v>13.979896995328685</v>
      </c>
      <c r="AJ40" s="88">
        <v>-10</v>
      </c>
      <c r="AK40" s="92">
        <f t="shared" si="8"/>
        <v>0.39431145879444629</v>
      </c>
      <c r="AL40" s="88">
        <v>-15</v>
      </c>
      <c r="AM40" s="92">
        <f t="shared" si="9"/>
        <v>0.26573760178586942</v>
      </c>
      <c r="AP40">
        <v>800</v>
      </c>
      <c r="AQ40">
        <f>MAX('Data #1'!AU42:AW42)</f>
        <v>0</v>
      </c>
      <c r="AR40">
        <f>MAX('Data #2'!AU42:AW42)</f>
        <v>0</v>
      </c>
      <c r="AS40">
        <f>MAX('Data #3'!AU42:AW42)</f>
        <v>0</v>
      </c>
      <c r="AT40">
        <f>MAX('Data #4'!AU42:AW42)</f>
        <v>0</v>
      </c>
      <c r="AU40">
        <f>MAX('Data #5'!AU42:AW42)</f>
        <v>0</v>
      </c>
      <c r="AV40" s="88">
        <f t="shared" si="2"/>
        <v>0</v>
      </c>
      <c r="AW40" s="88">
        <f t="shared" si="3"/>
        <v>0</v>
      </c>
      <c r="AX40" s="88">
        <v>-10</v>
      </c>
      <c r="AY40" s="92" t="e">
        <f t="shared" si="10"/>
        <v>#NUM!</v>
      </c>
      <c r="AZ40" s="88">
        <v>-15</v>
      </c>
      <c r="BA40" s="92" t="e">
        <f t="shared" si="11"/>
        <v>#NUM!</v>
      </c>
      <c r="BC40">
        <v>800</v>
      </c>
      <c r="BD40">
        <f>MAX('Data #1'!AX42:AZ42)</f>
        <v>0</v>
      </c>
      <c r="BE40">
        <f>MAX('Data #2'!AX42:AZ42)</f>
        <v>0</v>
      </c>
      <c r="BF40">
        <f>MAX('Data #3'!AX42:AZ42)</f>
        <v>0</v>
      </c>
      <c r="BG40">
        <f>MAX('Data #4'!AX42:AZ42)</f>
        <v>0</v>
      </c>
      <c r="BH40">
        <f>MAX('Data #5'!AX42:AZ42)</f>
        <v>0</v>
      </c>
      <c r="BI40" s="88">
        <f t="shared" si="12"/>
        <v>0</v>
      </c>
      <c r="BJ40" s="88">
        <f t="shared" si="13"/>
        <v>0</v>
      </c>
      <c r="BK40" s="88">
        <v>-10</v>
      </c>
      <c r="BL40" s="92" t="e">
        <f t="shared" si="14"/>
        <v>#NUM!</v>
      </c>
      <c r="BM40" s="88">
        <v>-15</v>
      </c>
      <c r="BN40" s="92" t="e">
        <f t="shared" si="15"/>
        <v>#NUM!</v>
      </c>
    </row>
    <row r="41" spans="1:66">
      <c r="A41" s="19">
        <v>850</v>
      </c>
      <c r="B41" s="88">
        <f>'Data #1'!W43</f>
        <v>103.68333333333334</v>
      </c>
      <c r="C41" s="88">
        <f>'Data #2'!W43</f>
        <v>20</v>
      </c>
      <c r="D41" s="88">
        <f>'Data #3'!W43</f>
        <v>20</v>
      </c>
      <c r="E41" s="88">
        <f>'Data #4'!W43</f>
        <v>20</v>
      </c>
      <c r="F41" s="88">
        <f>'Data #5'!W43</f>
        <v>20</v>
      </c>
      <c r="H41" s="20">
        <v>850</v>
      </c>
      <c r="I41" s="88">
        <f>'Data #1'!AH43</f>
        <v>93.916666666666671</v>
      </c>
      <c r="J41" s="88">
        <f>'Data #2'!AH43</f>
        <v>20</v>
      </c>
      <c r="K41" s="88">
        <f>'Data #3'!AH43</f>
        <v>20</v>
      </c>
      <c r="L41" s="88">
        <f>'Data #4'!AH43</f>
        <v>20</v>
      </c>
      <c r="M41" s="88">
        <f>'Data #5'!AH43</f>
        <v>20</v>
      </c>
      <c r="O41">
        <v>850</v>
      </c>
      <c r="P41">
        <f>MAX('Data #1'!C43:E43)</f>
        <v>-38.590000000000003</v>
      </c>
      <c r="Q41">
        <f>MAX('Data #2'!C43:E43)</f>
        <v>0</v>
      </c>
      <c r="R41">
        <f>MAX('Data #3'!C43:E43)</f>
        <v>0</v>
      </c>
      <c r="S41">
        <f>MAX('Data #4'!C43:E43)</f>
        <v>0</v>
      </c>
      <c r="T41">
        <f>MAX('Data #5'!C43:E43)</f>
        <v>0</v>
      </c>
      <c r="U41" s="88">
        <f t="shared" si="16"/>
        <v>-7.7180000000000009</v>
      </c>
      <c r="V41" s="88">
        <f t="shared" si="17"/>
        <v>17.25797265034338</v>
      </c>
      <c r="W41" s="88">
        <v>-10</v>
      </c>
      <c r="X41" s="92">
        <f t="shared" si="4"/>
        <v>0.44740168424353366</v>
      </c>
      <c r="Y41" s="88">
        <v>-15</v>
      </c>
      <c r="Z41" s="92">
        <f t="shared" si="5"/>
        <v>0.33653078966565153</v>
      </c>
      <c r="AB41">
        <v>850</v>
      </c>
      <c r="AC41">
        <f>MAX('Data #1'!F43:H43)</f>
        <v>-29.1</v>
      </c>
      <c r="AD41">
        <f>MAX('Data #2'!F43:H43)</f>
        <v>0</v>
      </c>
      <c r="AE41">
        <f>MAX('Data #3'!F43:H43)</f>
        <v>0</v>
      </c>
      <c r="AF41">
        <f>MAX('Data #4'!F43:H43)</f>
        <v>0</v>
      </c>
      <c r="AG41">
        <f>MAX('Data #5'!F43:H43)</f>
        <v>0</v>
      </c>
      <c r="AH41" s="88">
        <f t="shared" si="6"/>
        <v>-5.82</v>
      </c>
      <c r="AI41" s="88">
        <f t="shared" si="7"/>
        <v>13.013915629048777</v>
      </c>
      <c r="AJ41" s="88">
        <v>-10</v>
      </c>
      <c r="AK41" s="92">
        <f t="shared" si="8"/>
        <v>0.37403144530801069</v>
      </c>
      <c r="AL41" s="88">
        <v>-15</v>
      </c>
      <c r="AM41" s="92">
        <f t="shared" si="9"/>
        <v>0.24028105647953757</v>
      </c>
      <c r="AP41">
        <v>850</v>
      </c>
      <c r="AQ41">
        <f>MAX('Data #1'!AU43:AW43)</f>
        <v>0</v>
      </c>
      <c r="AR41">
        <f>MAX('Data #2'!AU43:AW43)</f>
        <v>0</v>
      </c>
      <c r="AS41">
        <f>MAX('Data #3'!AU43:AW43)</f>
        <v>0</v>
      </c>
      <c r="AT41">
        <f>MAX('Data #4'!AU43:AW43)</f>
        <v>0</v>
      </c>
      <c r="AU41">
        <f>MAX('Data #5'!AU43:AW43)</f>
        <v>0</v>
      </c>
      <c r="AV41" s="88">
        <f t="shared" si="2"/>
        <v>0</v>
      </c>
      <c r="AW41" s="88">
        <f t="shared" si="3"/>
        <v>0</v>
      </c>
      <c r="AX41" s="88">
        <v>-10</v>
      </c>
      <c r="AY41" s="92" t="e">
        <f t="shared" si="10"/>
        <v>#NUM!</v>
      </c>
      <c r="AZ41" s="88">
        <v>-15</v>
      </c>
      <c r="BA41" s="92" t="e">
        <f t="shared" si="11"/>
        <v>#NUM!</v>
      </c>
      <c r="BC41">
        <v>850</v>
      </c>
      <c r="BD41">
        <f>MAX('Data #1'!AX43:AZ43)</f>
        <v>0</v>
      </c>
      <c r="BE41">
        <f>MAX('Data #2'!AX43:AZ43)</f>
        <v>0</v>
      </c>
      <c r="BF41">
        <f>MAX('Data #3'!AX43:AZ43)</f>
        <v>0</v>
      </c>
      <c r="BG41">
        <f>MAX('Data #4'!AX43:AZ43)</f>
        <v>0</v>
      </c>
      <c r="BH41">
        <f>MAX('Data #5'!AX43:AZ43)</f>
        <v>0</v>
      </c>
      <c r="BI41" s="88">
        <f t="shared" si="12"/>
        <v>0</v>
      </c>
      <c r="BJ41" s="88">
        <f t="shared" si="13"/>
        <v>0</v>
      </c>
      <c r="BK41" s="88">
        <v>-10</v>
      </c>
      <c r="BL41" s="92" t="e">
        <f t="shared" si="14"/>
        <v>#NUM!</v>
      </c>
      <c r="BM41" s="88">
        <v>-15</v>
      </c>
      <c r="BN41" s="92" t="e">
        <f t="shared" si="15"/>
        <v>#NUM!</v>
      </c>
    </row>
    <row r="42" spans="1:66">
      <c r="A42" s="19">
        <v>900</v>
      </c>
      <c r="B42" s="88">
        <f>'Data #1'!W44</f>
        <v>106.29</v>
      </c>
      <c r="C42" s="88">
        <f>'Data #2'!W44</f>
        <v>20</v>
      </c>
      <c r="D42" s="88">
        <f>'Data #3'!W44</f>
        <v>20</v>
      </c>
      <c r="E42" s="88">
        <f>'Data #4'!W44</f>
        <v>20</v>
      </c>
      <c r="F42" s="88">
        <f>'Data #5'!W44</f>
        <v>20</v>
      </c>
      <c r="H42" s="20">
        <v>900</v>
      </c>
      <c r="I42" s="88">
        <f>'Data #1'!AH44</f>
        <v>93.806666666666686</v>
      </c>
      <c r="J42" s="88">
        <f>'Data #2'!AH44</f>
        <v>20</v>
      </c>
      <c r="K42" s="88">
        <f>'Data #3'!AH44</f>
        <v>20</v>
      </c>
      <c r="L42" s="88">
        <f>'Data #4'!AH44</f>
        <v>20</v>
      </c>
      <c r="M42" s="88">
        <f>'Data #5'!AH44</f>
        <v>20</v>
      </c>
      <c r="O42">
        <v>900</v>
      </c>
      <c r="P42">
        <f>MAX('Data #1'!C44:E44)</f>
        <v>-37.94</v>
      </c>
      <c r="Q42">
        <f>MAX('Data #2'!C44:E44)</f>
        <v>0</v>
      </c>
      <c r="R42">
        <f>MAX('Data #3'!C44:E44)</f>
        <v>0</v>
      </c>
      <c r="S42">
        <f>MAX('Data #4'!C44:E44)</f>
        <v>0</v>
      </c>
      <c r="T42">
        <f>MAX('Data #5'!C44:E44)</f>
        <v>0</v>
      </c>
      <c r="U42" s="88">
        <f t="shared" si="16"/>
        <v>-7.5879999999999992</v>
      </c>
      <c r="V42" s="88">
        <f t="shared" si="17"/>
        <v>16.967283813268402</v>
      </c>
      <c r="W42" s="88">
        <v>-10</v>
      </c>
      <c r="X42" s="92">
        <f t="shared" si="4"/>
        <v>0.44347842071006977</v>
      </c>
      <c r="Y42" s="88">
        <v>-15</v>
      </c>
      <c r="Z42" s="92">
        <f t="shared" si="5"/>
        <v>0.33111344300634893</v>
      </c>
      <c r="AB42">
        <v>900</v>
      </c>
      <c r="AC42">
        <f>MAX('Data #1'!F44:H44)</f>
        <v>-27.15</v>
      </c>
      <c r="AD42">
        <f>MAX('Data #2'!F44:H44)</f>
        <v>0</v>
      </c>
      <c r="AE42">
        <f>MAX('Data #3'!F44:H44)</f>
        <v>0</v>
      </c>
      <c r="AF42">
        <f>MAX('Data #4'!F44:H44)</f>
        <v>0</v>
      </c>
      <c r="AG42">
        <f>MAX('Data #5'!F44:H44)</f>
        <v>0</v>
      </c>
      <c r="AH42" s="88">
        <f t="shared" si="6"/>
        <v>-5.43</v>
      </c>
      <c r="AI42" s="88">
        <f t="shared" si="7"/>
        <v>12.141849117823858</v>
      </c>
      <c r="AJ42" s="88">
        <v>-10</v>
      </c>
      <c r="AK42" s="92">
        <f t="shared" si="8"/>
        <v>0.35331565034083856</v>
      </c>
      <c r="AL42" s="88">
        <v>-15</v>
      </c>
      <c r="AM42" s="92">
        <f t="shared" si="9"/>
        <v>0.21529481315876214</v>
      </c>
      <c r="AP42">
        <v>900</v>
      </c>
      <c r="AQ42">
        <f>MAX('Data #1'!AU44:AW44)</f>
        <v>0</v>
      </c>
      <c r="AR42">
        <f>MAX('Data #2'!AU44:AW44)</f>
        <v>0</v>
      </c>
      <c r="AS42">
        <f>MAX('Data #3'!AU44:AW44)</f>
        <v>0</v>
      </c>
      <c r="AT42">
        <f>MAX('Data #4'!AU44:AW44)</f>
        <v>0</v>
      </c>
      <c r="AU42">
        <f>MAX('Data #5'!AU44:AW44)</f>
        <v>0</v>
      </c>
      <c r="AV42" s="88">
        <f t="shared" si="2"/>
        <v>0</v>
      </c>
      <c r="AW42" s="88">
        <f t="shared" si="3"/>
        <v>0</v>
      </c>
      <c r="AX42" s="88">
        <v>-10</v>
      </c>
      <c r="AY42" s="92" t="e">
        <f t="shared" si="10"/>
        <v>#NUM!</v>
      </c>
      <c r="AZ42" s="88">
        <v>-15</v>
      </c>
      <c r="BA42" s="92" t="e">
        <f t="shared" si="11"/>
        <v>#NUM!</v>
      </c>
      <c r="BC42">
        <v>900</v>
      </c>
      <c r="BD42">
        <f>MAX('Data #1'!AX44:AZ44)</f>
        <v>0</v>
      </c>
      <c r="BE42">
        <f>MAX('Data #2'!AX44:AZ44)</f>
        <v>0</v>
      </c>
      <c r="BF42">
        <f>MAX('Data #3'!AX44:AZ44)</f>
        <v>0</v>
      </c>
      <c r="BG42">
        <f>MAX('Data #4'!AX44:AZ44)</f>
        <v>0</v>
      </c>
      <c r="BH42">
        <f>MAX('Data #5'!AX44:AZ44)</f>
        <v>0</v>
      </c>
      <c r="BI42" s="88">
        <f t="shared" si="12"/>
        <v>0</v>
      </c>
      <c r="BJ42" s="88">
        <f t="shared" si="13"/>
        <v>0</v>
      </c>
      <c r="BK42" s="88">
        <v>-10</v>
      </c>
      <c r="BL42" s="92" t="e">
        <f t="shared" si="14"/>
        <v>#NUM!</v>
      </c>
      <c r="BM42" s="88">
        <v>-15</v>
      </c>
      <c r="BN42" s="92" t="e">
        <f t="shared" si="15"/>
        <v>#NUM!</v>
      </c>
    </row>
    <row r="43" spans="1:66">
      <c r="A43" s="19">
        <v>950</v>
      </c>
      <c r="B43" s="88">
        <f>'Data #1'!W45</f>
        <v>108.92333333333335</v>
      </c>
      <c r="C43" s="88">
        <f>'Data #2'!W45</f>
        <v>20</v>
      </c>
      <c r="D43" s="88">
        <f>'Data #3'!W45</f>
        <v>20</v>
      </c>
      <c r="E43" s="88">
        <f>'Data #4'!W45</f>
        <v>20</v>
      </c>
      <c r="F43" s="88">
        <f>'Data #5'!W45</f>
        <v>20</v>
      </c>
      <c r="H43" s="20">
        <v>950</v>
      </c>
      <c r="I43" s="88">
        <f>'Data #1'!AH45</f>
        <v>93.270000000000024</v>
      </c>
      <c r="J43" s="88">
        <f>'Data #2'!AH45</f>
        <v>20</v>
      </c>
      <c r="K43" s="88">
        <f>'Data #3'!AH45</f>
        <v>20</v>
      </c>
      <c r="L43" s="88">
        <f>'Data #4'!AH45</f>
        <v>20</v>
      </c>
      <c r="M43" s="88">
        <f>'Data #5'!AH45</f>
        <v>20</v>
      </c>
      <c r="O43">
        <v>950</v>
      </c>
      <c r="P43">
        <f>MAX('Data #1'!C45:E45)</f>
        <v>-36.86</v>
      </c>
      <c r="Q43">
        <f>MAX('Data #2'!C45:E45)</f>
        <v>0</v>
      </c>
      <c r="R43">
        <f>MAX('Data #3'!C45:E45)</f>
        <v>0</v>
      </c>
      <c r="S43">
        <f>MAX('Data #4'!C45:E45)</f>
        <v>0</v>
      </c>
      <c r="T43">
        <f>MAX('Data #5'!C45:E45)</f>
        <v>0</v>
      </c>
      <c r="U43" s="88">
        <f t="shared" si="16"/>
        <v>-7.3719999999999999</v>
      </c>
      <c r="V43" s="88">
        <f t="shared" si="17"/>
        <v>16.484293130128449</v>
      </c>
      <c r="W43" s="88">
        <v>-10</v>
      </c>
      <c r="X43" s="92">
        <f t="shared" si="4"/>
        <v>0.43666722331756069</v>
      </c>
      <c r="Y43" s="88">
        <v>-15</v>
      </c>
      <c r="Z43" s="92">
        <f t="shared" si="5"/>
        <v>0.32177410609272217</v>
      </c>
      <c r="AB43">
        <v>950</v>
      </c>
      <c r="AC43">
        <f>MAX('Data #1'!F45:H45)</f>
        <v>-25.37</v>
      </c>
      <c r="AD43">
        <f>MAX('Data #2'!F45:H45)</f>
        <v>0</v>
      </c>
      <c r="AE43">
        <f>MAX('Data #3'!F45:H45)</f>
        <v>0</v>
      </c>
      <c r="AF43">
        <f>MAX('Data #4'!F45:H45)</f>
        <v>0</v>
      </c>
      <c r="AG43">
        <f>MAX('Data #5'!F45:H45)</f>
        <v>0</v>
      </c>
      <c r="AH43" s="88">
        <f t="shared" si="6"/>
        <v>-5.0739999999999998</v>
      </c>
      <c r="AI43" s="88">
        <f t="shared" si="7"/>
        <v>11.345808917833933</v>
      </c>
      <c r="AJ43" s="88">
        <v>-10</v>
      </c>
      <c r="AK43" s="92">
        <f t="shared" si="8"/>
        <v>0.3320828136891012</v>
      </c>
      <c r="AL43" s="88">
        <v>-15</v>
      </c>
      <c r="AM43" s="92">
        <f t="shared" si="9"/>
        <v>0.1908249083460809</v>
      </c>
      <c r="AP43">
        <v>950</v>
      </c>
      <c r="AQ43">
        <f>MAX('Data #1'!AU45:AW45)</f>
        <v>0</v>
      </c>
      <c r="AR43">
        <f>MAX('Data #2'!AU45:AW45)</f>
        <v>0</v>
      </c>
      <c r="AS43">
        <f>MAX('Data #3'!AU45:AW45)</f>
        <v>0</v>
      </c>
      <c r="AT43">
        <f>MAX('Data #4'!AU45:AW45)</f>
        <v>0</v>
      </c>
      <c r="AU43">
        <f>MAX('Data #5'!AU45:AW45)</f>
        <v>0</v>
      </c>
      <c r="AV43" s="88">
        <f t="shared" si="2"/>
        <v>0</v>
      </c>
      <c r="AW43" s="88">
        <f t="shared" si="3"/>
        <v>0</v>
      </c>
      <c r="AX43" s="88">
        <v>-10</v>
      </c>
      <c r="AY43" s="92" t="e">
        <f t="shared" si="10"/>
        <v>#NUM!</v>
      </c>
      <c r="AZ43" s="88">
        <v>-15</v>
      </c>
      <c r="BA43" s="92" t="e">
        <f t="shared" si="11"/>
        <v>#NUM!</v>
      </c>
      <c r="BC43">
        <v>950</v>
      </c>
      <c r="BD43">
        <f>MAX('Data #1'!AX45:AZ45)</f>
        <v>0</v>
      </c>
      <c r="BE43">
        <f>MAX('Data #2'!AX45:AZ45)</f>
        <v>0</v>
      </c>
      <c r="BF43">
        <f>MAX('Data #3'!AX45:AZ45)</f>
        <v>0</v>
      </c>
      <c r="BG43">
        <f>MAX('Data #4'!AX45:AZ45)</f>
        <v>0</v>
      </c>
      <c r="BH43">
        <f>MAX('Data #5'!AX45:AZ45)</f>
        <v>0</v>
      </c>
      <c r="BI43" s="88">
        <f t="shared" si="12"/>
        <v>0</v>
      </c>
      <c r="BJ43" s="88">
        <f t="shared" si="13"/>
        <v>0</v>
      </c>
      <c r="BK43" s="88">
        <v>-10</v>
      </c>
      <c r="BL43" s="92" t="e">
        <f t="shared" si="14"/>
        <v>#NUM!</v>
      </c>
      <c r="BM43" s="88">
        <v>-15</v>
      </c>
      <c r="BN43" s="92" t="e">
        <f t="shared" si="15"/>
        <v>#NUM!</v>
      </c>
    </row>
    <row r="44" spans="1:66">
      <c r="A44" s="19">
        <v>1000</v>
      </c>
      <c r="B44" s="88">
        <f>'Data #1'!W46</f>
        <v>109.36333333333334</v>
      </c>
      <c r="C44" s="88">
        <f>'Data #2'!W46</f>
        <v>20</v>
      </c>
      <c r="D44" s="88">
        <f>'Data #3'!W46</f>
        <v>20</v>
      </c>
      <c r="E44" s="88">
        <f>'Data #4'!W46</f>
        <v>20</v>
      </c>
      <c r="F44" s="88">
        <f>'Data #5'!W46</f>
        <v>20</v>
      </c>
      <c r="H44" s="20">
        <v>1000</v>
      </c>
      <c r="I44" s="88">
        <f>'Data #1'!AH46</f>
        <v>92.453333333333333</v>
      </c>
      <c r="J44" s="88">
        <f>'Data #2'!AH46</f>
        <v>20</v>
      </c>
      <c r="K44" s="88">
        <f>'Data #3'!AH46</f>
        <v>20</v>
      </c>
      <c r="L44" s="88">
        <f>'Data #4'!AH46</f>
        <v>20</v>
      </c>
      <c r="M44" s="88">
        <f>'Data #5'!AH46</f>
        <v>20</v>
      </c>
      <c r="O44">
        <v>1000</v>
      </c>
      <c r="P44">
        <f>MAX('Data #1'!C46:E46)</f>
        <v>-33.200000000000003</v>
      </c>
      <c r="Q44">
        <f>MAX('Data #2'!C46:E46)</f>
        <v>0</v>
      </c>
      <c r="R44">
        <f>MAX('Data #3'!C46:E46)</f>
        <v>0</v>
      </c>
      <c r="S44">
        <f>MAX('Data #4'!C46:E46)</f>
        <v>0</v>
      </c>
      <c r="T44">
        <f>MAX('Data #5'!C46:E46)</f>
        <v>0</v>
      </c>
      <c r="U44" s="88">
        <f t="shared" si="16"/>
        <v>-6.6400000000000006</v>
      </c>
      <c r="V44" s="88">
        <f t="shared" si="17"/>
        <v>14.847491370598604</v>
      </c>
      <c r="W44" s="88">
        <v>-10</v>
      </c>
      <c r="X44" s="92">
        <f t="shared" si="4"/>
        <v>0.41048371650712984</v>
      </c>
      <c r="Y44" s="88">
        <v>-15</v>
      </c>
      <c r="Z44" s="92">
        <f t="shared" si="5"/>
        <v>0.2866976673243784</v>
      </c>
      <c r="AB44">
        <v>1000</v>
      </c>
      <c r="AC44">
        <f>MAX('Data #1'!F46:H46)</f>
        <v>-23.47</v>
      </c>
      <c r="AD44">
        <f>MAX('Data #2'!F46:H46)</f>
        <v>0</v>
      </c>
      <c r="AE44">
        <f>MAX('Data #3'!F46:H46)</f>
        <v>0</v>
      </c>
      <c r="AF44">
        <f>MAX('Data #4'!F46:H46)</f>
        <v>0</v>
      </c>
      <c r="AG44">
        <f>MAX('Data #5'!F46:H46)</f>
        <v>0</v>
      </c>
      <c r="AH44" s="88">
        <f t="shared" si="6"/>
        <v>-4.694</v>
      </c>
      <c r="AI44" s="88">
        <f t="shared" si="7"/>
        <v>10.496103086384013</v>
      </c>
      <c r="AJ44" s="88">
        <v>-10</v>
      </c>
      <c r="AK44" s="92">
        <f t="shared" si="8"/>
        <v>0.30659649398126754</v>
      </c>
      <c r="AL44" s="88">
        <v>-15</v>
      </c>
      <c r="AM44" s="92">
        <f t="shared" si="9"/>
        <v>0.16307745935330076</v>
      </c>
      <c r="AP44">
        <v>1000</v>
      </c>
      <c r="AQ44">
        <f>MAX('Data #1'!AU46:AW46)</f>
        <v>0</v>
      </c>
      <c r="AR44">
        <f>MAX('Data #2'!AU46:AW46)</f>
        <v>0</v>
      </c>
      <c r="AS44">
        <f>MAX('Data #3'!AU46:AW46)</f>
        <v>0</v>
      </c>
      <c r="AT44">
        <f>MAX('Data #4'!AU46:AW46)</f>
        <v>0</v>
      </c>
      <c r="AU44">
        <f>MAX('Data #5'!AU46:AW46)</f>
        <v>0</v>
      </c>
      <c r="AV44" s="88">
        <f t="shared" si="2"/>
        <v>0</v>
      </c>
      <c r="AW44" s="88">
        <f t="shared" si="3"/>
        <v>0</v>
      </c>
      <c r="AX44" s="88">
        <v>-10</v>
      </c>
      <c r="AY44" s="92" t="e">
        <f t="shared" si="10"/>
        <v>#NUM!</v>
      </c>
      <c r="AZ44" s="88">
        <v>-15</v>
      </c>
      <c r="BA44" s="92" t="e">
        <f t="shared" si="11"/>
        <v>#NUM!</v>
      </c>
      <c r="BC44">
        <v>1000</v>
      </c>
      <c r="BD44">
        <f>MAX('Data #1'!AX46:AZ46)</f>
        <v>0</v>
      </c>
      <c r="BE44">
        <f>MAX('Data #2'!AX46:AZ46)</f>
        <v>0</v>
      </c>
      <c r="BF44">
        <f>MAX('Data #3'!AX46:AZ46)</f>
        <v>0</v>
      </c>
      <c r="BG44">
        <f>MAX('Data #4'!AX46:AZ46)</f>
        <v>0</v>
      </c>
      <c r="BH44">
        <f>MAX('Data #5'!AX46:AZ46)</f>
        <v>0</v>
      </c>
      <c r="BI44" s="88">
        <f t="shared" si="12"/>
        <v>0</v>
      </c>
      <c r="BJ44" s="88">
        <f t="shared" si="13"/>
        <v>0</v>
      </c>
      <c r="BK44" s="88">
        <v>-10</v>
      </c>
      <c r="BL44" s="92" t="e">
        <f t="shared" si="14"/>
        <v>#NUM!</v>
      </c>
      <c r="BM44" s="88">
        <v>-15</v>
      </c>
      <c r="BN44" s="92" t="e">
        <f t="shared" si="15"/>
        <v>#NUM!</v>
      </c>
    </row>
    <row r="45" spans="1:66">
      <c r="A45" s="19">
        <v>1060</v>
      </c>
      <c r="B45" s="88">
        <f>'Data #1'!W47</f>
        <v>108.21</v>
      </c>
      <c r="C45" s="88">
        <f>'Data #2'!W47</f>
        <v>20</v>
      </c>
      <c r="D45" s="88">
        <f>'Data #3'!W47</f>
        <v>20</v>
      </c>
      <c r="E45" s="88">
        <f>'Data #4'!W47</f>
        <v>20</v>
      </c>
      <c r="F45" s="88">
        <f>'Data #5'!W47</f>
        <v>20</v>
      </c>
      <c r="H45" s="20">
        <v>1060</v>
      </c>
      <c r="I45" s="88">
        <f>'Data #1'!AH47</f>
        <v>92.096666666666678</v>
      </c>
      <c r="J45" s="88">
        <f>'Data #2'!AH47</f>
        <v>20</v>
      </c>
      <c r="K45" s="88">
        <f>'Data #3'!AH47</f>
        <v>20</v>
      </c>
      <c r="L45" s="88">
        <f>'Data #4'!AH47</f>
        <v>20</v>
      </c>
      <c r="M45" s="88">
        <f>'Data #5'!AH47</f>
        <v>20</v>
      </c>
      <c r="O45">
        <v>1060</v>
      </c>
      <c r="P45">
        <f>MAX('Data #1'!C47:E47)</f>
        <v>-31.39</v>
      </c>
      <c r="Q45">
        <f>MAX('Data #2'!C47:E47)</f>
        <v>0</v>
      </c>
      <c r="R45">
        <f>MAX('Data #3'!C47:E47)</f>
        <v>0</v>
      </c>
      <c r="S45">
        <f>MAX('Data #4'!C47:E47)</f>
        <v>0</v>
      </c>
      <c r="T45">
        <f>MAX('Data #5'!C47:E47)</f>
        <v>0</v>
      </c>
      <c r="U45" s="88">
        <f t="shared" si="16"/>
        <v>-6.2780000000000005</v>
      </c>
      <c r="V45" s="88">
        <f t="shared" si="17"/>
        <v>14.038034762743681</v>
      </c>
      <c r="W45" s="88">
        <v>-10</v>
      </c>
      <c r="X45" s="92">
        <f t="shared" si="4"/>
        <v>0.39545202902627291</v>
      </c>
      <c r="Y45" s="88">
        <v>-15</v>
      </c>
      <c r="Z45" s="92">
        <f t="shared" si="5"/>
        <v>0.26719716706567681</v>
      </c>
      <c r="AB45">
        <v>1060</v>
      </c>
      <c r="AC45">
        <f>MAX('Data #1'!F47:H47)</f>
        <v>-22.3</v>
      </c>
      <c r="AD45">
        <f>MAX('Data #2'!F47:H47)</f>
        <v>0</v>
      </c>
      <c r="AE45">
        <f>MAX('Data #3'!F47:H47)</f>
        <v>0</v>
      </c>
      <c r="AF45">
        <f>MAX('Data #4'!F47:H47)</f>
        <v>0</v>
      </c>
      <c r="AG45">
        <f>MAX('Data #5'!F47:H47)</f>
        <v>0</v>
      </c>
      <c r="AH45" s="88">
        <f t="shared" si="6"/>
        <v>-4.46</v>
      </c>
      <c r="AI45" s="88">
        <f t="shared" si="7"/>
        <v>9.9728631796490621</v>
      </c>
      <c r="AJ45" s="88">
        <v>-10</v>
      </c>
      <c r="AK45" s="92">
        <f t="shared" si="8"/>
        <v>0.28927380083446952</v>
      </c>
      <c r="AL45" s="88">
        <v>-15</v>
      </c>
      <c r="AM45" s="92">
        <f t="shared" si="9"/>
        <v>0.14528591646044425</v>
      </c>
      <c r="AP45">
        <v>1060</v>
      </c>
      <c r="AQ45">
        <f>MAX('Data #1'!AU47:AW47)</f>
        <v>0</v>
      </c>
      <c r="AR45">
        <f>MAX('Data #2'!AU47:AW47)</f>
        <v>0</v>
      </c>
      <c r="AS45">
        <f>MAX('Data #3'!AU47:AW47)</f>
        <v>0</v>
      </c>
      <c r="AT45">
        <f>MAX('Data #4'!AU47:AW47)</f>
        <v>0</v>
      </c>
      <c r="AU45">
        <f>MAX('Data #5'!AU47:AW47)</f>
        <v>0</v>
      </c>
      <c r="AV45" s="88">
        <f t="shared" si="2"/>
        <v>0</v>
      </c>
      <c r="AW45" s="88">
        <f t="shared" si="3"/>
        <v>0</v>
      </c>
      <c r="AX45" s="88">
        <v>-10</v>
      </c>
      <c r="AY45" s="92" t="e">
        <f t="shared" si="10"/>
        <v>#NUM!</v>
      </c>
      <c r="AZ45" s="88">
        <v>-15</v>
      </c>
      <c r="BA45" s="92" t="e">
        <f t="shared" si="11"/>
        <v>#NUM!</v>
      </c>
      <c r="BC45">
        <v>1060</v>
      </c>
      <c r="BD45">
        <f>MAX('Data #1'!AX47:AZ47)</f>
        <v>0</v>
      </c>
      <c r="BE45">
        <f>MAX('Data #2'!AX47:AZ47)</f>
        <v>0</v>
      </c>
      <c r="BF45">
        <f>MAX('Data #3'!AX47:AZ47)</f>
        <v>0</v>
      </c>
      <c r="BG45">
        <f>MAX('Data #4'!AX47:AZ47)</f>
        <v>0</v>
      </c>
      <c r="BH45">
        <f>MAX('Data #5'!AX47:AZ47)</f>
        <v>0</v>
      </c>
      <c r="BI45" s="88">
        <f t="shared" si="12"/>
        <v>0</v>
      </c>
      <c r="BJ45" s="88">
        <f t="shared" si="13"/>
        <v>0</v>
      </c>
      <c r="BK45" s="88">
        <v>-10</v>
      </c>
      <c r="BL45" s="92" t="e">
        <f t="shared" si="14"/>
        <v>#NUM!</v>
      </c>
      <c r="BM45" s="88">
        <v>-15</v>
      </c>
      <c r="BN45" s="92" t="e">
        <f t="shared" si="15"/>
        <v>#NUM!</v>
      </c>
    </row>
    <row r="46" spans="1:66">
      <c r="A46" s="19">
        <v>1120</v>
      </c>
      <c r="B46" s="88">
        <f>'Data #1'!W48</f>
        <v>108.56333333333333</v>
      </c>
      <c r="C46" s="88">
        <f>'Data #2'!W48</f>
        <v>20</v>
      </c>
      <c r="D46" s="88">
        <f>'Data #3'!W48</f>
        <v>20</v>
      </c>
      <c r="E46" s="88">
        <f>'Data #4'!W48</f>
        <v>20</v>
      </c>
      <c r="F46" s="88">
        <f>'Data #5'!W48</f>
        <v>20</v>
      </c>
      <c r="H46" s="20">
        <v>1120</v>
      </c>
      <c r="I46" s="88">
        <f>'Data #1'!AH48</f>
        <v>92.71</v>
      </c>
      <c r="J46" s="88">
        <f>'Data #2'!AH48</f>
        <v>20</v>
      </c>
      <c r="K46" s="88">
        <f>'Data #3'!AH48</f>
        <v>20</v>
      </c>
      <c r="L46" s="88">
        <f>'Data #4'!AH48</f>
        <v>20</v>
      </c>
      <c r="M46" s="88">
        <f>'Data #5'!AH48</f>
        <v>20</v>
      </c>
      <c r="O46">
        <v>1120</v>
      </c>
      <c r="P46">
        <f>MAX('Data #1'!C48:E48)</f>
        <v>-31.86</v>
      </c>
      <c r="Q46">
        <f>MAX('Data #2'!C48:E48)</f>
        <v>0</v>
      </c>
      <c r="R46">
        <f>MAX('Data #3'!C48:E48)</f>
        <v>0</v>
      </c>
      <c r="S46">
        <f>MAX('Data #4'!C48:E48)</f>
        <v>0</v>
      </c>
      <c r="T46">
        <f>MAX('Data #5'!C48:E48)</f>
        <v>0</v>
      </c>
      <c r="U46" s="88">
        <f t="shared" si="16"/>
        <v>-6.3719999999999999</v>
      </c>
      <c r="V46" s="88">
        <f t="shared" si="17"/>
        <v>14.24822515262866</v>
      </c>
      <c r="W46" s="88">
        <v>-10</v>
      </c>
      <c r="X46" s="92">
        <f t="shared" si="4"/>
        <v>0.399505136172984</v>
      </c>
      <c r="Y46" s="88">
        <v>-15</v>
      </c>
      <c r="Z46" s="92">
        <f t="shared" si="5"/>
        <v>0.27240710348871655</v>
      </c>
      <c r="AB46">
        <v>1120</v>
      </c>
      <c r="AC46">
        <f>MAX('Data #1'!F48:H48)</f>
        <v>-23.05</v>
      </c>
      <c r="AD46">
        <f>MAX('Data #2'!F48:H48)</f>
        <v>0</v>
      </c>
      <c r="AE46">
        <f>MAX('Data #3'!F48:H48)</f>
        <v>0</v>
      </c>
      <c r="AF46">
        <f>MAX('Data #4'!F48:H48)</f>
        <v>0</v>
      </c>
      <c r="AG46">
        <f>MAX('Data #5'!F48:H48)</f>
        <v>0</v>
      </c>
      <c r="AH46" s="88">
        <f t="shared" si="6"/>
        <v>-4.6100000000000003</v>
      </c>
      <c r="AI46" s="88">
        <f t="shared" si="7"/>
        <v>10.30827337627403</v>
      </c>
      <c r="AJ46" s="88">
        <v>-10</v>
      </c>
      <c r="AK46" s="92">
        <f t="shared" si="8"/>
        <v>0.30052854352291147</v>
      </c>
      <c r="AL46" s="88">
        <v>-15</v>
      </c>
      <c r="AM46" s="92">
        <f t="shared" si="9"/>
        <v>0.15674445296157336</v>
      </c>
      <c r="AP46">
        <v>1120</v>
      </c>
      <c r="AQ46">
        <f>MAX('Data #1'!AU48:AW48)</f>
        <v>0</v>
      </c>
      <c r="AR46">
        <f>MAX('Data #2'!AU48:AW48)</f>
        <v>0</v>
      </c>
      <c r="AS46">
        <f>MAX('Data #3'!AU48:AW48)</f>
        <v>0</v>
      </c>
      <c r="AT46">
        <f>MAX('Data #4'!AU48:AW48)</f>
        <v>0</v>
      </c>
      <c r="AU46">
        <f>MAX('Data #5'!AU48:AW48)</f>
        <v>0</v>
      </c>
      <c r="AV46" s="88">
        <f t="shared" si="2"/>
        <v>0</v>
      </c>
      <c r="AW46" s="88">
        <f t="shared" si="3"/>
        <v>0</v>
      </c>
      <c r="AX46" s="88">
        <v>-10</v>
      </c>
      <c r="AY46" s="92" t="e">
        <f t="shared" si="10"/>
        <v>#NUM!</v>
      </c>
      <c r="AZ46" s="88">
        <v>-15</v>
      </c>
      <c r="BA46" s="92" t="e">
        <f t="shared" si="11"/>
        <v>#NUM!</v>
      </c>
      <c r="BC46">
        <v>1120</v>
      </c>
      <c r="BD46">
        <f>MAX('Data #1'!AX48:AZ48)</f>
        <v>0</v>
      </c>
      <c r="BE46">
        <f>MAX('Data #2'!AX48:AZ48)</f>
        <v>0</v>
      </c>
      <c r="BF46">
        <f>MAX('Data #3'!AX48:AZ48)</f>
        <v>0</v>
      </c>
      <c r="BG46">
        <f>MAX('Data #4'!AX48:AZ48)</f>
        <v>0</v>
      </c>
      <c r="BH46">
        <f>MAX('Data #5'!AX48:AZ48)</f>
        <v>0</v>
      </c>
      <c r="BI46" s="88">
        <f t="shared" si="12"/>
        <v>0</v>
      </c>
      <c r="BJ46" s="88">
        <f t="shared" si="13"/>
        <v>0</v>
      </c>
      <c r="BK46" s="88">
        <v>-10</v>
      </c>
      <c r="BL46" s="92" t="e">
        <f t="shared" si="14"/>
        <v>#NUM!</v>
      </c>
      <c r="BM46" s="88">
        <v>-15</v>
      </c>
      <c r="BN46" s="92" t="e">
        <f t="shared" si="15"/>
        <v>#NUM!</v>
      </c>
    </row>
    <row r="47" spans="1:66">
      <c r="A47" s="19">
        <v>1180</v>
      </c>
      <c r="B47" s="88">
        <f>'Data #1'!W49</f>
        <v>111.00333333333333</v>
      </c>
      <c r="C47" s="88">
        <f>'Data #2'!W49</f>
        <v>20</v>
      </c>
      <c r="D47" s="88">
        <f>'Data #3'!W49</f>
        <v>20</v>
      </c>
      <c r="E47" s="88">
        <f>'Data #4'!W49</f>
        <v>20</v>
      </c>
      <c r="F47" s="88">
        <f>'Data #5'!W49</f>
        <v>20</v>
      </c>
      <c r="H47" s="20">
        <v>1180</v>
      </c>
      <c r="I47" s="88">
        <f>'Data #1'!AH49</f>
        <v>92.756666666666661</v>
      </c>
      <c r="J47" s="88">
        <f>'Data #2'!AH49</f>
        <v>20</v>
      </c>
      <c r="K47" s="88">
        <f>'Data #3'!AH49</f>
        <v>20</v>
      </c>
      <c r="L47" s="88">
        <f>'Data #4'!AH49</f>
        <v>20</v>
      </c>
      <c r="M47" s="88">
        <f>'Data #5'!AH49</f>
        <v>20</v>
      </c>
      <c r="O47">
        <v>1180</v>
      </c>
      <c r="P47">
        <f>MAX('Data #1'!C49:E49)</f>
        <v>-32.08</v>
      </c>
      <c r="Q47">
        <f>MAX('Data #2'!C49:E49)</f>
        <v>0</v>
      </c>
      <c r="R47">
        <f>MAX('Data #3'!C49:E49)</f>
        <v>0</v>
      </c>
      <c r="S47">
        <f>MAX('Data #4'!C49:E49)</f>
        <v>0</v>
      </c>
      <c r="T47">
        <f>MAX('Data #5'!C49:E49)</f>
        <v>0</v>
      </c>
      <c r="U47" s="88">
        <f t="shared" si="16"/>
        <v>-6.4159999999999995</v>
      </c>
      <c r="V47" s="88">
        <f t="shared" si="17"/>
        <v>14.34661214363865</v>
      </c>
      <c r="W47" s="88">
        <v>-10</v>
      </c>
      <c r="X47" s="92">
        <f t="shared" si="4"/>
        <v>0.40136518026539214</v>
      </c>
      <c r="Y47" s="88">
        <v>-15</v>
      </c>
      <c r="Z47" s="92">
        <f t="shared" si="5"/>
        <v>0.27481007779068667</v>
      </c>
      <c r="AB47">
        <v>1180</v>
      </c>
      <c r="AC47">
        <f>MAX('Data #1'!F49:H49)</f>
        <v>-23.87</v>
      </c>
      <c r="AD47">
        <f>MAX('Data #2'!F49:H49)</f>
        <v>0</v>
      </c>
      <c r="AE47">
        <f>MAX('Data #3'!F49:H49)</f>
        <v>0</v>
      </c>
      <c r="AF47">
        <f>MAX('Data #4'!F49:H49)</f>
        <v>0</v>
      </c>
      <c r="AG47">
        <f>MAX('Data #5'!F49:H49)</f>
        <v>0</v>
      </c>
      <c r="AH47" s="88">
        <f t="shared" si="6"/>
        <v>-4.774</v>
      </c>
      <c r="AI47" s="88">
        <f t="shared" si="7"/>
        <v>10.674988524583997</v>
      </c>
      <c r="AJ47" s="88">
        <v>-10</v>
      </c>
      <c r="AK47" s="92">
        <f t="shared" si="8"/>
        <v>0.31222421441340975</v>
      </c>
      <c r="AL47" s="88">
        <v>-15</v>
      </c>
      <c r="AM47" s="92">
        <f t="shared" si="9"/>
        <v>0.16904647210297288</v>
      </c>
      <c r="AP47">
        <v>1180</v>
      </c>
      <c r="AQ47">
        <f>MAX('Data #1'!AU49:AW49)</f>
        <v>0</v>
      </c>
      <c r="AR47">
        <f>MAX('Data #2'!AU49:AW49)</f>
        <v>0</v>
      </c>
      <c r="AS47">
        <f>MAX('Data #3'!AU49:AW49)</f>
        <v>0</v>
      </c>
      <c r="AT47">
        <f>MAX('Data #4'!AU49:AW49)</f>
        <v>0</v>
      </c>
      <c r="AU47">
        <f>MAX('Data #5'!AU49:AW49)</f>
        <v>0</v>
      </c>
      <c r="AV47" s="88">
        <f t="shared" si="2"/>
        <v>0</v>
      </c>
      <c r="AW47" s="88">
        <f t="shared" si="3"/>
        <v>0</v>
      </c>
      <c r="AX47" s="88">
        <v>-10</v>
      </c>
      <c r="AY47" s="92" t="e">
        <f t="shared" si="10"/>
        <v>#NUM!</v>
      </c>
      <c r="AZ47" s="88">
        <v>-15</v>
      </c>
      <c r="BA47" s="92" t="e">
        <f t="shared" si="11"/>
        <v>#NUM!</v>
      </c>
      <c r="BC47">
        <v>1180</v>
      </c>
      <c r="BD47">
        <f>MAX('Data #1'!AX49:AZ49)</f>
        <v>0</v>
      </c>
      <c r="BE47">
        <f>MAX('Data #2'!AX49:AZ49)</f>
        <v>0</v>
      </c>
      <c r="BF47">
        <f>MAX('Data #3'!AX49:AZ49)</f>
        <v>0</v>
      </c>
      <c r="BG47">
        <f>MAX('Data #4'!AX49:AZ49)</f>
        <v>0</v>
      </c>
      <c r="BH47">
        <f>MAX('Data #5'!AX49:AZ49)</f>
        <v>0</v>
      </c>
      <c r="BI47" s="88">
        <f t="shared" si="12"/>
        <v>0</v>
      </c>
      <c r="BJ47" s="88">
        <f t="shared" si="13"/>
        <v>0</v>
      </c>
      <c r="BK47" s="88">
        <v>-10</v>
      </c>
      <c r="BL47" s="92" t="e">
        <f t="shared" si="14"/>
        <v>#NUM!</v>
      </c>
      <c r="BM47" s="88">
        <v>-15</v>
      </c>
      <c r="BN47" s="92" t="e">
        <f t="shared" si="15"/>
        <v>#NUM!</v>
      </c>
    </row>
    <row r="48" spans="1:66">
      <c r="A48" s="19">
        <v>1250</v>
      </c>
      <c r="B48" s="88">
        <f>'Data #1'!W50</f>
        <v>108.52333333333331</v>
      </c>
      <c r="C48" s="88">
        <f>'Data #2'!W50</f>
        <v>20</v>
      </c>
      <c r="D48" s="88">
        <f>'Data #3'!W50</f>
        <v>20</v>
      </c>
      <c r="E48" s="88">
        <f>'Data #4'!W50</f>
        <v>20</v>
      </c>
      <c r="F48" s="88">
        <f>'Data #5'!W50</f>
        <v>20</v>
      </c>
      <c r="H48" s="20">
        <v>1250</v>
      </c>
      <c r="I48" s="88">
        <f>'Data #1'!AH50</f>
        <v>93.233333333333334</v>
      </c>
      <c r="J48" s="88">
        <f>'Data #2'!AH50</f>
        <v>20</v>
      </c>
      <c r="K48" s="88">
        <f>'Data #3'!AH50</f>
        <v>20</v>
      </c>
      <c r="L48" s="88">
        <f>'Data #4'!AH50</f>
        <v>20</v>
      </c>
      <c r="M48" s="88">
        <f>'Data #5'!AH50</f>
        <v>20</v>
      </c>
      <c r="O48">
        <v>1250</v>
      </c>
      <c r="P48">
        <f>MAX('Data #1'!C50:E50)</f>
        <v>-32.880000000000003</v>
      </c>
      <c r="Q48">
        <f>MAX('Data #2'!C50:E50)</f>
        <v>0</v>
      </c>
      <c r="R48">
        <f>MAX('Data #3'!C50:E50)</f>
        <v>0</v>
      </c>
      <c r="S48">
        <f>MAX('Data #4'!C50:E50)</f>
        <v>0</v>
      </c>
      <c r="T48">
        <f>MAX('Data #5'!C50:E50)</f>
        <v>0</v>
      </c>
      <c r="U48" s="88">
        <f t="shared" si="16"/>
        <v>-6.5760000000000005</v>
      </c>
      <c r="V48" s="88">
        <f t="shared" si="17"/>
        <v>14.704383020038618</v>
      </c>
      <c r="W48" s="88">
        <v>-10</v>
      </c>
      <c r="X48" s="92">
        <f t="shared" si="4"/>
        <v>0.40793671376581192</v>
      </c>
      <c r="Y48" s="88">
        <v>-15</v>
      </c>
      <c r="Z48" s="92">
        <f t="shared" si="5"/>
        <v>0.28335944951801678</v>
      </c>
      <c r="AB48">
        <v>1250</v>
      </c>
      <c r="AC48">
        <f>MAX('Data #1'!F50:H50)</f>
        <v>-24.89</v>
      </c>
      <c r="AD48">
        <f>MAX('Data #2'!F50:H50)</f>
        <v>0</v>
      </c>
      <c r="AE48">
        <f>MAX('Data #3'!F50:H50)</f>
        <v>0</v>
      </c>
      <c r="AF48">
        <f>MAX('Data #4'!F50:H50)</f>
        <v>0</v>
      </c>
      <c r="AG48">
        <f>MAX('Data #5'!F50:H50)</f>
        <v>0</v>
      </c>
      <c r="AH48" s="88">
        <f t="shared" si="6"/>
        <v>-4.9779999999999998</v>
      </c>
      <c r="AI48" s="88">
        <f t="shared" si="7"/>
        <v>11.131146391993953</v>
      </c>
      <c r="AJ48" s="88">
        <v>-10</v>
      </c>
      <c r="AK48" s="92">
        <f t="shared" si="8"/>
        <v>0.32593478765273215</v>
      </c>
      <c r="AL48" s="88">
        <v>-15</v>
      </c>
      <c r="AM48" s="92">
        <f t="shared" si="9"/>
        <v>0.18396528132830073</v>
      </c>
      <c r="AP48">
        <v>1250</v>
      </c>
      <c r="AQ48">
        <f>MAX('Data #1'!AU50:AW50)</f>
        <v>0</v>
      </c>
      <c r="AR48">
        <f>MAX('Data #2'!AU50:AW50)</f>
        <v>0</v>
      </c>
      <c r="AS48">
        <f>MAX('Data #3'!AU50:AW50)</f>
        <v>0</v>
      </c>
      <c r="AT48">
        <f>MAX('Data #4'!AU50:AW50)</f>
        <v>0</v>
      </c>
      <c r="AU48">
        <f>MAX('Data #5'!AU50:AW50)</f>
        <v>0</v>
      </c>
      <c r="AV48" s="88">
        <f t="shared" si="2"/>
        <v>0</v>
      </c>
      <c r="AW48" s="88">
        <f t="shared" si="3"/>
        <v>0</v>
      </c>
      <c r="AX48" s="88">
        <v>-10</v>
      </c>
      <c r="AY48" s="92" t="e">
        <f t="shared" si="10"/>
        <v>#NUM!</v>
      </c>
      <c r="AZ48" s="88">
        <v>-15</v>
      </c>
      <c r="BA48" s="92" t="e">
        <f t="shared" si="11"/>
        <v>#NUM!</v>
      </c>
      <c r="BC48">
        <v>1250</v>
      </c>
      <c r="BD48">
        <f>MAX('Data #1'!AX50:AZ50)</f>
        <v>0</v>
      </c>
      <c r="BE48">
        <f>MAX('Data #2'!AX50:AZ50)</f>
        <v>0</v>
      </c>
      <c r="BF48">
        <f>MAX('Data #3'!AX50:AZ50)</f>
        <v>0</v>
      </c>
      <c r="BG48">
        <f>MAX('Data #4'!AX50:AZ50)</f>
        <v>0</v>
      </c>
      <c r="BH48">
        <f>MAX('Data #5'!AX50:AZ50)</f>
        <v>0</v>
      </c>
      <c r="BI48" s="88">
        <f t="shared" si="12"/>
        <v>0</v>
      </c>
      <c r="BJ48" s="88">
        <f t="shared" si="13"/>
        <v>0</v>
      </c>
      <c r="BK48" s="88">
        <v>-10</v>
      </c>
      <c r="BL48" s="92" t="e">
        <f t="shared" si="14"/>
        <v>#NUM!</v>
      </c>
      <c r="BM48" s="88">
        <v>-15</v>
      </c>
      <c r="BN48" s="92" t="e">
        <f t="shared" si="15"/>
        <v>#NUM!</v>
      </c>
    </row>
    <row r="49" spans="1:66">
      <c r="A49" s="19">
        <v>1320</v>
      </c>
      <c r="B49" s="88">
        <f>'Data #1'!W51</f>
        <v>107.33</v>
      </c>
      <c r="C49" s="88">
        <f>'Data #2'!W51</f>
        <v>20</v>
      </c>
      <c r="D49" s="88">
        <f>'Data #3'!W51</f>
        <v>20</v>
      </c>
      <c r="E49" s="88">
        <f>'Data #4'!W51</f>
        <v>20</v>
      </c>
      <c r="F49" s="88">
        <f>'Data #5'!W51</f>
        <v>20</v>
      </c>
      <c r="H49" s="20">
        <v>1320</v>
      </c>
      <c r="I49" s="88">
        <f>'Data #1'!AH51</f>
        <v>93.766666666666666</v>
      </c>
      <c r="J49" s="88">
        <f>'Data #2'!AH51</f>
        <v>20</v>
      </c>
      <c r="K49" s="88">
        <f>'Data #3'!AH51</f>
        <v>20</v>
      </c>
      <c r="L49" s="88">
        <f>'Data #4'!AH51</f>
        <v>20</v>
      </c>
      <c r="M49" s="88">
        <f>'Data #5'!AH51</f>
        <v>20</v>
      </c>
      <c r="O49">
        <v>1320</v>
      </c>
      <c r="P49">
        <f>MAX('Data #1'!C51:E51)</f>
        <v>-34</v>
      </c>
      <c r="Q49">
        <f>MAX('Data #2'!C51:E51)</f>
        <v>0</v>
      </c>
      <c r="R49">
        <f>MAX('Data #3'!C51:E51)</f>
        <v>0</v>
      </c>
      <c r="S49">
        <f>MAX('Data #4'!C51:E51)</f>
        <v>0</v>
      </c>
      <c r="T49">
        <f>MAX('Data #5'!C51:E51)</f>
        <v>0</v>
      </c>
      <c r="U49" s="88">
        <f t="shared" si="16"/>
        <v>-6.8</v>
      </c>
      <c r="V49" s="88">
        <f t="shared" si="17"/>
        <v>15.20526224699857</v>
      </c>
      <c r="W49" s="88">
        <v>-10</v>
      </c>
      <c r="X49" s="92">
        <f t="shared" si="4"/>
        <v>0.41665688715254512</v>
      </c>
      <c r="Y49" s="88">
        <v>-15</v>
      </c>
      <c r="Z49" s="92">
        <f t="shared" si="5"/>
        <v>0.29484442469567945</v>
      </c>
      <c r="AB49">
        <v>1320</v>
      </c>
      <c r="AC49">
        <f>MAX('Data #1'!F51:H51)</f>
        <v>-25.59</v>
      </c>
      <c r="AD49">
        <f>MAX('Data #2'!F51:H51)</f>
        <v>0</v>
      </c>
      <c r="AE49">
        <f>MAX('Data #3'!F51:H51)</f>
        <v>0</v>
      </c>
      <c r="AF49">
        <f>MAX('Data #4'!F51:H51)</f>
        <v>0</v>
      </c>
      <c r="AG49">
        <f>MAX('Data #5'!F51:H51)</f>
        <v>0</v>
      </c>
      <c r="AH49" s="88">
        <f t="shared" si="6"/>
        <v>-5.1180000000000003</v>
      </c>
      <c r="AI49" s="88">
        <f t="shared" si="7"/>
        <v>11.444195908843925</v>
      </c>
      <c r="AJ49" s="88">
        <v>-10</v>
      </c>
      <c r="AK49" s="92">
        <f t="shared" si="8"/>
        <v>0.33483833988008421</v>
      </c>
      <c r="AL49" s="88">
        <v>-15</v>
      </c>
      <c r="AM49" s="92">
        <f t="shared" si="9"/>
        <v>0.19393282643763909</v>
      </c>
      <c r="AP49">
        <v>1320</v>
      </c>
      <c r="AQ49">
        <f>MAX('Data #1'!AU51:AW51)</f>
        <v>0</v>
      </c>
      <c r="AR49">
        <f>MAX('Data #2'!AU51:AW51)</f>
        <v>0</v>
      </c>
      <c r="AS49">
        <f>MAX('Data #3'!AU51:AW51)</f>
        <v>0</v>
      </c>
      <c r="AT49">
        <f>MAX('Data #4'!AU51:AW51)</f>
        <v>0</v>
      </c>
      <c r="AU49">
        <f>MAX('Data #5'!AU51:AW51)</f>
        <v>0</v>
      </c>
      <c r="AV49" s="88">
        <f t="shared" si="2"/>
        <v>0</v>
      </c>
      <c r="AW49" s="88">
        <f t="shared" si="3"/>
        <v>0</v>
      </c>
      <c r="AX49" s="88">
        <v>-10</v>
      </c>
      <c r="AY49" s="92" t="e">
        <f t="shared" si="10"/>
        <v>#NUM!</v>
      </c>
      <c r="AZ49" s="88">
        <v>-15</v>
      </c>
      <c r="BA49" s="92" t="e">
        <f t="shared" si="11"/>
        <v>#NUM!</v>
      </c>
      <c r="BC49">
        <v>1320</v>
      </c>
      <c r="BD49">
        <f>MAX('Data #1'!AX51:AZ51)</f>
        <v>0</v>
      </c>
      <c r="BE49">
        <f>MAX('Data #2'!AX51:AZ51)</f>
        <v>0</v>
      </c>
      <c r="BF49">
        <f>MAX('Data #3'!AX51:AZ51)</f>
        <v>0</v>
      </c>
      <c r="BG49">
        <f>MAX('Data #4'!AX51:AZ51)</f>
        <v>0</v>
      </c>
      <c r="BH49">
        <f>MAX('Data #5'!AX51:AZ51)</f>
        <v>0</v>
      </c>
      <c r="BI49" s="88">
        <f t="shared" si="12"/>
        <v>0</v>
      </c>
      <c r="BJ49" s="88">
        <f t="shared" si="13"/>
        <v>0</v>
      </c>
      <c r="BK49" s="88">
        <v>-10</v>
      </c>
      <c r="BL49" s="92" t="e">
        <f t="shared" si="14"/>
        <v>#NUM!</v>
      </c>
      <c r="BM49" s="88">
        <v>-15</v>
      </c>
      <c r="BN49" s="92" t="e">
        <f t="shared" si="15"/>
        <v>#NUM!</v>
      </c>
    </row>
    <row r="50" spans="1:66">
      <c r="A50" s="19">
        <v>1400</v>
      </c>
      <c r="B50" s="88">
        <f>'Data #1'!W52</f>
        <v>110.47666666666665</v>
      </c>
      <c r="C50" s="88">
        <f>'Data #2'!W52</f>
        <v>20</v>
      </c>
      <c r="D50" s="88">
        <f>'Data #3'!W52</f>
        <v>20</v>
      </c>
      <c r="E50" s="88">
        <f>'Data #4'!W52</f>
        <v>20</v>
      </c>
      <c r="F50" s="88">
        <f>'Data #5'!W52</f>
        <v>20</v>
      </c>
      <c r="H50" s="20">
        <v>1400</v>
      </c>
      <c r="I50" s="88">
        <f>'Data #1'!AH52</f>
        <v>94.036666666666676</v>
      </c>
      <c r="J50" s="88">
        <f>'Data #2'!AH52</f>
        <v>20</v>
      </c>
      <c r="K50" s="88">
        <f>'Data #3'!AH52</f>
        <v>20</v>
      </c>
      <c r="L50" s="88">
        <f>'Data #4'!AH52</f>
        <v>20</v>
      </c>
      <c r="M50" s="88">
        <f>'Data #5'!AH52</f>
        <v>20</v>
      </c>
      <c r="O50">
        <v>1400</v>
      </c>
      <c r="P50">
        <f>MAX('Data #1'!C52:E52)</f>
        <v>-35.33</v>
      </c>
      <c r="Q50">
        <f>MAX('Data #2'!C52:E52)</f>
        <v>0</v>
      </c>
      <c r="R50">
        <f>MAX('Data #3'!C52:E52)</f>
        <v>0</v>
      </c>
      <c r="S50">
        <f>MAX('Data #4'!C52:E52)</f>
        <v>0</v>
      </c>
      <c r="T50">
        <f>MAX('Data #5'!C52:E52)</f>
        <v>0</v>
      </c>
      <c r="U50" s="88">
        <f t="shared" si="16"/>
        <v>-7.0659999999999998</v>
      </c>
      <c r="V50" s="88">
        <f t="shared" si="17"/>
        <v>15.800056329013513</v>
      </c>
      <c r="W50" s="88">
        <v>-10</v>
      </c>
      <c r="X50" s="92">
        <f t="shared" si="4"/>
        <v>0.42634176283053221</v>
      </c>
      <c r="Y50" s="88">
        <v>-15</v>
      </c>
      <c r="Z50" s="92">
        <f t="shared" si="5"/>
        <v>0.30778096740614336</v>
      </c>
      <c r="AB50">
        <v>1400</v>
      </c>
      <c r="AC50">
        <f>MAX('Data #1'!F52:H52)</f>
        <v>-26.23</v>
      </c>
      <c r="AD50">
        <f>MAX('Data #2'!F52:H52)</f>
        <v>0</v>
      </c>
      <c r="AE50">
        <f>MAX('Data #3'!F52:H52)</f>
        <v>0</v>
      </c>
      <c r="AF50">
        <f>MAX('Data #4'!F52:H52)</f>
        <v>0</v>
      </c>
      <c r="AG50">
        <f>MAX('Data #5'!F52:H52)</f>
        <v>0</v>
      </c>
      <c r="AH50" s="88">
        <f t="shared" si="6"/>
        <v>-5.2460000000000004</v>
      </c>
      <c r="AI50" s="88">
        <f t="shared" si="7"/>
        <v>11.730412609963897</v>
      </c>
      <c r="AJ50" s="88">
        <v>-10</v>
      </c>
      <c r="AK50" s="92">
        <f t="shared" si="8"/>
        <v>0.3426390365982549</v>
      </c>
      <c r="AL50" s="88">
        <v>-15</v>
      </c>
      <c r="AM50" s="92">
        <f t="shared" si="9"/>
        <v>0.20284171697182479</v>
      </c>
      <c r="AP50">
        <v>1400</v>
      </c>
      <c r="AQ50">
        <f>MAX('Data #1'!AU52:AW52)</f>
        <v>0</v>
      </c>
      <c r="AR50">
        <f>MAX('Data #2'!AU52:AW52)</f>
        <v>0</v>
      </c>
      <c r="AS50">
        <f>MAX('Data #3'!AU52:AW52)</f>
        <v>0</v>
      </c>
      <c r="AT50">
        <f>MAX('Data #4'!AU52:AW52)</f>
        <v>0</v>
      </c>
      <c r="AU50">
        <f>MAX('Data #5'!AU52:AW52)</f>
        <v>0</v>
      </c>
      <c r="AV50" s="88">
        <f t="shared" si="2"/>
        <v>0</v>
      </c>
      <c r="AW50" s="88">
        <f t="shared" si="3"/>
        <v>0</v>
      </c>
      <c r="AX50" s="88">
        <v>-10</v>
      </c>
      <c r="AY50" s="92" t="e">
        <f t="shared" si="10"/>
        <v>#NUM!</v>
      </c>
      <c r="AZ50" s="88">
        <v>-15</v>
      </c>
      <c r="BA50" s="92" t="e">
        <f t="shared" si="11"/>
        <v>#NUM!</v>
      </c>
      <c r="BC50">
        <v>1400</v>
      </c>
      <c r="BD50">
        <f>MAX('Data #1'!AX52:AZ52)</f>
        <v>0</v>
      </c>
      <c r="BE50">
        <f>MAX('Data #2'!AX52:AZ52)</f>
        <v>0</v>
      </c>
      <c r="BF50">
        <f>MAX('Data #3'!AX52:AZ52)</f>
        <v>0</v>
      </c>
      <c r="BG50">
        <f>MAX('Data #4'!AX52:AZ52)</f>
        <v>0</v>
      </c>
      <c r="BH50">
        <f>MAX('Data #5'!AX52:AZ52)</f>
        <v>0</v>
      </c>
      <c r="BI50" s="88">
        <f t="shared" si="12"/>
        <v>0</v>
      </c>
      <c r="BJ50" s="88">
        <f t="shared" si="13"/>
        <v>0</v>
      </c>
      <c r="BK50" s="88">
        <v>-10</v>
      </c>
      <c r="BL50" s="92" t="e">
        <f t="shared" si="14"/>
        <v>#NUM!</v>
      </c>
      <c r="BM50" s="88">
        <v>-15</v>
      </c>
      <c r="BN50" s="92" t="e">
        <f t="shared" si="15"/>
        <v>#NUM!</v>
      </c>
    </row>
    <row r="51" spans="1:66">
      <c r="A51" s="19">
        <v>1500</v>
      </c>
      <c r="B51" s="88">
        <f>'Data #1'!W53</f>
        <v>109.76666666666667</v>
      </c>
      <c r="C51" s="88">
        <f>'Data #2'!W53</f>
        <v>20</v>
      </c>
      <c r="D51" s="88">
        <f>'Data #3'!W53</f>
        <v>20</v>
      </c>
      <c r="E51" s="88">
        <f>'Data #4'!W53</f>
        <v>20</v>
      </c>
      <c r="F51" s="88">
        <f>'Data #5'!W53</f>
        <v>20</v>
      </c>
      <c r="H51" s="20">
        <v>1500</v>
      </c>
      <c r="I51" s="88">
        <f>'Data #1'!AH53</f>
        <v>93.286666666666676</v>
      </c>
      <c r="J51" s="88">
        <f>'Data #2'!AH53</f>
        <v>20</v>
      </c>
      <c r="K51" s="88">
        <f>'Data #3'!AH53</f>
        <v>20</v>
      </c>
      <c r="L51" s="88">
        <f>'Data #4'!AH53</f>
        <v>20</v>
      </c>
      <c r="M51" s="88">
        <f>'Data #5'!AH53</f>
        <v>20</v>
      </c>
      <c r="O51">
        <v>1500</v>
      </c>
      <c r="P51">
        <f>MAX('Data #1'!C53:E53)</f>
        <v>-34.909999999999997</v>
      </c>
      <c r="Q51">
        <f>MAX('Data #2'!C53:E53)</f>
        <v>0</v>
      </c>
      <c r="R51">
        <f>MAX('Data #3'!C53:E53)</f>
        <v>0</v>
      </c>
      <c r="S51">
        <f>MAX('Data #4'!C53:E53)</f>
        <v>0</v>
      </c>
      <c r="T51">
        <f>MAX('Data #5'!C53:E53)</f>
        <v>0</v>
      </c>
      <c r="U51" s="88">
        <f t="shared" si="16"/>
        <v>-6.9819999999999993</v>
      </c>
      <c r="V51" s="88">
        <f t="shared" si="17"/>
        <v>15.612226618903531</v>
      </c>
      <c r="W51" s="88">
        <v>-10</v>
      </c>
      <c r="X51" s="92">
        <f t="shared" si="4"/>
        <v>0.4233580857399647</v>
      </c>
      <c r="Y51" s="88">
        <v>-15</v>
      </c>
      <c r="Z51" s="92">
        <f t="shared" si="5"/>
        <v>0.30377568483010742</v>
      </c>
      <c r="AB51">
        <v>1500</v>
      </c>
      <c r="AC51">
        <f>MAX('Data #1'!F53:H53)</f>
        <v>-26.68</v>
      </c>
      <c r="AD51">
        <f>MAX('Data #2'!F53:H53)</f>
        <v>0</v>
      </c>
      <c r="AE51">
        <f>MAX('Data #3'!F53:H53)</f>
        <v>0</v>
      </c>
      <c r="AF51">
        <f>MAX('Data #4'!F53:H53)</f>
        <v>0</v>
      </c>
      <c r="AG51">
        <f>MAX('Data #5'!F53:H53)</f>
        <v>0</v>
      </c>
      <c r="AH51" s="88">
        <f t="shared" si="6"/>
        <v>-5.3360000000000003</v>
      </c>
      <c r="AI51" s="88">
        <f t="shared" si="7"/>
        <v>11.931658727938878</v>
      </c>
      <c r="AJ51" s="88">
        <v>-10</v>
      </c>
      <c r="AK51" s="92">
        <f t="shared" si="8"/>
        <v>0.34793822225783388</v>
      </c>
      <c r="AL51" s="88">
        <v>-15</v>
      </c>
      <c r="AM51" s="92">
        <f t="shared" si="9"/>
        <v>0.20898558830947644</v>
      </c>
      <c r="AP51">
        <v>1500</v>
      </c>
      <c r="AQ51">
        <f>MAX('Data #1'!AU53:AW53)</f>
        <v>0</v>
      </c>
      <c r="AR51">
        <f>MAX('Data #2'!AU53:AW53)</f>
        <v>0</v>
      </c>
      <c r="AS51">
        <f>MAX('Data #3'!AU53:AW53)</f>
        <v>0</v>
      </c>
      <c r="AT51">
        <f>MAX('Data #4'!AU53:AW53)</f>
        <v>0</v>
      </c>
      <c r="AU51">
        <f>MAX('Data #5'!AU53:AW53)</f>
        <v>0</v>
      </c>
      <c r="AV51" s="88">
        <f t="shared" si="2"/>
        <v>0</v>
      </c>
      <c r="AW51" s="88">
        <f t="shared" si="3"/>
        <v>0</v>
      </c>
      <c r="AX51" s="88">
        <v>-10</v>
      </c>
      <c r="AY51" s="92" t="e">
        <f t="shared" si="10"/>
        <v>#NUM!</v>
      </c>
      <c r="AZ51" s="88">
        <v>-15</v>
      </c>
      <c r="BA51" s="92" t="e">
        <f t="shared" si="11"/>
        <v>#NUM!</v>
      </c>
      <c r="BC51">
        <v>1500</v>
      </c>
      <c r="BD51">
        <f>MAX('Data #1'!AX53:AZ53)</f>
        <v>0</v>
      </c>
      <c r="BE51">
        <f>MAX('Data #2'!AX53:AZ53)</f>
        <v>0</v>
      </c>
      <c r="BF51">
        <f>MAX('Data #3'!AX53:AZ53)</f>
        <v>0</v>
      </c>
      <c r="BG51">
        <f>MAX('Data #4'!AX53:AZ53)</f>
        <v>0</v>
      </c>
      <c r="BH51">
        <f>MAX('Data #5'!AX53:AZ53)</f>
        <v>0</v>
      </c>
      <c r="BI51" s="88">
        <f t="shared" si="12"/>
        <v>0</v>
      </c>
      <c r="BJ51" s="88">
        <f t="shared" si="13"/>
        <v>0</v>
      </c>
      <c r="BK51" s="88">
        <v>-10</v>
      </c>
      <c r="BL51" s="92" t="e">
        <f t="shared" si="14"/>
        <v>#NUM!</v>
      </c>
      <c r="BM51" s="88">
        <v>-15</v>
      </c>
      <c r="BN51" s="92" t="e">
        <f t="shared" si="15"/>
        <v>#NUM!</v>
      </c>
    </row>
    <row r="52" spans="1:66">
      <c r="A52" s="19">
        <v>1600</v>
      </c>
      <c r="B52" s="88">
        <f>'Data #1'!W54</f>
        <v>109.06666666666666</v>
      </c>
      <c r="C52" s="88">
        <f>'Data #2'!W54</f>
        <v>20</v>
      </c>
      <c r="D52" s="88">
        <f>'Data #3'!W54</f>
        <v>20</v>
      </c>
      <c r="E52" s="88">
        <f>'Data #4'!W54</f>
        <v>20</v>
      </c>
      <c r="F52" s="88">
        <f>'Data #5'!W54</f>
        <v>20</v>
      </c>
      <c r="H52" s="20">
        <v>1600</v>
      </c>
      <c r="I52" s="88">
        <f>'Data #1'!AH54</f>
        <v>93.373333333333335</v>
      </c>
      <c r="J52" s="88">
        <f>'Data #2'!AH54</f>
        <v>20</v>
      </c>
      <c r="K52" s="88">
        <f>'Data #3'!AH54</f>
        <v>20</v>
      </c>
      <c r="L52" s="88">
        <f>'Data #4'!AH54</f>
        <v>20</v>
      </c>
      <c r="M52" s="88">
        <f>'Data #5'!AH54</f>
        <v>20</v>
      </c>
      <c r="O52">
        <v>1600</v>
      </c>
      <c r="P52">
        <f>MAX('Data #1'!C54:E54)</f>
        <v>-34.57</v>
      </c>
      <c r="Q52">
        <f>MAX('Data #2'!C54:E54)</f>
        <v>0</v>
      </c>
      <c r="R52">
        <f>MAX('Data #3'!C54:E54)</f>
        <v>0</v>
      </c>
      <c r="S52">
        <f>MAX('Data #4'!C54:E54)</f>
        <v>0</v>
      </c>
      <c r="T52">
        <f>MAX('Data #5'!C54:E54)</f>
        <v>0</v>
      </c>
      <c r="U52" s="88">
        <f t="shared" si="16"/>
        <v>-6.9139999999999997</v>
      </c>
      <c r="V52" s="88">
        <f t="shared" si="17"/>
        <v>15.460173996433547</v>
      </c>
      <c r="W52" s="88">
        <v>-10</v>
      </c>
      <c r="X52" s="92">
        <f t="shared" si="4"/>
        <v>0.42089293801685496</v>
      </c>
      <c r="Y52" s="88">
        <v>-15</v>
      </c>
      <c r="Z52" s="92">
        <f t="shared" si="5"/>
        <v>0.30047972217163632</v>
      </c>
      <c r="AB52">
        <v>1600</v>
      </c>
      <c r="AC52">
        <f>MAX('Data #1'!F54:H54)</f>
        <v>-27.33</v>
      </c>
      <c r="AD52">
        <f>MAX('Data #2'!F54:H54)</f>
        <v>0</v>
      </c>
      <c r="AE52">
        <f>MAX('Data #3'!F54:H54)</f>
        <v>0</v>
      </c>
      <c r="AF52">
        <f>MAX('Data #4'!F54:H54)</f>
        <v>0</v>
      </c>
      <c r="AG52">
        <f>MAX('Data #5'!F54:H54)</f>
        <v>0</v>
      </c>
      <c r="AH52" s="88">
        <f t="shared" si="6"/>
        <v>-5.4659999999999993</v>
      </c>
      <c r="AI52" s="88">
        <f t="shared" si="7"/>
        <v>12.22234756501385</v>
      </c>
      <c r="AJ52" s="88">
        <v>-10</v>
      </c>
      <c r="AK52" s="92">
        <f t="shared" si="8"/>
        <v>0.35533372492473592</v>
      </c>
      <c r="AL52" s="88">
        <v>-15</v>
      </c>
      <c r="AM52" s="92">
        <f t="shared" si="9"/>
        <v>0.21768173916306874</v>
      </c>
      <c r="AP52">
        <v>1600</v>
      </c>
      <c r="AQ52">
        <f>MAX('Data #1'!AU54:AW54)</f>
        <v>0</v>
      </c>
      <c r="AR52">
        <f>MAX('Data #2'!AU54:AW54)</f>
        <v>0</v>
      </c>
      <c r="AS52">
        <f>MAX('Data #3'!AU54:AW54)</f>
        <v>0</v>
      </c>
      <c r="AT52">
        <f>MAX('Data #4'!AU54:AW54)</f>
        <v>0</v>
      </c>
      <c r="AU52">
        <f>MAX('Data #5'!AU54:AW54)</f>
        <v>0</v>
      </c>
      <c r="AV52" s="88">
        <f t="shared" si="2"/>
        <v>0</v>
      </c>
      <c r="AW52" s="88">
        <f t="shared" si="3"/>
        <v>0</v>
      </c>
      <c r="AX52" s="88">
        <v>-10</v>
      </c>
      <c r="AY52" s="92" t="e">
        <f t="shared" si="10"/>
        <v>#NUM!</v>
      </c>
      <c r="AZ52" s="88">
        <v>-15</v>
      </c>
      <c r="BA52" s="92" t="e">
        <f t="shared" si="11"/>
        <v>#NUM!</v>
      </c>
      <c r="BC52">
        <v>1600</v>
      </c>
      <c r="BD52">
        <f>MAX('Data #1'!AX54:AZ54)</f>
        <v>0</v>
      </c>
      <c r="BE52">
        <f>MAX('Data #2'!AX54:AZ54)</f>
        <v>0</v>
      </c>
      <c r="BF52">
        <f>MAX('Data #3'!AX54:AZ54)</f>
        <v>0</v>
      </c>
      <c r="BG52">
        <f>MAX('Data #4'!AX54:AZ54)</f>
        <v>0</v>
      </c>
      <c r="BH52">
        <f>MAX('Data #5'!AX54:AZ54)</f>
        <v>0</v>
      </c>
      <c r="BI52" s="88">
        <f t="shared" si="12"/>
        <v>0</v>
      </c>
      <c r="BJ52" s="88">
        <f t="shared" si="13"/>
        <v>0</v>
      </c>
      <c r="BK52" s="88">
        <v>-10</v>
      </c>
      <c r="BL52" s="92" t="e">
        <f t="shared" si="14"/>
        <v>#NUM!</v>
      </c>
      <c r="BM52" s="88">
        <v>-15</v>
      </c>
      <c r="BN52" s="92" t="e">
        <f t="shared" si="15"/>
        <v>#NUM!</v>
      </c>
    </row>
    <row r="53" spans="1:66">
      <c r="A53" s="19">
        <v>1700</v>
      </c>
      <c r="B53" s="88">
        <f>'Data #1'!W55</f>
        <v>105.79</v>
      </c>
      <c r="C53" s="88">
        <f>'Data #2'!W55</f>
        <v>20</v>
      </c>
      <c r="D53" s="88">
        <f>'Data #3'!W55</f>
        <v>20</v>
      </c>
      <c r="E53" s="88">
        <f>'Data #4'!W55</f>
        <v>20</v>
      </c>
      <c r="F53" s="88">
        <f>'Data #5'!W55</f>
        <v>20</v>
      </c>
      <c r="H53" s="20">
        <v>1700</v>
      </c>
      <c r="I53" s="88">
        <f>'Data #1'!AH55</f>
        <v>93.410000000000011</v>
      </c>
      <c r="J53" s="88">
        <f>'Data #2'!AH55</f>
        <v>20</v>
      </c>
      <c r="K53" s="88">
        <f>'Data #3'!AH55</f>
        <v>20</v>
      </c>
      <c r="L53" s="88">
        <f>'Data #4'!AH55</f>
        <v>20</v>
      </c>
      <c r="M53" s="88">
        <f>'Data #5'!AH55</f>
        <v>20</v>
      </c>
      <c r="O53">
        <v>1700</v>
      </c>
      <c r="P53">
        <f>MAX('Data #1'!C55:E55)</f>
        <v>-33.880000000000003</v>
      </c>
      <c r="Q53">
        <f>MAX('Data #2'!C55:E55)</f>
        <v>0</v>
      </c>
      <c r="R53">
        <f>MAX('Data #3'!C55:E55)</f>
        <v>0</v>
      </c>
      <c r="S53">
        <f>MAX('Data #4'!C55:E55)</f>
        <v>0</v>
      </c>
      <c r="T53">
        <f>MAX('Data #5'!C55:E55)</f>
        <v>0</v>
      </c>
      <c r="U53" s="88">
        <f t="shared" si="16"/>
        <v>-6.7760000000000007</v>
      </c>
      <c r="V53" s="88">
        <f t="shared" si="17"/>
        <v>15.151596615538576</v>
      </c>
      <c r="W53" s="88">
        <v>-10</v>
      </c>
      <c r="X53" s="92">
        <f t="shared" si="4"/>
        <v>0.41574816825260347</v>
      </c>
      <c r="Y53" s="88">
        <v>-15</v>
      </c>
      <c r="Z53" s="92">
        <f t="shared" si="5"/>
        <v>0.29364027014778926</v>
      </c>
      <c r="AB53">
        <v>1700</v>
      </c>
      <c r="AC53">
        <f>MAX('Data #1'!F55:H55)</f>
        <v>-26.09</v>
      </c>
      <c r="AD53">
        <f>MAX('Data #2'!F55:H55)</f>
        <v>0</v>
      </c>
      <c r="AE53">
        <f>MAX('Data #3'!F55:H55)</f>
        <v>0</v>
      </c>
      <c r="AF53">
        <f>MAX('Data #4'!F55:H55)</f>
        <v>0</v>
      </c>
      <c r="AG53">
        <f>MAX('Data #5'!F55:H55)</f>
        <v>0</v>
      </c>
      <c r="AH53" s="88">
        <f t="shared" si="6"/>
        <v>-5.218</v>
      </c>
      <c r="AI53" s="88">
        <f t="shared" si="7"/>
        <v>11.667802706593903</v>
      </c>
      <c r="AJ53" s="88">
        <v>-10</v>
      </c>
      <c r="AK53" s="92">
        <f t="shared" si="8"/>
        <v>0.34095953123400558</v>
      </c>
      <c r="AL53" s="88">
        <v>-15</v>
      </c>
      <c r="AM53" s="92">
        <f t="shared" si="9"/>
        <v>0.20090992071823119</v>
      </c>
      <c r="AP53">
        <v>1700</v>
      </c>
      <c r="AQ53">
        <f>MAX('Data #1'!AU55:AW55)</f>
        <v>0</v>
      </c>
      <c r="AR53">
        <f>MAX('Data #2'!AU55:AW55)</f>
        <v>0</v>
      </c>
      <c r="AS53">
        <f>MAX('Data #3'!AU55:AW55)</f>
        <v>0</v>
      </c>
      <c r="AT53">
        <f>MAX('Data #4'!AU55:AW55)</f>
        <v>0</v>
      </c>
      <c r="AU53">
        <f>MAX('Data #5'!AU55:AW55)</f>
        <v>0</v>
      </c>
      <c r="AV53" s="88">
        <f t="shared" si="2"/>
        <v>0</v>
      </c>
      <c r="AW53" s="88">
        <f t="shared" si="3"/>
        <v>0</v>
      </c>
      <c r="AX53" s="88">
        <v>-10</v>
      </c>
      <c r="AY53" s="92" t="e">
        <f t="shared" si="10"/>
        <v>#NUM!</v>
      </c>
      <c r="AZ53" s="88">
        <v>-15</v>
      </c>
      <c r="BA53" s="92" t="e">
        <f t="shared" si="11"/>
        <v>#NUM!</v>
      </c>
      <c r="BC53">
        <v>1700</v>
      </c>
      <c r="BD53">
        <f>MAX('Data #1'!AX55:AZ55)</f>
        <v>0</v>
      </c>
      <c r="BE53">
        <f>MAX('Data #2'!AX55:AZ55)</f>
        <v>0</v>
      </c>
      <c r="BF53">
        <f>MAX('Data #3'!AX55:AZ55)</f>
        <v>0</v>
      </c>
      <c r="BG53">
        <f>MAX('Data #4'!AX55:AZ55)</f>
        <v>0</v>
      </c>
      <c r="BH53">
        <f>MAX('Data #5'!AX55:AZ55)</f>
        <v>0</v>
      </c>
      <c r="BI53" s="88">
        <f t="shared" si="12"/>
        <v>0</v>
      </c>
      <c r="BJ53" s="88">
        <f t="shared" si="13"/>
        <v>0</v>
      </c>
      <c r="BK53" s="88">
        <v>-10</v>
      </c>
      <c r="BL53" s="92" t="e">
        <f t="shared" si="14"/>
        <v>#NUM!</v>
      </c>
      <c r="BM53" s="88">
        <v>-15</v>
      </c>
      <c r="BN53" s="92" t="e">
        <f t="shared" si="15"/>
        <v>#NUM!</v>
      </c>
    </row>
    <row r="54" spans="1:66">
      <c r="A54" s="19">
        <v>1800</v>
      </c>
      <c r="B54" s="88">
        <f>'Data #1'!W56</f>
        <v>102.97333333333331</v>
      </c>
      <c r="C54" s="88">
        <f>'Data #2'!W56</f>
        <v>20</v>
      </c>
      <c r="D54" s="88">
        <f>'Data #3'!W56</f>
        <v>20</v>
      </c>
      <c r="E54" s="88">
        <f>'Data #4'!W56</f>
        <v>20</v>
      </c>
      <c r="F54" s="88">
        <f>'Data #5'!W56</f>
        <v>20</v>
      </c>
      <c r="H54" s="20">
        <v>1800</v>
      </c>
      <c r="I54" s="88">
        <f>'Data #1'!AH56</f>
        <v>93.533333333333346</v>
      </c>
      <c r="J54" s="88">
        <f>'Data #2'!AH56</f>
        <v>20</v>
      </c>
      <c r="K54" s="88">
        <f>'Data #3'!AH56</f>
        <v>20</v>
      </c>
      <c r="L54" s="88">
        <f>'Data #4'!AH56</f>
        <v>20</v>
      </c>
      <c r="M54" s="88">
        <f>'Data #5'!AH56</f>
        <v>20</v>
      </c>
      <c r="O54">
        <v>1800</v>
      </c>
      <c r="P54">
        <f>MAX('Data #1'!C56:E56)</f>
        <v>-32.57</v>
      </c>
      <c r="Q54">
        <f>MAX('Data #2'!C56:E56)</f>
        <v>0</v>
      </c>
      <c r="R54">
        <f>MAX('Data #3'!C56:E56)</f>
        <v>0</v>
      </c>
      <c r="S54">
        <f>MAX('Data #4'!C56:E56)</f>
        <v>0</v>
      </c>
      <c r="T54">
        <f>MAX('Data #5'!C56:E56)</f>
        <v>0</v>
      </c>
      <c r="U54" s="88">
        <f t="shared" si="16"/>
        <v>-6.5140000000000002</v>
      </c>
      <c r="V54" s="88">
        <f t="shared" si="17"/>
        <v>14.565746805433632</v>
      </c>
      <c r="W54" s="88">
        <v>-10</v>
      </c>
      <c r="X54" s="92">
        <f t="shared" si="4"/>
        <v>0.40542538948126128</v>
      </c>
      <c r="Y54" s="88">
        <v>-15</v>
      </c>
      <c r="Z54" s="92">
        <f t="shared" si="5"/>
        <v>0.28008139721568004</v>
      </c>
      <c r="AB54">
        <v>1800</v>
      </c>
      <c r="AC54">
        <f>MAX('Data #1'!F56:H56)</f>
        <v>-25.88</v>
      </c>
      <c r="AD54">
        <f>MAX('Data #2'!F56:H56)</f>
        <v>0</v>
      </c>
      <c r="AE54">
        <f>MAX('Data #3'!F56:H56)</f>
        <v>0</v>
      </c>
      <c r="AF54">
        <f>MAX('Data #4'!F56:H56)</f>
        <v>0</v>
      </c>
      <c r="AG54">
        <f>MAX('Data #5'!F56:H56)</f>
        <v>0</v>
      </c>
      <c r="AH54" s="88">
        <f t="shared" si="6"/>
        <v>-5.1760000000000002</v>
      </c>
      <c r="AI54" s="88">
        <f t="shared" si="7"/>
        <v>11.57388785153891</v>
      </c>
      <c r="AJ54" s="88">
        <v>-10</v>
      </c>
      <c r="AK54" s="92">
        <f t="shared" si="8"/>
        <v>0.33841223923748831</v>
      </c>
      <c r="AL54" s="88">
        <v>-15</v>
      </c>
      <c r="AM54" s="92">
        <f t="shared" si="9"/>
        <v>0.19799427570533137</v>
      </c>
      <c r="AP54">
        <v>1800</v>
      </c>
      <c r="AQ54">
        <f>MAX('Data #1'!AU56:AW56)</f>
        <v>0</v>
      </c>
      <c r="AR54">
        <f>MAX('Data #2'!AU56:AW56)</f>
        <v>0</v>
      </c>
      <c r="AS54">
        <f>MAX('Data #3'!AU56:AW56)</f>
        <v>0</v>
      </c>
      <c r="AT54">
        <f>MAX('Data #4'!AU56:AW56)</f>
        <v>0</v>
      </c>
      <c r="AU54">
        <f>MAX('Data #5'!AU56:AW56)</f>
        <v>0</v>
      </c>
      <c r="AV54" s="88">
        <f t="shared" si="2"/>
        <v>0</v>
      </c>
      <c r="AW54" s="88">
        <f t="shared" si="3"/>
        <v>0</v>
      </c>
      <c r="AX54" s="88">
        <v>-10</v>
      </c>
      <c r="AY54" s="92" t="e">
        <f t="shared" si="10"/>
        <v>#NUM!</v>
      </c>
      <c r="AZ54" s="88">
        <v>-15</v>
      </c>
      <c r="BA54" s="92" t="e">
        <f t="shared" si="11"/>
        <v>#NUM!</v>
      </c>
      <c r="BC54">
        <v>1800</v>
      </c>
      <c r="BD54">
        <f>MAX('Data #1'!AX56:AZ56)</f>
        <v>0</v>
      </c>
      <c r="BE54">
        <f>MAX('Data #2'!AX56:AZ56)</f>
        <v>0</v>
      </c>
      <c r="BF54">
        <f>MAX('Data #3'!AX56:AZ56)</f>
        <v>0</v>
      </c>
      <c r="BG54">
        <f>MAX('Data #4'!AX56:AZ56)</f>
        <v>0</v>
      </c>
      <c r="BH54">
        <f>MAX('Data #5'!AX56:AZ56)</f>
        <v>0</v>
      </c>
      <c r="BI54" s="88">
        <f t="shared" si="12"/>
        <v>0</v>
      </c>
      <c r="BJ54" s="88">
        <f t="shared" si="13"/>
        <v>0</v>
      </c>
      <c r="BK54" s="88">
        <v>-10</v>
      </c>
      <c r="BL54" s="92" t="e">
        <f t="shared" si="14"/>
        <v>#NUM!</v>
      </c>
      <c r="BM54" s="88">
        <v>-15</v>
      </c>
      <c r="BN54" s="92" t="e">
        <f t="shared" si="15"/>
        <v>#NUM!</v>
      </c>
    </row>
    <row r="55" spans="1:66">
      <c r="A55" s="19">
        <v>1900</v>
      </c>
      <c r="B55" s="88">
        <f>'Data #1'!W57</f>
        <v>102.09666666666668</v>
      </c>
      <c r="C55" s="88">
        <f>'Data #2'!W57</f>
        <v>20</v>
      </c>
      <c r="D55" s="88">
        <f>'Data #3'!W57</f>
        <v>20</v>
      </c>
      <c r="E55" s="88">
        <f>'Data #4'!W57</f>
        <v>20</v>
      </c>
      <c r="F55" s="88">
        <f>'Data #5'!W57</f>
        <v>20</v>
      </c>
      <c r="H55" s="20">
        <v>1900</v>
      </c>
      <c r="I55" s="88">
        <f>'Data #1'!AH57</f>
        <v>94.27</v>
      </c>
      <c r="J55" s="88">
        <f>'Data #2'!AH57</f>
        <v>20</v>
      </c>
      <c r="K55" s="88">
        <f>'Data #3'!AH57</f>
        <v>20</v>
      </c>
      <c r="L55" s="88">
        <f>'Data #4'!AH57</f>
        <v>20</v>
      </c>
      <c r="M55" s="88">
        <f>'Data #5'!AH57</f>
        <v>20</v>
      </c>
      <c r="O55">
        <v>1900</v>
      </c>
      <c r="P55">
        <f>MAX('Data #1'!C57:E57)</f>
        <v>-30.44</v>
      </c>
      <c r="Q55">
        <f>MAX('Data #2'!C57:E57)</f>
        <v>0</v>
      </c>
      <c r="R55">
        <f>MAX('Data #3'!C57:E57)</f>
        <v>0</v>
      </c>
      <c r="S55">
        <f>MAX('Data #4'!C57:E57)</f>
        <v>0</v>
      </c>
      <c r="T55">
        <f>MAX('Data #5'!C57:E57)</f>
        <v>0</v>
      </c>
      <c r="U55" s="88">
        <f t="shared" si="16"/>
        <v>-6.0880000000000001</v>
      </c>
      <c r="V55" s="88">
        <f t="shared" si="17"/>
        <v>13.613181847018721</v>
      </c>
      <c r="W55" s="88">
        <v>-10</v>
      </c>
      <c r="X55" s="92">
        <f t="shared" si="4"/>
        <v>0.38691507900065031</v>
      </c>
      <c r="Y55" s="88">
        <v>-15</v>
      </c>
      <c r="Z55" s="92">
        <f t="shared" si="5"/>
        <v>0.25634347526311668</v>
      </c>
      <c r="AB55">
        <v>1900</v>
      </c>
      <c r="AC55">
        <f>MAX('Data #1'!F57:H57)</f>
        <v>-25.52</v>
      </c>
      <c r="AD55">
        <f>MAX('Data #2'!F57:H57)</f>
        <v>0</v>
      </c>
      <c r="AE55">
        <f>MAX('Data #3'!F57:H57)</f>
        <v>0</v>
      </c>
      <c r="AF55">
        <f>MAX('Data #4'!F57:H57)</f>
        <v>0</v>
      </c>
      <c r="AG55">
        <f>MAX('Data #5'!F57:H57)</f>
        <v>0</v>
      </c>
      <c r="AH55" s="88">
        <f t="shared" si="6"/>
        <v>-5.1040000000000001</v>
      </c>
      <c r="AI55" s="88">
        <f t="shared" si="7"/>
        <v>11.412890957158925</v>
      </c>
      <c r="AJ55" s="88">
        <v>-10</v>
      </c>
      <c r="AK55" s="92">
        <f t="shared" si="8"/>
        <v>0.33396576409514989</v>
      </c>
      <c r="AL55" s="88">
        <v>-15</v>
      </c>
      <c r="AM55" s="92">
        <f t="shared" si="9"/>
        <v>0.19294643654219476</v>
      </c>
      <c r="AP55">
        <v>1900</v>
      </c>
      <c r="AQ55">
        <f>MAX('Data #1'!AU57:AW57)</f>
        <v>0</v>
      </c>
      <c r="AR55">
        <f>MAX('Data #2'!AU57:AW57)</f>
        <v>0</v>
      </c>
      <c r="AS55">
        <f>MAX('Data #3'!AU57:AW57)</f>
        <v>0</v>
      </c>
      <c r="AT55">
        <f>MAX('Data #4'!AU57:AW57)</f>
        <v>0</v>
      </c>
      <c r="AU55">
        <f>MAX('Data #5'!AU57:AW57)</f>
        <v>0</v>
      </c>
      <c r="AV55" s="88">
        <f t="shared" si="2"/>
        <v>0</v>
      </c>
      <c r="AW55" s="88">
        <f t="shared" si="3"/>
        <v>0</v>
      </c>
      <c r="AX55" s="88">
        <v>-10</v>
      </c>
      <c r="AY55" s="92" t="e">
        <f t="shared" si="10"/>
        <v>#NUM!</v>
      </c>
      <c r="AZ55" s="88">
        <v>-15</v>
      </c>
      <c r="BA55" s="92" t="e">
        <f t="shared" si="11"/>
        <v>#NUM!</v>
      </c>
      <c r="BC55">
        <v>1900</v>
      </c>
      <c r="BD55">
        <f>MAX('Data #1'!AX57:AZ57)</f>
        <v>0</v>
      </c>
      <c r="BE55">
        <f>MAX('Data #2'!AX57:AZ57)</f>
        <v>0</v>
      </c>
      <c r="BF55">
        <f>MAX('Data #3'!AX57:AZ57)</f>
        <v>0</v>
      </c>
      <c r="BG55">
        <f>MAX('Data #4'!AX57:AZ57)</f>
        <v>0</v>
      </c>
      <c r="BH55">
        <f>MAX('Data #5'!AX57:AZ57)</f>
        <v>0</v>
      </c>
      <c r="BI55" s="88">
        <f t="shared" si="12"/>
        <v>0</v>
      </c>
      <c r="BJ55" s="88">
        <f t="shared" si="13"/>
        <v>0</v>
      </c>
      <c r="BK55" s="88">
        <v>-10</v>
      </c>
      <c r="BL55" s="92" t="e">
        <f t="shared" si="14"/>
        <v>#NUM!</v>
      </c>
      <c r="BM55" s="88">
        <v>-15</v>
      </c>
      <c r="BN55" s="92" t="e">
        <f t="shared" si="15"/>
        <v>#NUM!</v>
      </c>
    </row>
    <row r="56" spans="1:66">
      <c r="A56" s="19">
        <v>2000</v>
      </c>
      <c r="B56" s="88">
        <f>'Data #1'!W58</f>
        <v>100.32666666666667</v>
      </c>
      <c r="C56" s="88">
        <f>'Data #2'!W58</f>
        <v>20</v>
      </c>
      <c r="D56" s="88">
        <f>'Data #3'!W58</f>
        <v>20</v>
      </c>
      <c r="E56" s="88">
        <f>'Data #4'!W58</f>
        <v>20</v>
      </c>
      <c r="F56" s="88">
        <f>'Data #5'!W58</f>
        <v>20</v>
      </c>
      <c r="H56" s="20">
        <v>2000</v>
      </c>
      <c r="I56" s="88">
        <f>'Data #1'!AH58</f>
        <v>95.65333333333335</v>
      </c>
      <c r="J56" s="88">
        <f>'Data #2'!AH58</f>
        <v>20</v>
      </c>
      <c r="K56" s="88">
        <f>'Data #3'!AH58</f>
        <v>20</v>
      </c>
      <c r="L56" s="88">
        <f>'Data #4'!AH58</f>
        <v>20</v>
      </c>
      <c r="M56" s="88">
        <f>'Data #5'!AH58</f>
        <v>20</v>
      </c>
      <c r="O56">
        <v>2000</v>
      </c>
      <c r="P56">
        <f>MAX('Data #1'!C58:E58)</f>
        <v>-27.97</v>
      </c>
      <c r="Q56">
        <f>MAX('Data #2'!C58:E58)</f>
        <v>0</v>
      </c>
      <c r="R56">
        <f>MAX('Data #3'!C58:E58)</f>
        <v>0</v>
      </c>
      <c r="S56">
        <f>MAX('Data #4'!C58:E58)</f>
        <v>0</v>
      </c>
      <c r="T56">
        <f>MAX('Data #5'!C58:E58)</f>
        <v>0</v>
      </c>
      <c r="U56" s="88">
        <f t="shared" si="16"/>
        <v>-5.5939999999999994</v>
      </c>
      <c r="V56" s="88">
        <f t="shared" si="17"/>
        <v>12.508564266133824</v>
      </c>
      <c r="W56" s="88">
        <v>-10</v>
      </c>
      <c r="X56" s="92">
        <f t="shared" si="4"/>
        <v>0.36232964045251254</v>
      </c>
      <c r="Y56" s="88">
        <v>-15</v>
      </c>
      <c r="Z56" s="92">
        <f t="shared" si="5"/>
        <v>0.22603611430352311</v>
      </c>
      <c r="AB56">
        <v>2000</v>
      </c>
      <c r="AC56">
        <f>MAX('Data #1'!F58:H58)</f>
        <v>-24.41</v>
      </c>
      <c r="AD56">
        <f>MAX('Data #2'!F58:H58)</f>
        <v>0</v>
      </c>
      <c r="AE56">
        <f>MAX('Data #3'!F58:H58)</f>
        <v>0</v>
      </c>
      <c r="AF56">
        <f>MAX('Data #4'!F58:H58)</f>
        <v>0</v>
      </c>
      <c r="AG56">
        <f>MAX('Data #5'!F58:H58)</f>
        <v>0</v>
      </c>
      <c r="AH56" s="88">
        <f t="shared" si="6"/>
        <v>-4.8819999999999997</v>
      </c>
      <c r="AI56" s="88">
        <f t="shared" si="7"/>
        <v>10.916483866153973</v>
      </c>
      <c r="AJ56" s="88">
        <v>-10</v>
      </c>
      <c r="AK56" s="92">
        <f t="shared" si="8"/>
        <v>0.31959476300724948</v>
      </c>
      <c r="AL56" s="88">
        <v>-15</v>
      </c>
      <c r="AM56" s="92">
        <f t="shared" si="9"/>
        <v>0.1770008562546462</v>
      </c>
      <c r="AP56">
        <v>2000</v>
      </c>
      <c r="AQ56">
        <f>MAX('Data #1'!AU58:AW58)</f>
        <v>0</v>
      </c>
      <c r="AR56">
        <f>MAX('Data #2'!AU58:AW58)</f>
        <v>0</v>
      </c>
      <c r="AS56">
        <f>MAX('Data #3'!AU58:AW58)</f>
        <v>0</v>
      </c>
      <c r="AT56">
        <f>MAX('Data #4'!AU58:AW58)</f>
        <v>0</v>
      </c>
      <c r="AU56">
        <f>MAX('Data #5'!AU58:AW58)</f>
        <v>0</v>
      </c>
      <c r="AV56" s="88">
        <f t="shared" si="2"/>
        <v>0</v>
      </c>
      <c r="AW56" s="88">
        <f t="shared" si="3"/>
        <v>0</v>
      </c>
      <c r="AX56" s="88">
        <v>-10</v>
      </c>
      <c r="AY56" s="92" t="e">
        <f t="shared" si="10"/>
        <v>#NUM!</v>
      </c>
      <c r="AZ56" s="88">
        <v>-15</v>
      </c>
      <c r="BA56" s="92" t="e">
        <f t="shared" si="11"/>
        <v>#NUM!</v>
      </c>
      <c r="BC56">
        <v>2000</v>
      </c>
      <c r="BD56">
        <f>MAX('Data #1'!AX58:AZ58)</f>
        <v>0</v>
      </c>
      <c r="BE56">
        <f>MAX('Data #2'!AX58:AZ58)</f>
        <v>0</v>
      </c>
      <c r="BF56">
        <f>MAX('Data #3'!AX58:AZ58)</f>
        <v>0</v>
      </c>
      <c r="BG56">
        <f>MAX('Data #4'!AX58:AZ58)</f>
        <v>0</v>
      </c>
      <c r="BH56">
        <f>MAX('Data #5'!AX58:AZ58)</f>
        <v>0</v>
      </c>
      <c r="BI56" s="88">
        <f t="shared" si="12"/>
        <v>0</v>
      </c>
      <c r="BJ56" s="88">
        <f t="shared" si="13"/>
        <v>0</v>
      </c>
      <c r="BK56" s="88">
        <v>-10</v>
      </c>
      <c r="BL56" s="92" t="e">
        <f t="shared" si="14"/>
        <v>#NUM!</v>
      </c>
      <c r="BM56" s="88">
        <v>-15</v>
      </c>
      <c r="BN56" s="92" t="e">
        <f t="shared" si="15"/>
        <v>#NUM!</v>
      </c>
    </row>
    <row r="57" spans="1:66">
      <c r="A57" s="19">
        <v>2120</v>
      </c>
      <c r="B57" s="88">
        <f>'Data #1'!W59</f>
        <v>99.75333333333333</v>
      </c>
      <c r="C57" s="88">
        <f>'Data #2'!W59</f>
        <v>20</v>
      </c>
      <c r="D57" s="88">
        <f>'Data #3'!W59</f>
        <v>20</v>
      </c>
      <c r="E57" s="88">
        <f>'Data #4'!W59</f>
        <v>20</v>
      </c>
      <c r="F57" s="88">
        <f>'Data #5'!W59</f>
        <v>20</v>
      </c>
      <c r="H57" s="20">
        <v>2120</v>
      </c>
      <c r="I57" s="88">
        <f>'Data #1'!AH59</f>
        <v>98.589999999999989</v>
      </c>
      <c r="J57" s="88">
        <f>'Data #2'!AH59</f>
        <v>20</v>
      </c>
      <c r="K57" s="88">
        <f>'Data #3'!AH59</f>
        <v>20</v>
      </c>
      <c r="L57" s="88">
        <f>'Data #4'!AH59</f>
        <v>20</v>
      </c>
      <c r="M57" s="88">
        <f>'Data #5'!AH59</f>
        <v>20</v>
      </c>
      <c r="O57">
        <v>2120</v>
      </c>
      <c r="P57">
        <f>MAX('Data #1'!C59:E59)</f>
        <v>-24.9</v>
      </c>
      <c r="Q57">
        <f>MAX('Data #2'!C59:E59)</f>
        <v>0</v>
      </c>
      <c r="R57">
        <f>MAX('Data #3'!C59:E59)</f>
        <v>0</v>
      </c>
      <c r="S57">
        <f>MAX('Data #4'!C59:E59)</f>
        <v>0</v>
      </c>
      <c r="T57">
        <f>MAX('Data #5'!C59:E59)</f>
        <v>0</v>
      </c>
      <c r="U57" s="88">
        <f t="shared" si="16"/>
        <v>-4.9799999999999995</v>
      </c>
      <c r="V57" s="88">
        <f t="shared" si="17"/>
        <v>11.135618527948951</v>
      </c>
      <c r="W57" s="88">
        <v>-10</v>
      </c>
      <c r="X57" s="92">
        <f t="shared" si="4"/>
        <v>0.32606480628249623</v>
      </c>
      <c r="Y57" s="88">
        <v>-15</v>
      </c>
      <c r="Z57" s="92">
        <f t="shared" si="5"/>
        <v>0.18410927361845139</v>
      </c>
      <c r="AB57">
        <v>2120</v>
      </c>
      <c r="AC57">
        <f>MAX('Data #1'!F59:H59)</f>
        <v>-23.1</v>
      </c>
      <c r="AD57">
        <f>MAX('Data #2'!F59:H59)</f>
        <v>0</v>
      </c>
      <c r="AE57">
        <f>MAX('Data #3'!F59:H59)</f>
        <v>0</v>
      </c>
      <c r="AF57">
        <f>MAX('Data #4'!F59:H59)</f>
        <v>0</v>
      </c>
      <c r="AG57">
        <f>MAX('Data #5'!F59:H59)</f>
        <v>0</v>
      </c>
      <c r="AH57" s="88">
        <f t="shared" si="6"/>
        <v>-4.62</v>
      </c>
      <c r="AI57" s="88">
        <f t="shared" si="7"/>
        <v>10.330634056049028</v>
      </c>
      <c r="AJ57" s="88">
        <v>-10</v>
      </c>
      <c r="AK57" s="92">
        <f t="shared" si="8"/>
        <v>0.30125960052773371</v>
      </c>
      <c r="AL57" s="88">
        <v>-15</v>
      </c>
      <c r="AM57" s="92">
        <f t="shared" si="9"/>
        <v>0.1575017358779601</v>
      </c>
      <c r="AP57">
        <v>2120</v>
      </c>
      <c r="AQ57">
        <f>MAX('Data #1'!AU59:AW59)</f>
        <v>0</v>
      </c>
      <c r="AR57">
        <f>MAX('Data #2'!AU59:AW59)</f>
        <v>0</v>
      </c>
      <c r="AS57">
        <f>MAX('Data #3'!AU59:AW59)</f>
        <v>0</v>
      </c>
      <c r="AT57">
        <f>MAX('Data #4'!AU59:AW59)</f>
        <v>0</v>
      </c>
      <c r="AU57">
        <f>MAX('Data #5'!AU59:AW59)</f>
        <v>0</v>
      </c>
      <c r="AV57" s="88">
        <f t="shared" si="2"/>
        <v>0</v>
      </c>
      <c r="AW57" s="88">
        <f t="shared" si="3"/>
        <v>0</v>
      </c>
      <c r="AX57" s="88">
        <v>-10</v>
      </c>
      <c r="AY57" s="92" t="e">
        <f t="shared" si="10"/>
        <v>#NUM!</v>
      </c>
      <c r="AZ57" s="88">
        <v>-15</v>
      </c>
      <c r="BA57" s="92" t="e">
        <f t="shared" si="11"/>
        <v>#NUM!</v>
      </c>
      <c r="BC57">
        <v>2120</v>
      </c>
      <c r="BD57">
        <f>MAX('Data #1'!AX59:AZ59)</f>
        <v>0</v>
      </c>
      <c r="BE57">
        <f>MAX('Data #2'!AX59:AZ59)</f>
        <v>0</v>
      </c>
      <c r="BF57">
        <f>MAX('Data #3'!AX59:AZ59)</f>
        <v>0</v>
      </c>
      <c r="BG57">
        <f>MAX('Data #4'!AX59:AZ59)</f>
        <v>0</v>
      </c>
      <c r="BH57">
        <f>MAX('Data #5'!AX59:AZ59)</f>
        <v>0</v>
      </c>
      <c r="BI57" s="88">
        <f t="shared" si="12"/>
        <v>0</v>
      </c>
      <c r="BJ57" s="88">
        <f t="shared" si="13"/>
        <v>0</v>
      </c>
      <c r="BK57" s="88">
        <v>-10</v>
      </c>
      <c r="BL57" s="92" t="e">
        <f t="shared" si="14"/>
        <v>#NUM!</v>
      </c>
      <c r="BM57" s="88">
        <v>-15</v>
      </c>
      <c r="BN57" s="92" t="e">
        <f t="shared" si="15"/>
        <v>#NUM!</v>
      </c>
    </row>
    <row r="58" spans="1:66">
      <c r="A58" s="19">
        <v>2240</v>
      </c>
      <c r="B58" s="88">
        <f>'Data #1'!W60</f>
        <v>98.839999999999989</v>
      </c>
      <c r="C58" s="88">
        <f>'Data #2'!W60</f>
        <v>20</v>
      </c>
      <c r="D58" s="88">
        <f>'Data #3'!W60</f>
        <v>20</v>
      </c>
      <c r="E58" s="88">
        <f>'Data #4'!W60</f>
        <v>20</v>
      </c>
      <c r="F58" s="88">
        <f>'Data #5'!W60</f>
        <v>20</v>
      </c>
      <c r="H58" s="20">
        <v>2240</v>
      </c>
      <c r="I58" s="88">
        <f>'Data #1'!AH60</f>
        <v>98.143333333333317</v>
      </c>
      <c r="J58" s="88">
        <f>'Data #2'!AH60</f>
        <v>20</v>
      </c>
      <c r="K58" s="88">
        <f>'Data #3'!AH60</f>
        <v>20</v>
      </c>
      <c r="L58" s="88">
        <f>'Data #4'!AH60</f>
        <v>20</v>
      </c>
      <c r="M58" s="88">
        <f>'Data #5'!AH60</f>
        <v>20</v>
      </c>
      <c r="O58">
        <v>2240</v>
      </c>
      <c r="P58">
        <f>MAX('Data #1'!C60:E60)</f>
        <v>-20.87</v>
      </c>
      <c r="Q58">
        <f>MAX('Data #2'!C60:E60)</f>
        <v>0</v>
      </c>
      <c r="R58">
        <f>MAX('Data #3'!C60:E60)</f>
        <v>0</v>
      </c>
      <c r="S58">
        <f>MAX('Data #4'!C60:E60)</f>
        <v>0</v>
      </c>
      <c r="T58">
        <f>MAX('Data #5'!C60:E60)</f>
        <v>0</v>
      </c>
      <c r="U58" s="88">
        <f t="shared" si="16"/>
        <v>-4.1740000000000004</v>
      </c>
      <c r="V58" s="88">
        <f t="shared" si="17"/>
        <v>9.3333477380841234</v>
      </c>
      <c r="W58" s="88">
        <v>-10</v>
      </c>
      <c r="X58" s="92">
        <f t="shared" si="4"/>
        <v>0.26624374940483342</v>
      </c>
      <c r="Y58" s="88">
        <v>-15</v>
      </c>
      <c r="Z58" s="92">
        <f t="shared" si="5"/>
        <v>0.12303930892959397</v>
      </c>
      <c r="AB58">
        <v>2240</v>
      </c>
      <c r="AC58">
        <f>MAX('Data #1'!F60:H60)</f>
        <v>-22.12</v>
      </c>
      <c r="AD58">
        <f>MAX('Data #2'!F60:H60)</f>
        <v>0</v>
      </c>
      <c r="AE58">
        <f>MAX('Data #3'!F60:H60)</f>
        <v>0</v>
      </c>
      <c r="AF58">
        <f>MAX('Data #4'!F60:H60)</f>
        <v>0</v>
      </c>
      <c r="AG58">
        <f>MAX('Data #5'!F60:H60)</f>
        <v>0</v>
      </c>
      <c r="AH58" s="88">
        <f t="shared" si="6"/>
        <v>-4.4240000000000004</v>
      </c>
      <c r="AI58" s="88">
        <f t="shared" si="7"/>
        <v>9.89236473245907</v>
      </c>
      <c r="AJ58" s="88">
        <v>-10</v>
      </c>
      <c r="AK58" s="92">
        <f t="shared" si="8"/>
        <v>0.28649037451815068</v>
      </c>
      <c r="AL58" s="88">
        <v>-15</v>
      </c>
      <c r="AM58" s="92">
        <f t="shared" si="9"/>
        <v>0.14251064650977524</v>
      </c>
      <c r="AP58">
        <v>2240</v>
      </c>
      <c r="AQ58">
        <f>MAX('Data #1'!AU60:AW60)</f>
        <v>0</v>
      </c>
      <c r="AR58">
        <f>MAX('Data #2'!AU60:AW60)</f>
        <v>0</v>
      </c>
      <c r="AS58">
        <f>MAX('Data #3'!AU60:AW60)</f>
        <v>0</v>
      </c>
      <c r="AT58">
        <f>MAX('Data #4'!AU60:AW60)</f>
        <v>0</v>
      </c>
      <c r="AU58">
        <f>MAX('Data #5'!AU60:AW60)</f>
        <v>0</v>
      </c>
      <c r="AV58" s="88">
        <f t="shared" si="2"/>
        <v>0</v>
      </c>
      <c r="AW58" s="88">
        <f t="shared" si="3"/>
        <v>0</v>
      </c>
      <c r="AX58" s="88">
        <v>-10</v>
      </c>
      <c r="AY58" s="92" t="e">
        <f t="shared" si="10"/>
        <v>#NUM!</v>
      </c>
      <c r="AZ58" s="88">
        <v>-15</v>
      </c>
      <c r="BA58" s="92" t="e">
        <f t="shared" si="11"/>
        <v>#NUM!</v>
      </c>
      <c r="BC58">
        <v>2240</v>
      </c>
      <c r="BD58">
        <f>MAX('Data #1'!AX60:AZ60)</f>
        <v>0</v>
      </c>
      <c r="BE58">
        <f>MAX('Data #2'!AX60:AZ60)</f>
        <v>0</v>
      </c>
      <c r="BF58">
        <f>MAX('Data #3'!AX60:AZ60)</f>
        <v>0</v>
      </c>
      <c r="BG58">
        <f>MAX('Data #4'!AX60:AZ60)</f>
        <v>0</v>
      </c>
      <c r="BH58">
        <f>MAX('Data #5'!AX60:AZ60)</f>
        <v>0</v>
      </c>
      <c r="BI58" s="88">
        <f t="shared" si="12"/>
        <v>0</v>
      </c>
      <c r="BJ58" s="88">
        <f t="shared" si="13"/>
        <v>0</v>
      </c>
      <c r="BK58" s="88">
        <v>-10</v>
      </c>
      <c r="BL58" s="92" t="e">
        <f t="shared" si="14"/>
        <v>#NUM!</v>
      </c>
      <c r="BM58" s="88">
        <v>-15</v>
      </c>
      <c r="BN58" s="92" t="e">
        <f t="shared" si="15"/>
        <v>#NUM!</v>
      </c>
    </row>
    <row r="59" spans="1:66">
      <c r="A59" s="19">
        <v>2360</v>
      </c>
      <c r="B59" s="88">
        <f>'Data #1'!W61</f>
        <v>97.913333333333341</v>
      </c>
      <c r="C59" s="88">
        <f>'Data #2'!W61</f>
        <v>20</v>
      </c>
      <c r="D59" s="88">
        <f>'Data #3'!W61</f>
        <v>20</v>
      </c>
      <c r="E59" s="88">
        <f>'Data #4'!W61</f>
        <v>20</v>
      </c>
      <c r="F59" s="88">
        <f>'Data #5'!W61</f>
        <v>20</v>
      </c>
      <c r="H59" s="20">
        <v>2360</v>
      </c>
      <c r="I59" s="88">
        <f>'Data #1'!AH61</f>
        <v>94.366666666666674</v>
      </c>
      <c r="J59" s="88">
        <f>'Data #2'!AH61</f>
        <v>20</v>
      </c>
      <c r="K59" s="88">
        <f>'Data #3'!AH61</f>
        <v>20</v>
      </c>
      <c r="L59" s="88">
        <f>'Data #4'!AH61</f>
        <v>20</v>
      </c>
      <c r="M59" s="88">
        <f>'Data #5'!AH61</f>
        <v>20</v>
      </c>
      <c r="O59">
        <v>2360</v>
      </c>
      <c r="P59">
        <f>MAX('Data #1'!C61:E61)</f>
        <v>-20.84</v>
      </c>
      <c r="Q59">
        <f>MAX('Data #2'!C61:E61)</f>
        <v>0</v>
      </c>
      <c r="R59">
        <f>MAX('Data #3'!C61:E61)</f>
        <v>0</v>
      </c>
      <c r="S59">
        <f>MAX('Data #4'!C61:E61)</f>
        <v>0</v>
      </c>
      <c r="T59">
        <f>MAX('Data #5'!C61:E61)</f>
        <v>0</v>
      </c>
      <c r="U59" s="88">
        <f t="shared" si="16"/>
        <v>-4.1680000000000001</v>
      </c>
      <c r="V59" s="88">
        <f t="shared" si="17"/>
        <v>9.3199313302191236</v>
      </c>
      <c r="W59" s="88">
        <v>-10</v>
      </c>
      <c r="X59" s="92">
        <f t="shared" si="4"/>
        <v>0.26573760178586942</v>
      </c>
      <c r="Y59" s="88">
        <v>-15</v>
      </c>
      <c r="Z59" s="92">
        <f t="shared" si="5"/>
        <v>0.12256892985237475</v>
      </c>
      <c r="AB59">
        <v>2360</v>
      </c>
      <c r="AC59">
        <f>MAX('Data #1'!F61:H61)</f>
        <v>-19.25</v>
      </c>
      <c r="AD59">
        <f>MAX('Data #2'!F61:H61)</f>
        <v>0</v>
      </c>
      <c r="AE59">
        <f>MAX('Data #3'!F61:H61)</f>
        <v>0</v>
      </c>
      <c r="AF59">
        <f>MAX('Data #4'!F61:H61)</f>
        <v>0</v>
      </c>
      <c r="AG59">
        <f>MAX('Data #5'!F61:H61)</f>
        <v>0</v>
      </c>
      <c r="AH59" s="88">
        <f t="shared" si="6"/>
        <v>-3.85</v>
      </c>
      <c r="AI59" s="88">
        <f t="shared" si="7"/>
        <v>8.6088617133741909</v>
      </c>
      <c r="AJ59" s="88">
        <v>-10</v>
      </c>
      <c r="AK59" s="92">
        <f t="shared" si="8"/>
        <v>0.23749606868104439</v>
      </c>
      <c r="AL59" s="88">
        <v>-15</v>
      </c>
      <c r="AM59" s="92">
        <f t="shared" si="9"/>
        <v>9.7629582316354213E-2</v>
      </c>
      <c r="AP59">
        <v>2360</v>
      </c>
      <c r="AQ59">
        <f>MAX('Data #1'!AU61:AW61)</f>
        <v>0</v>
      </c>
      <c r="AR59">
        <f>MAX('Data #2'!AU61:AW61)</f>
        <v>0</v>
      </c>
      <c r="AS59">
        <f>MAX('Data #3'!AU61:AW61)</f>
        <v>0</v>
      </c>
      <c r="AT59">
        <f>MAX('Data #4'!AU61:AW61)</f>
        <v>0</v>
      </c>
      <c r="AU59">
        <f>MAX('Data #5'!AU61:AW61)</f>
        <v>0</v>
      </c>
      <c r="AV59" s="88">
        <f t="shared" si="2"/>
        <v>0</v>
      </c>
      <c r="AW59" s="88">
        <f t="shared" si="3"/>
        <v>0</v>
      </c>
      <c r="AX59" s="88">
        <v>-10</v>
      </c>
      <c r="AY59" s="92" t="e">
        <f t="shared" si="10"/>
        <v>#NUM!</v>
      </c>
      <c r="AZ59" s="88">
        <v>-15</v>
      </c>
      <c r="BA59" s="92" t="e">
        <f t="shared" si="11"/>
        <v>#NUM!</v>
      </c>
      <c r="BC59">
        <v>2360</v>
      </c>
      <c r="BD59">
        <f>MAX('Data #1'!AX61:AZ61)</f>
        <v>0</v>
      </c>
      <c r="BE59">
        <f>MAX('Data #2'!AX61:AZ61)</f>
        <v>0</v>
      </c>
      <c r="BF59">
        <f>MAX('Data #3'!AX61:AZ61)</f>
        <v>0</v>
      </c>
      <c r="BG59">
        <f>MAX('Data #4'!AX61:AZ61)</f>
        <v>0</v>
      </c>
      <c r="BH59">
        <f>MAX('Data #5'!AX61:AZ61)</f>
        <v>0</v>
      </c>
      <c r="BI59" s="88">
        <f t="shared" si="12"/>
        <v>0</v>
      </c>
      <c r="BJ59" s="88">
        <f t="shared" si="13"/>
        <v>0</v>
      </c>
      <c r="BK59" s="88">
        <v>-10</v>
      </c>
      <c r="BL59" s="92" t="e">
        <f t="shared" si="14"/>
        <v>#NUM!</v>
      </c>
      <c r="BM59" s="88">
        <v>-15</v>
      </c>
      <c r="BN59" s="92" t="e">
        <f t="shared" si="15"/>
        <v>#NUM!</v>
      </c>
    </row>
    <row r="60" spans="1:66">
      <c r="A60" s="19">
        <v>2500</v>
      </c>
      <c r="B60" s="88">
        <f>'Data #1'!W62</f>
        <v>96.34333333333332</v>
      </c>
      <c r="C60" s="88">
        <f>'Data #2'!W62</f>
        <v>20</v>
      </c>
      <c r="D60" s="88">
        <f>'Data #3'!W62</f>
        <v>20</v>
      </c>
      <c r="E60" s="88">
        <f>'Data #4'!W62</f>
        <v>20</v>
      </c>
      <c r="F60" s="88">
        <f>'Data #5'!W62</f>
        <v>20</v>
      </c>
      <c r="H60" s="20">
        <v>2500</v>
      </c>
      <c r="I60" s="88">
        <f>'Data #1'!AH62</f>
        <v>89.403333333333322</v>
      </c>
      <c r="J60" s="88">
        <f>'Data #2'!AH62</f>
        <v>20</v>
      </c>
      <c r="K60" s="88">
        <f>'Data #3'!AH62</f>
        <v>20</v>
      </c>
      <c r="L60" s="88">
        <f>'Data #4'!AH62</f>
        <v>20</v>
      </c>
      <c r="M60" s="88">
        <f>'Data #5'!AH62</f>
        <v>20</v>
      </c>
      <c r="O60">
        <v>2500</v>
      </c>
      <c r="P60">
        <f>MAX('Data #1'!C62:E62)</f>
        <v>-23.02</v>
      </c>
      <c r="Q60">
        <f>MAX('Data #2'!C62:E62)</f>
        <v>0</v>
      </c>
      <c r="R60">
        <f>MAX('Data #3'!C62:E62)</f>
        <v>0</v>
      </c>
      <c r="S60">
        <f>MAX('Data #4'!C62:E62)</f>
        <v>0</v>
      </c>
      <c r="T60">
        <f>MAX('Data #5'!C62:E62)</f>
        <v>0</v>
      </c>
      <c r="U60" s="88">
        <f t="shared" si="16"/>
        <v>-4.6040000000000001</v>
      </c>
      <c r="V60" s="88">
        <f t="shared" si="17"/>
        <v>10.294856968409031</v>
      </c>
      <c r="W60" s="88">
        <v>-10</v>
      </c>
      <c r="X60" s="92">
        <f t="shared" si="4"/>
        <v>0.30008877171386128</v>
      </c>
      <c r="Y60" s="88">
        <v>-15</v>
      </c>
      <c r="Z60" s="92">
        <f t="shared" si="5"/>
        <v>0.15628966182060947</v>
      </c>
      <c r="AB60">
        <v>2500</v>
      </c>
      <c r="AC60">
        <f>MAX('Data #1'!F62:H62)</f>
        <v>-17.53</v>
      </c>
      <c r="AD60">
        <f>MAX('Data #2'!F62:H62)</f>
        <v>0</v>
      </c>
      <c r="AE60">
        <f>MAX('Data #3'!F62:H62)</f>
        <v>0</v>
      </c>
      <c r="AF60">
        <f>MAX('Data #4'!F62:H62)</f>
        <v>0</v>
      </c>
      <c r="AG60">
        <f>MAX('Data #5'!F62:H62)</f>
        <v>0</v>
      </c>
      <c r="AH60" s="88">
        <f t="shared" si="6"/>
        <v>-3.5060000000000002</v>
      </c>
      <c r="AI60" s="88">
        <f t="shared" si="7"/>
        <v>7.8396543291142624</v>
      </c>
      <c r="AJ60" s="88">
        <v>-10</v>
      </c>
      <c r="AK60" s="92">
        <f t="shared" si="8"/>
        <v>0.20373535051094707</v>
      </c>
      <c r="AL60" s="88">
        <v>-15</v>
      </c>
      <c r="AM60" s="92">
        <f t="shared" si="9"/>
        <v>7.1305610220495044E-2</v>
      </c>
      <c r="AP60">
        <v>2500</v>
      </c>
      <c r="AQ60">
        <f>MAX('Data #1'!AU62:AW62)</f>
        <v>0</v>
      </c>
      <c r="AR60">
        <f>MAX('Data #2'!AU62:AW62)</f>
        <v>0</v>
      </c>
      <c r="AS60">
        <f>MAX('Data #3'!AU62:AW62)</f>
        <v>0</v>
      </c>
      <c r="AT60">
        <f>MAX('Data #4'!AU62:AW62)</f>
        <v>0</v>
      </c>
      <c r="AU60">
        <f>MAX('Data #5'!AU62:AW62)</f>
        <v>0</v>
      </c>
      <c r="AV60" s="88">
        <f t="shared" si="2"/>
        <v>0</v>
      </c>
      <c r="AW60" s="88">
        <f t="shared" si="3"/>
        <v>0</v>
      </c>
      <c r="AX60" s="88">
        <v>-10</v>
      </c>
      <c r="AY60" s="92" t="e">
        <f t="shared" si="10"/>
        <v>#NUM!</v>
      </c>
      <c r="AZ60" s="88">
        <v>-15</v>
      </c>
      <c r="BA60" s="92" t="e">
        <f t="shared" si="11"/>
        <v>#NUM!</v>
      </c>
      <c r="BC60">
        <v>2500</v>
      </c>
      <c r="BD60">
        <f>MAX('Data #1'!AX62:AZ62)</f>
        <v>0</v>
      </c>
      <c r="BE60">
        <f>MAX('Data #2'!AX62:AZ62)</f>
        <v>0</v>
      </c>
      <c r="BF60">
        <f>MAX('Data #3'!AX62:AZ62)</f>
        <v>0</v>
      </c>
      <c r="BG60">
        <f>MAX('Data #4'!AX62:AZ62)</f>
        <v>0</v>
      </c>
      <c r="BH60">
        <f>MAX('Data #5'!AX62:AZ62)</f>
        <v>0</v>
      </c>
      <c r="BI60" s="88">
        <f t="shared" si="12"/>
        <v>0</v>
      </c>
      <c r="BJ60" s="88">
        <f t="shared" si="13"/>
        <v>0</v>
      </c>
      <c r="BK60" s="88">
        <v>-10</v>
      </c>
      <c r="BL60" s="92" t="e">
        <f t="shared" si="14"/>
        <v>#NUM!</v>
      </c>
      <c r="BM60" s="88">
        <v>-15</v>
      </c>
      <c r="BN60" s="92" t="e">
        <f t="shared" si="15"/>
        <v>#NUM!</v>
      </c>
    </row>
    <row r="61" spans="1:66">
      <c r="A61" s="19">
        <v>2650</v>
      </c>
      <c r="B61" s="88">
        <f>'Data #1'!W63</f>
        <v>94.856666666666641</v>
      </c>
      <c r="C61" s="88">
        <f>'Data #2'!W63</f>
        <v>20</v>
      </c>
      <c r="D61" s="88">
        <f>'Data #3'!W63</f>
        <v>20</v>
      </c>
      <c r="E61" s="88">
        <f>'Data #4'!W63</f>
        <v>20</v>
      </c>
      <c r="F61" s="88">
        <f>'Data #5'!W63</f>
        <v>20</v>
      </c>
      <c r="H61" s="20">
        <v>2650</v>
      </c>
      <c r="I61" s="88">
        <f>'Data #1'!AH63</f>
        <v>86.313333333333333</v>
      </c>
      <c r="J61" s="88">
        <f>'Data #2'!AH63</f>
        <v>20</v>
      </c>
      <c r="K61" s="88">
        <f>'Data #3'!AH63</f>
        <v>20</v>
      </c>
      <c r="L61" s="88">
        <f>'Data #4'!AH63</f>
        <v>20</v>
      </c>
      <c r="M61" s="88">
        <f>'Data #5'!AH63</f>
        <v>20</v>
      </c>
      <c r="O61">
        <v>2650</v>
      </c>
      <c r="P61">
        <f>MAX('Data #1'!C63:E63)</f>
        <v>-23.99</v>
      </c>
      <c r="Q61">
        <f>MAX('Data #2'!C63:E63)</f>
        <v>0</v>
      </c>
      <c r="R61">
        <f>MAX('Data #3'!C63:E63)</f>
        <v>0</v>
      </c>
      <c r="S61">
        <f>MAX('Data #4'!C63:E63)</f>
        <v>0</v>
      </c>
      <c r="T61">
        <f>MAX('Data #5'!C63:E63)</f>
        <v>0</v>
      </c>
      <c r="U61" s="88">
        <f t="shared" si="16"/>
        <v>-4.798</v>
      </c>
      <c r="V61" s="88">
        <f t="shared" si="17"/>
        <v>10.728654156043991</v>
      </c>
      <c r="W61" s="88">
        <v>-10</v>
      </c>
      <c r="X61" s="92">
        <f t="shared" si="4"/>
        <v>0.31388436606527614</v>
      </c>
      <c r="Y61" s="88">
        <v>-15</v>
      </c>
      <c r="Z61" s="92">
        <f t="shared" si="5"/>
        <v>0.17082466633129659</v>
      </c>
      <c r="AB61">
        <v>2650</v>
      </c>
      <c r="AC61">
        <f>MAX('Data #1'!F63:H63)</f>
        <v>-16.920000000000002</v>
      </c>
      <c r="AD61">
        <f>MAX('Data #2'!F63:H63)</f>
        <v>0</v>
      </c>
      <c r="AE61">
        <f>MAX('Data #3'!F63:H63)</f>
        <v>0</v>
      </c>
      <c r="AF61">
        <f>MAX('Data #4'!F63:H63)</f>
        <v>0</v>
      </c>
      <c r="AG61">
        <f>MAX('Data #5'!F63:H63)</f>
        <v>0</v>
      </c>
      <c r="AH61" s="88">
        <f t="shared" si="6"/>
        <v>-3.3840000000000003</v>
      </c>
      <c r="AI61" s="88">
        <f t="shared" si="7"/>
        <v>7.5668540358592891</v>
      </c>
      <c r="AJ61" s="88">
        <v>-10</v>
      </c>
      <c r="AK61" s="92">
        <f t="shared" si="8"/>
        <v>0.19096667459172989</v>
      </c>
      <c r="AL61" s="88">
        <v>-15</v>
      </c>
      <c r="AM61" s="92">
        <f t="shared" si="9"/>
        <v>6.237764729526251E-2</v>
      </c>
      <c r="AP61">
        <v>2650</v>
      </c>
      <c r="AQ61">
        <f>MAX('Data #1'!AU63:AW63)</f>
        <v>0</v>
      </c>
      <c r="AR61">
        <f>MAX('Data #2'!AU63:AW63)</f>
        <v>0</v>
      </c>
      <c r="AS61">
        <f>MAX('Data #3'!AU63:AW63)</f>
        <v>0</v>
      </c>
      <c r="AT61">
        <f>MAX('Data #4'!AU63:AW63)</f>
        <v>0</v>
      </c>
      <c r="AU61">
        <f>MAX('Data #5'!AU63:AW63)</f>
        <v>0</v>
      </c>
      <c r="AV61" s="88">
        <f t="shared" si="2"/>
        <v>0</v>
      </c>
      <c r="AW61" s="88">
        <f t="shared" si="3"/>
        <v>0</v>
      </c>
      <c r="AX61" s="88">
        <v>-10</v>
      </c>
      <c r="AY61" s="92" t="e">
        <f t="shared" si="10"/>
        <v>#NUM!</v>
      </c>
      <c r="AZ61" s="88">
        <v>-15</v>
      </c>
      <c r="BA61" s="92" t="e">
        <f t="shared" si="11"/>
        <v>#NUM!</v>
      </c>
      <c r="BC61">
        <v>2650</v>
      </c>
      <c r="BD61">
        <f>MAX('Data #1'!AX63:AZ63)</f>
        <v>0</v>
      </c>
      <c r="BE61">
        <f>MAX('Data #2'!AX63:AZ63)</f>
        <v>0</v>
      </c>
      <c r="BF61">
        <f>MAX('Data #3'!AX63:AZ63)</f>
        <v>0</v>
      </c>
      <c r="BG61">
        <f>MAX('Data #4'!AX63:AZ63)</f>
        <v>0</v>
      </c>
      <c r="BH61">
        <f>MAX('Data #5'!AX63:AZ63)</f>
        <v>0</v>
      </c>
      <c r="BI61" s="88">
        <f t="shared" si="12"/>
        <v>0</v>
      </c>
      <c r="BJ61" s="88">
        <f t="shared" si="13"/>
        <v>0</v>
      </c>
      <c r="BK61" s="88">
        <v>-10</v>
      </c>
      <c r="BL61" s="92" t="e">
        <f t="shared" si="14"/>
        <v>#NUM!</v>
      </c>
      <c r="BM61" s="88">
        <v>-15</v>
      </c>
      <c r="BN61" s="92" t="e">
        <f t="shared" si="15"/>
        <v>#NUM!</v>
      </c>
    </row>
    <row r="62" spans="1:66">
      <c r="A62" s="19">
        <v>2800</v>
      </c>
      <c r="B62" s="88">
        <f>'Data #1'!W64</f>
        <v>92.196666666666673</v>
      </c>
      <c r="C62" s="88">
        <f>'Data #2'!W64</f>
        <v>20</v>
      </c>
      <c r="D62" s="88">
        <f>'Data #3'!W64</f>
        <v>20</v>
      </c>
      <c r="E62" s="88">
        <f>'Data #4'!W64</f>
        <v>20</v>
      </c>
      <c r="F62" s="88">
        <f>'Data #5'!W64</f>
        <v>20</v>
      </c>
      <c r="H62" s="20">
        <v>2800</v>
      </c>
      <c r="I62" s="88">
        <f>'Data #1'!AH64</f>
        <v>84.39</v>
      </c>
      <c r="J62" s="88">
        <f>'Data #2'!AH64</f>
        <v>20</v>
      </c>
      <c r="K62" s="88">
        <f>'Data #3'!AH64</f>
        <v>20</v>
      </c>
      <c r="L62" s="88">
        <f>'Data #4'!AH64</f>
        <v>20</v>
      </c>
      <c r="M62" s="88">
        <f>'Data #5'!AH64</f>
        <v>20</v>
      </c>
      <c r="O62">
        <v>2800</v>
      </c>
      <c r="P62">
        <f>MAX('Data #1'!C64:E64)</f>
        <v>-23.16</v>
      </c>
      <c r="Q62">
        <f>MAX('Data #2'!C64:E64)</f>
        <v>0</v>
      </c>
      <c r="R62">
        <f>MAX('Data #3'!C64:E64)</f>
        <v>0</v>
      </c>
      <c r="S62">
        <f>MAX('Data #4'!C64:E64)</f>
        <v>0</v>
      </c>
      <c r="T62">
        <f>MAX('Data #5'!C64:E64)</f>
        <v>0</v>
      </c>
      <c r="U62" s="88">
        <f t="shared" si="16"/>
        <v>-4.6319999999999997</v>
      </c>
      <c r="V62" s="88">
        <f t="shared" si="17"/>
        <v>10.357466871779026</v>
      </c>
      <c r="W62" s="88">
        <v>-10</v>
      </c>
      <c r="X62" s="92">
        <f t="shared" si="4"/>
        <v>0.30213375017069166</v>
      </c>
      <c r="Y62" s="88">
        <v>-15</v>
      </c>
      <c r="Z62" s="92">
        <f t="shared" si="5"/>
        <v>0.15840930453749638</v>
      </c>
      <c r="AB62">
        <v>2800</v>
      </c>
      <c r="AC62">
        <f>MAX('Data #1'!F64:H64)</f>
        <v>-15.92</v>
      </c>
      <c r="AD62">
        <f>MAX('Data #2'!F64:H64)</f>
        <v>0</v>
      </c>
      <c r="AE62">
        <f>MAX('Data #3'!F64:H64)</f>
        <v>0</v>
      </c>
      <c r="AF62">
        <f>MAX('Data #4'!F64:H64)</f>
        <v>0</v>
      </c>
      <c r="AG62">
        <f>MAX('Data #5'!F64:H64)</f>
        <v>0</v>
      </c>
      <c r="AH62" s="88">
        <f t="shared" si="6"/>
        <v>-3.1840000000000002</v>
      </c>
      <c r="AI62" s="88">
        <f t="shared" si="7"/>
        <v>7.1196404403593307</v>
      </c>
      <c r="AJ62" s="88">
        <v>-10</v>
      </c>
      <c r="AK62" s="92">
        <f t="shared" si="8"/>
        <v>0.16919487997924151</v>
      </c>
      <c r="AL62" s="88">
        <v>-15</v>
      </c>
      <c r="AM62" s="92">
        <f t="shared" si="9"/>
        <v>4.8494014495903542E-2</v>
      </c>
      <c r="AP62">
        <v>2800</v>
      </c>
      <c r="AQ62">
        <f>MAX('Data #1'!AU64:AW64)</f>
        <v>0</v>
      </c>
      <c r="AR62">
        <f>MAX('Data #2'!AU64:AW64)</f>
        <v>0</v>
      </c>
      <c r="AS62">
        <f>MAX('Data #3'!AU64:AW64)</f>
        <v>0</v>
      </c>
      <c r="AT62">
        <f>MAX('Data #4'!AU64:AW64)</f>
        <v>0</v>
      </c>
      <c r="AU62">
        <f>MAX('Data #5'!AU64:AW64)</f>
        <v>0</v>
      </c>
      <c r="AV62" s="88">
        <f t="shared" si="2"/>
        <v>0</v>
      </c>
      <c r="AW62" s="88">
        <f t="shared" si="3"/>
        <v>0</v>
      </c>
      <c r="AX62" s="88">
        <v>-10</v>
      </c>
      <c r="AY62" s="92" t="e">
        <f t="shared" si="10"/>
        <v>#NUM!</v>
      </c>
      <c r="AZ62" s="88">
        <v>-15</v>
      </c>
      <c r="BA62" s="92" t="e">
        <f t="shared" si="11"/>
        <v>#NUM!</v>
      </c>
      <c r="BC62">
        <v>2800</v>
      </c>
      <c r="BD62">
        <f>MAX('Data #1'!AX64:AZ64)</f>
        <v>0</v>
      </c>
      <c r="BE62">
        <f>MAX('Data #2'!AX64:AZ64)</f>
        <v>0</v>
      </c>
      <c r="BF62">
        <f>MAX('Data #3'!AX64:AZ64)</f>
        <v>0</v>
      </c>
      <c r="BG62">
        <f>MAX('Data #4'!AX64:AZ64)</f>
        <v>0</v>
      </c>
      <c r="BH62">
        <f>MAX('Data #5'!AX64:AZ64)</f>
        <v>0</v>
      </c>
      <c r="BI62" s="88">
        <f t="shared" si="12"/>
        <v>0</v>
      </c>
      <c r="BJ62" s="88">
        <f t="shared" si="13"/>
        <v>0</v>
      </c>
      <c r="BK62" s="88">
        <v>-10</v>
      </c>
      <c r="BL62" s="92" t="e">
        <f t="shared" si="14"/>
        <v>#NUM!</v>
      </c>
      <c r="BM62" s="88">
        <v>-15</v>
      </c>
      <c r="BN62" s="92" t="e">
        <f t="shared" si="15"/>
        <v>#NUM!</v>
      </c>
    </row>
    <row r="63" spans="1:66">
      <c r="A63" s="19">
        <v>3000</v>
      </c>
      <c r="B63" s="88">
        <f>'Data #1'!W65</f>
        <v>88.456666666666663</v>
      </c>
      <c r="C63" s="88">
        <f>'Data #2'!W65</f>
        <v>20</v>
      </c>
      <c r="D63" s="88">
        <f>'Data #3'!W65</f>
        <v>20</v>
      </c>
      <c r="E63" s="88">
        <f>'Data #4'!W65</f>
        <v>20</v>
      </c>
      <c r="F63" s="88">
        <f>'Data #5'!W65</f>
        <v>20</v>
      </c>
      <c r="H63" s="20">
        <v>3000</v>
      </c>
      <c r="I63" s="88">
        <f>'Data #1'!AH65</f>
        <v>82.220000000000013</v>
      </c>
      <c r="J63" s="88">
        <f>'Data #2'!AH65</f>
        <v>20</v>
      </c>
      <c r="K63" s="88">
        <f>'Data #3'!AH65</f>
        <v>20</v>
      </c>
      <c r="L63" s="88">
        <f>'Data #4'!AH65</f>
        <v>20</v>
      </c>
      <c r="M63" s="88">
        <f>'Data #5'!AH65</f>
        <v>20</v>
      </c>
      <c r="O63">
        <v>3000</v>
      </c>
      <c r="P63">
        <f>MAX('Data #1'!C65:E65)</f>
        <v>-20.68</v>
      </c>
      <c r="Q63">
        <f>MAX('Data #2'!C65:E65)</f>
        <v>0</v>
      </c>
      <c r="R63">
        <f>MAX('Data #3'!C65:E65)</f>
        <v>0</v>
      </c>
      <c r="S63">
        <f>MAX('Data #4'!C65:E65)</f>
        <v>0</v>
      </c>
      <c r="T63">
        <f>MAX('Data #5'!C65:E65)</f>
        <v>0</v>
      </c>
      <c r="U63" s="88">
        <f t="shared" si="16"/>
        <v>-4.1360000000000001</v>
      </c>
      <c r="V63" s="88">
        <f t="shared" si="17"/>
        <v>9.2483771549391296</v>
      </c>
      <c r="W63" s="88">
        <v>-10</v>
      </c>
      <c r="X63" s="92">
        <f t="shared" si="4"/>
        <v>0.26302175098680974</v>
      </c>
      <c r="Y63" s="88">
        <v>-15</v>
      </c>
      <c r="Z63" s="92">
        <f t="shared" si="5"/>
        <v>0.12005886495046025</v>
      </c>
      <c r="AB63">
        <v>3000</v>
      </c>
      <c r="AC63">
        <f>MAX('Data #1'!F65:H65)</f>
        <v>-14.59</v>
      </c>
      <c r="AD63">
        <f>MAX('Data #2'!F65:H65)</f>
        <v>0</v>
      </c>
      <c r="AE63">
        <f>MAX('Data #3'!F65:H65)</f>
        <v>0</v>
      </c>
      <c r="AF63">
        <f>MAX('Data #4'!F65:H65)</f>
        <v>0</v>
      </c>
      <c r="AG63">
        <f>MAX('Data #5'!F65:H65)</f>
        <v>0</v>
      </c>
      <c r="AH63" s="88">
        <f t="shared" si="6"/>
        <v>-2.9180000000000001</v>
      </c>
      <c r="AI63" s="88">
        <f t="shared" si="7"/>
        <v>6.5248463583443863</v>
      </c>
      <c r="AJ63" s="88">
        <v>-10</v>
      </c>
      <c r="AK63" s="92">
        <f t="shared" si="8"/>
        <v>0.13887458116505261</v>
      </c>
      <c r="AL63" s="88">
        <v>-15</v>
      </c>
      <c r="AM63" s="92">
        <f t="shared" si="9"/>
        <v>3.2035095617545556E-2</v>
      </c>
      <c r="AP63">
        <v>3000</v>
      </c>
      <c r="AQ63">
        <f>MAX('Data #1'!AU65:AW65)</f>
        <v>0</v>
      </c>
      <c r="AR63">
        <f>MAX('Data #2'!AU65:AW65)</f>
        <v>0</v>
      </c>
      <c r="AS63">
        <f>MAX('Data #3'!AU65:AW65)</f>
        <v>0</v>
      </c>
      <c r="AT63">
        <f>MAX('Data #4'!AU65:AW65)</f>
        <v>0</v>
      </c>
      <c r="AU63">
        <f>MAX('Data #5'!AU65:AW65)</f>
        <v>0</v>
      </c>
      <c r="AV63" s="88">
        <f t="shared" si="2"/>
        <v>0</v>
      </c>
      <c r="AW63" s="88">
        <f t="shared" si="3"/>
        <v>0</v>
      </c>
      <c r="AX63" s="88">
        <v>-10</v>
      </c>
      <c r="AY63" s="92" t="e">
        <f t="shared" si="10"/>
        <v>#NUM!</v>
      </c>
      <c r="AZ63" s="88">
        <v>-15</v>
      </c>
      <c r="BA63" s="92" t="e">
        <f t="shared" si="11"/>
        <v>#NUM!</v>
      </c>
      <c r="BC63">
        <v>3000</v>
      </c>
      <c r="BD63">
        <f>MAX('Data #1'!AX65:AZ65)</f>
        <v>0</v>
      </c>
      <c r="BE63">
        <f>MAX('Data #2'!AX65:AZ65)</f>
        <v>0</v>
      </c>
      <c r="BF63">
        <f>MAX('Data #3'!AX65:AZ65)</f>
        <v>0</v>
      </c>
      <c r="BG63">
        <f>MAX('Data #4'!AX65:AZ65)</f>
        <v>0</v>
      </c>
      <c r="BH63">
        <f>MAX('Data #5'!AX65:AZ65)</f>
        <v>0</v>
      </c>
      <c r="BI63" s="88">
        <f t="shared" si="12"/>
        <v>0</v>
      </c>
      <c r="BJ63" s="88">
        <f t="shared" si="13"/>
        <v>0</v>
      </c>
      <c r="BK63" s="88">
        <v>-10</v>
      </c>
      <c r="BL63" s="92" t="e">
        <f t="shared" si="14"/>
        <v>#NUM!</v>
      </c>
      <c r="BM63" s="88">
        <v>-15</v>
      </c>
      <c r="BN63" s="92" t="e">
        <f t="shared" si="15"/>
        <v>#NUM!</v>
      </c>
    </row>
    <row r="64" spans="1:66">
      <c r="A64" s="19">
        <v>3150</v>
      </c>
      <c r="B64" s="88">
        <f>'Data #1'!W66</f>
        <v>85.473333333333315</v>
      </c>
      <c r="C64" s="88">
        <f>'Data #2'!W66</f>
        <v>20</v>
      </c>
      <c r="D64" s="88">
        <f>'Data #3'!W66</f>
        <v>20</v>
      </c>
      <c r="E64" s="88">
        <f>'Data #4'!W66</f>
        <v>20</v>
      </c>
      <c r="F64" s="88">
        <f>'Data #5'!W66</f>
        <v>20</v>
      </c>
      <c r="H64" s="20">
        <v>3150</v>
      </c>
      <c r="I64" s="88">
        <f>'Data #1'!AH66</f>
        <v>81.13333333333334</v>
      </c>
      <c r="J64" s="88">
        <f>'Data #2'!AH66</f>
        <v>20</v>
      </c>
      <c r="K64" s="88">
        <f>'Data #3'!AH66</f>
        <v>20</v>
      </c>
      <c r="L64" s="88">
        <f>'Data #4'!AH66</f>
        <v>20</v>
      </c>
      <c r="M64" s="88">
        <f>'Data #5'!AH66</f>
        <v>20</v>
      </c>
      <c r="O64">
        <v>3150</v>
      </c>
      <c r="P64">
        <f>MAX('Data #1'!C66:E66)</f>
        <v>-17.850000000000001</v>
      </c>
      <c r="Q64">
        <f>MAX('Data #2'!C66:E66)</f>
        <v>0</v>
      </c>
      <c r="R64">
        <f>MAX('Data #3'!C66:E66)</f>
        <v>0</v>
      </c>
      <c r="S64">
        <f>MAX('Data #4'!C66:E66)</f>
        <v>0</v>
      </c>
      <c r="T64">
        <f>MAX('Data #5'!C66:E66)</f>
        <v>0</v>
      </c>
      <c r="U64" s="88">
        <f t="shared" si="16"/>
        <v>-3.5700000000000003</v>
      </c>
      <c r="V64" s="88">
        <f t="shared" si="17"/>
        <v>7.9827626796742504</v>
      </c>
      <c r="W64" s="88">
        <v>-10</v>
      </c>
      <c r="X64" s="92">
        <f t="shared" si="4"/>
        <v>0.21026977035845165</v>
      </c>
      <c r="Y64" s="88">
        <v>-15</v>
      </c>
      <c r="Z64" s="92">
        <f t="shared" si="5"/>
        <v>7.6095506125008539E-2</v>
      </c>
      <c r="AB64">
        <v>3150</v>
      </c>
      <c r="AC64">
        <f>MAX('Data #1'!F66:H66)</f>
        <v>-13.58</v>
      </c>
      <c r="AD64">
        <f>MAX('Data #2'!F66:H66)</f>
        <v>0</v>
      </c>
      <c r="AE64">
        <f>MAX('Data #3'!F66:H66)</f>
        <v>0</v>
      </c>
      <c r="AF64">
        <f>MAX('Data #4'!F66:H66)</f>
        <v>0</v>
      </c>
      <c r="AG64">
        <f>MAX('Data #5'!F66:H66)</f>
        <v>0</v>
      </c>
      <c r="AH64" s="88">
        <f t="shared" si="6"/>
        <v>-2.7160000000000002</v>
      </c>
      <c r="AI64" s="88">
        <f t="shared" si="7"/>
        <v>6.0731606268894289</v>
      </c>
      <c r="AJ64" s="88">
        <v>-10</v>
      </c>
      <c r="AK64" s="92">
        <f t="shared" si="8"/>
        <v>0.11519098688656387</v>
      </c>
      <c r="AL64" s="88">
        <v>-15</v>
      </c>
      <c r="AM64" s="92">
        <f t="shared" si="9"/>
        <v>2.1553589284199651E-2</v>
      </c>
      <c r="AP64">
        <v>3150</v>
      </c>
      <c r="AQ64">
        <f>MAX('Data #1'!AU66:AW66)</f>
        <v>0</v>
      </c>
      <c r="AR64">
        <f>MAX('Data #2'!AU66:AW66)</f>
        <v>0</v>
      </c>
      <c r="AS64">
        <f>MAX('Data #3'!AU66:AW66)</f>
        <v>0</v>
      </c>
      <c r="AT64">
        <f>MAX('Data #4'!AU66:AW66)</f>
        <v>0</v>
      </c>
      <c r="AU64">
        <f>MAX('Data #5'!AU66:AW66)</f>
        <v>0</v>
      </c>
      <c r="AV64" s="88">
        <f t="shared" si="2"/>
        <v>0</v>
      </c>
      <c r="AW64" s="88">
        <f t="shared" si="3"/>
        <v>0</v>
      </c>
      <c r="AX64" s="88">
        <v>-10</v>
      </c>
      <c r="AY64" s="92" t="e">
        <f t="shared" si="10"/>
        <v>#NUM!</v>
      </c>
      <c r="AZ64" s="88">
        <v>-15</v>
      </c>
      <c r="BA64" s="92" t="e">
        <f t="shared" si="11"/>
        <v>#NUM!</v>
      </c>
      <c r="BC64">
        <v>3150</v>
      </c>
      <c r="BD64">
        <f>MAX('Data #1'!AX66:AZ66)</f>
        <v>0</v>
      </c>
      <c r="BE64">
        <f>MAX('Data #2'!AX66:AZ66)</f>
        <v>0</v>
      </c>
      <c r="BF64">
        <f>MAX('Data #3'!AX66:AZ66)</f>
        <v>0</v>
      </c>
      <c r="BG64">
        <f>MAX('Data #4'!AX66:AZ66)</f>
        <v>0</v>
      </c>
      <c r="BH64">
        <f>MAX('Data #5'!AX66:AZ66)</f>
        <v>0</v>
      </c>
      <c r="BI64" s="88">
        <f t="shared" si="12"/>
        <v>0</v>
      </c>
      <c r="BJ64" s="88">
        <f t="shared" si="13"/>
        <v>0</v>
      </c>
      <c r="BK64" s="88">
        <v>-10</v>
      </c>
      <c r="BL64" s="92" t="e">
        <f t="shared" si="14"/>
        <v>#NUM!</v>
      </c>
      <c r="BM64" s="88">
        <v>-15</v>
      </c>
      <c r="BN64" s="92" t="e">
        <f t="shared" si="15"/>
        <v>#NUM!</v>
      </c>
    </row>
    <row r="65" spans="1:66">
      <c r="A65" s="19">
        <v>3350</v>
      </c>
      <c r="B65" s="88">
        <f>'Data #1'!W67</f>
        <v>82.406666666666666</v>
      </c>
      <c r="C65" s="88">
        <f>'Data #2'!W67</f>
        <v>20</v>
      </c>
      <c r="D65" s="88">
        <f>'Data #3'!W67</f>
        <v>20</v>
      </c>
      <c r="E65" s="88">
        <f>'Data #4'!W67</f>
        <v>20</v>
      </c>
      <c r="F65" s="88">
        <f>'Data #5'!W67</f>
        <v>20</v>
      </c>
      <c r="H65" s="20">
        <v>3350</v>
      </c>
      <c r="I65" s="88">
        <f>'Data #1'!AH67</f>
        <v>79.87</v>
      </c>
      <c r="J65" s="88">
        <f>'Data #2'!AH67</f>
        <v>20</v>
      </c>
      <c r="K65" s="88">
        <f>'Data #3'!AH67</f>
        <v>20</v>
      </c>
      <c r="L65" s="88">
        <f>'Data #4'!AH67</f>
        <v>20</v>
      </c>
      <c r="M65" s="88">
        <f>'Data #5'!AH67</f>
        <v>20</v>
      </c>
      <c r="O65">
        <v>3350</v>
      </c>
      <c r="P65">
        <f>MAX('Data #1'!C67:E67)</f>
        <v>-12.54</v>
      </c>
      <c r="Q65">
        <f>MAX('Data #2'!C67:E67)</f>
        <v>0</v>
      </c>
      <c r="R65">
        <f>MAX('Data #3'!C67:E67)</f>
        <v>0</v>
      </c>
      <c r="S65">
        <f>MAX('Data #4'!C67:E67)</f>
        <v>0</v>
      </c>
      <c r="T65">
        <f>MAX('Data #5'!C67:E67)</f>
        <v>0</v>
      </c>
      <c r="U65" s="88">
        <f t="shared" si="16"/>
        <v>-2.508</v>
      </c>
      <c r="V65" s="88">
        <f t="shared" si="17"/>
        <v>5.6080584875694717</v>
      </c>
      <c r="W65" s="88">
        <v>-10</v>
      </c>
      <c r="X65" s="92">
        <f t="shared" si="4"/>
        <v>9.0785306978223887E-2</v>
      </c>
      <c r="Y65" s="88">
        <v>-15</v>
      </c>
      <c r="Z65" s="92">
        <f t="shared" si="5"/>
        <v>1.2956641977792402E-2</v>
      </c>
      <c r="AB65">
        <v>3350</v>
      </c>
      <c r="AC65">
        <f>MAX('Data #1'!F67:H67)</f>
        <v>-11.2</v>
      </c>
      <c r="AD65">
        <f>MAX('Data #2'!F67:H67)</f>
        <v>0</v>
      </c>
      <c r="AE65">
        <f>MAX('Data #3'!F67:H67)</f>
        <v>0</v>
      </c>
      <c r="AF65">
        <f>MAX('Data #4'!F67:H67)</f>
        <v>0</v>
      </c>
      <c r="AG65">
        <f>MAX('Data #5'!F67:H67)</f>
        <v>0</v>
      </c>
      <c r="AH65" s="88">
        <f t="shared" si="6"/>
        <v>-2.2399999999999998</v>
      </c>
      <c r="AI65" s="88">
        <f t="shared" si="7"/>
        <v>5.0087922695995291</v>
      </c>
      <c r="AJ65" s="88">
        <v>-10</v>
      </c>
      <c r="AK65" s="92">
        <f t="shared" si="8"/>
        <v>6.0657732913669542E-2</v>
      </c>
      <c r="AL65" s="88">
        <v>-15</v>
      </c>
      <c r="AM65" s="92">
        <f t="shared" si="9"/>
        <v>5.4245769915016355E-3</v>
      </c>
      <c r="AP65">
        <v>3350</v>
      </c>
      <c r="AQ65">
        <f>MAX('Data #1'!AU67:AW67)</f>
        <v>0</v>
      </c>
      <c r="AR65">
        <f>MAX('Data #2'!AU67:AW67)</f>
        <v>0</v>
      </c>
      <c r="AS65">
        <f>MAX('Data #3'!AU67:AW67)</f>
        <v>0</v>
      </c>
      <c r="AT65">
        <f>MAX('Data #4'!AU67:AW67)</f>
        <v>0</v>
      </c>
      <c r="AU65">
        <f>MAX('Data #5'!AU67:AW67)</f>
        <v>0</v>
      </c>
      <c r="AV65" s="88">
        <f t="shared" si="2"/>
        <v>0</v>
      </c>
      <c r="AW65" s="88">
        <f t="shared" si="3"/>
        <v>0</v>
      </c>
      <c r="AX65" s="88">
        <v>-10</v>
      </c>
      <c r="AY65" s="92" t="e">
        <f t="shared" si="10"/>
        <v>#NUM!</v>
      </c>
      <c r="AZ65" s="88">
        <v>-15</v>
      </c>
      <c r="BA65" s="92" t="e">
        <f t="shared" si="11"/>
        <v>#NUM!</v>
      </c>
      <c r="BC65">
        <v>3350</v>
      </c>
      <c r="BD65">
        <f>MAX('Data #1'!AX67:AZ67)</f>
        <v>0</v>
      </c>
      <c r="BE65">
        <f>MAX('Data #2'!AX67:AZ67)</f>
        <v>0</v>
      </c>
      <c r="BF65">
        <f>MAX('Data #3'!AX67:AZ67)</f>
        <v>0</v>
      </c>
      <c r="BG65">
        <f>MAX('Data #4'!AX67:AZ67)</f>
        <v>0</v>
      </c>
      <c r="BH65">
        <f>MAX('Data #5'!AX67:AZ67)</f>
        <v>0</v>
      </c>
      <c r="BI65" s="88">
        <f t="shared" si="12"/>
        <v>0</v>
      </c>
      <c r="BJ65" s="88">
        <f t="shared" si="13"/>
        <v>0</v>
      </c>
      <c r="BK65" s="88">
        <v>-10</v>
      </c>
      <c r="BL65" s="92" t="e">
        <f t="shared" si="14"/>
        <v>#NUM!</v>
      </c>
      <c r="BM65" s="88">
        <v>-15</v>
      </c>
      <c r="BN65" s="92" t="e">
        <f t="shared" si="15"/>
        <v>#NUM!</v>
      </c>
    </row>
    <row r="66" spans="1:66">
      <c r="A66" s="19">
        <v>3550</v>
      </c>
      <c r="B66" s="88">
        <f>'Data #1'!W68</f>
        <v>80.633333333333326</v>
      </c>
      <c r="C66" s="88">
        <f>'Data #2'!W68</f>
        <v>20</v>
      </c>
      <c r="D66" s="88">
        <f>'Data #3'!W68</f>
        <v>20</v>
      </c>
      <c r="E66" s="88">
        <f>'Data #4'!W68</f>
        <v>20</v>
      </c>
      <c r="F66" s="88">
        <f>'Data #5'!W68</f>
        <v>20</v>
      </c>
      <c r="H66" s="20">
        <v>3550</v>
      </c>
      <c r="I66" s="88">
        <f>'Data #1'!AH68</f>
        <v>79.646666666666661</v>
      </c>
      <c r="J66" s="88">
        <f>'Data #2'!AH68</f>
        <v>20</v>
      </c>
      <c r="K66" s="88">
        <f>'Data #3'!AH68</f>
        <v>20</v>
      </c>
      <c r="L66" s="88">
        <f>'Data #4'!AH68</f>
        <v>20</v>
      </c>
      <c r="M66" s="88">
        <f>'Data #5'!AH68</f>
        <v>20</v>
      </c>
      <c r="O66">
        <v>3550</v>
      </c>
      <c r="P66">
        <f>MAX('Data #1'!C68:E68)</f>
        <v>-7.59</v>
      </c>
      <c r="Q66">
        <f>MAX('Data #2'!C68:E68)</f>
        <v>0</v>
      </c>
      <c r="R66">
        <f>MAX('Data #3'!C68:E68)</f>
        <v>0</v>
      </c>
      <c r="S66">
        <f>MAX('Data #4'!C68:E68)</f>
        <v>0</v>
      </c>
      <c r="T66">
        <f>MAX('Data #5'!C68:E68)</f>
        <v>0</v>
      </c>
      <c r="U66" s="88">
        <f t="shared" si="16"/>
        <v>-1.518</v>
      </c>
      <c r="V66" s="88">
        <f t="shared" si="17"/>
        <v>3.3943511898446808</v>
      </c>
      <c r="W66" s="88">
        <v>-10</v>
      </c>
      <c r="X66" s="92">
        <f t="shared" si="4"/>
        <v>6.2297196608084955E-3</v>
      </c>
      <c r="Y66" s="88">
        <v>-15</v>
      </c>
      <c r="Z66" s="92">
        <f t="shared" si="5"/>
        <v>3.5651862107120326E-5</v>
      </c>
      <c r="AB66">
        <v>3550</v>
      </c>
      <c r="AC66">
        <f>MAX('Data #1'!F68:H68)</f>
        <v>-9.67</v>
      </c>
      <c r="AD66">
        <f>MAX('Data #2'!F68:H68)</f>
        <v>0</v>
      </c>
      <c r="AE66">
        <f>MAX('Data #3'!F68:H68)</f>
        <v>0</v>
      </c>
      <c r="AF66">
        <f>MAX('Data #4'!F68:H68)</f>
        <v>0</v>
      </c>
      <c r="AG66">
        <f>MAX('Data #5'!F68:H68)</f>
        <v>0</v>
      </c>
      <c r="AH66" s="88">
        <f t="shared" si="6"/>
        <v>-1.9339999999999999</v>
      </c>
      <c r="AI66" s="88">
        <f t="shared" si="7"/>
        <v>4.3245554684845935</v>
      </c>
      <c r="AJ66" s="88">
        <v>-10</v>
      </c>
      <c r="AK66" s="92">
        <f t="shared" si="8"/>
        <v>3.107929382913073E-2</v>
      </c>
      <c r="AL66" s="88">
        <v>-15</v>
      </c>
      <c r="AM66" s="92">
        <f t="shared" si="9"/>
        <v>1.2582472852838724E-3</v>
      </c>
      <c r="AP66">
        <v>3550</v>
      </c>
      <c r="AQ66">
        <f>MAX('Data #1'!AU68:AW68)</f>
        <v>0</v>
      </c>
      <c r="AR66">
        <f>MAX('Data #2'!AU68:AW68)</f>
        <v>0</v>
      </c>
      <c r="AS66">
        <f>MAX('Data #3'!AU68:AW68)</f>
        <v>0</v>
      </c>
      <c r="AT66">
        <f>MAX('Data #4'!AU68:AW68)</f>
        <v>0</v>
      </c>
      <c r="AU66">
        <f>MAX('Data #5'!AU68:AW68)</f>
        <v>0</v>
      </c>
      <c r="AV66" s="88">
        <f t="shared" si="2"/>
        <v>0</v>
      </c>
      <c r="AW66" s="88">
        <f t="shared" si="3"/>
        <v>0</v>
      </c>
      <c r="AX66" s="88">
        <v>-10</v>
      </c>
      <c r="AY66" s="92" t="e">
        <f t="shared" si="10"/>
        <v>#NUM!</v>
      </c>
      <c r="AZ66" s="88">
        <v>-15</v>
      </c>
      <c r="BA66" s="92" t="e">
        <f t="shared" si="11"/>
        <v>#NUM!</v>
      </c>
      <c r="BC66">
        <v>3550</v>
      </c>
      <c r="BD66">
        <f>MAX('Data #1'!AX68:AZ68)</f>
        <v>0</v>
      </c>
      <c r="BE66">
        <f>MAX('Data #2'!AX68:AZ68)</f>
        <v>0</v>
      </c>
      <c r="BF66">
        <f>MAX('Data #3'!AX68:AZ68)</f>
        <v>0</v>
      </c>
      <c r="BG66">
        <f>MAX('Data #4'!AX68:AZ68)</f>
        <v>0</v>
      </c>
      <c r="BH66">
        <f>MAX('Data #5'!AX68:AZ68)</f>
        <v>0</v>
      </c>
      <c r="BI66" s="88">
        <f t="shared" si="12"/>
        <v>0</v>
      </c>
      <c r="BJ66" s="88">
        <f t="shared" si="13"/>
        <v>0</v>
      </c>
      <c r="BK66" s="88">
        <v>-10</v>
      </c>
      <c r="BL66" s="92" t="e">
        <f t="shared" si="14"/>
        <v>#NUM!</v>
      </c>
      <c r="BM66" s="88">
        <v>-15</v>
      </c>
      <c r="BN66" s="92" t="e">
        <f t="shared" si="15"/>
        <v>#NUM!</v>
      </c>
    </row>
    <row r="67" spans="1:66">
      <c r="A67" s="19">
        <v>3750</v>
      </c>
      <c r="B67" s="88">
        <f>'Data #1'!W69</f>
        <v>80.563333333333333</v>
      </c>
      <c r="C67" s="88">
        <f>'Data #2'!W69</f>
        <v>20</v>
      </c>
      <c r="D67" s="88">
        <f>'Data #3'!W69</f>
        <v>20</v>
      </c>
      <c r="E67" s="88">
        <f>'Data #4'!W69</f>
        <v>20</v>
      </c>
      <c r="F67" s="88">
        <f>'Data #5'!W69</f>
        <v>20</v>
      </c>
      <c r="H67" s="20">
        <v>3750</v>
      </c>
      <c r="I67" s="88">
        <f>'Data #1'!AH69</f>
        <v>81.256666666666661</v>
      </c>
      <c r="J67" s="88">
        <f>'Data #2'!AH69</f>
        <v>20</v>
      </c>
      <c r="K67" s="88">
        <f>'Data #3'!AH69</f>
        <v>20</v>
      </c>
      <c r="L67" s="88">
        <f>'Data #4'!AH69</f>
        <v>20</v>
      </c>
      <c r="M67" s="88">
        <f>'Data #5'!AH69</f>
        <v>20</v>
      </c>
      <c r="O67">
        <v>3750</v>
      </c>
      <c r="P67">
        <f>MAX('Data #1'!C69:E69)</f>
        <v>-8.08</v>
      </c>
      <c r="Q67">
        <f>MAX('Data #2'!C69:E69)</f>
        <v>0</v>
      </c>
      <c r="R67">
        <f>MAX('Data #3'!C69:E69)</f>
        <v>0</v>
      </c>
      <c r="S67">
        <f>MAX('Data #4'!C69:E69)</f>
        <v>0</v>
      </c>
      <c r="T67">
        <f>MAX('Data #5'!C69:E69)</f>
        <v>0</v>
      </c>
      <c r="U67" s="88">
        <f t="shared" si="16"/>
        <v>-1.6160000000000001</v>
      </c>
      <c r="V67" s="88">
        <f t="shared" si="17"/>
        <v>3.6134858516396604</v>
      </c>
      <c r="W67" s="88">
        <v>-10</v>
      </c>
      <c r="X67" s="92">
        <f t="shared" si="4"/>
        <v>1.0165104172010732E-2</v>
      </c>
      <c r="Y67" s="88">
        <v>-15</v>
      </c>
      <c r="Z67" s="92">
        <f t="shared" si="5"/>
        <v>1.0615385977573043E-4</v>
      </c>
      <c r="AB67">
        <v>3750</v>
      </c>
      <c r="AC67">
        <f>MAX('Data #1'!F69:H69)</f>
        <v>-9.67</v>
      </c>
      <c r="AD67">
        <f>MAX('Data #2'!F69:H69)</f>
        <v>0</v>
      </c>
      <c r="AE67">
        <f>MAX('Data #3'!F69:H69)</f>
        <v>0</v>
      </c>
      <c r="AF67">
        <f>MAX('Data #4'!F69:H69)</f>
        <v>0</v>
      </c>
      <c r="AG67">
        <f>MAX('Data #5'!F69:H69)</f>
        <v>0</v>
      </c>
      <c r="AH67" s="88">
        <f t="shared" si="6"/>
        <v>-1.9339999999999999</v>
      </c>
      <c r="AI67" s="88">
        <f t="shared" si="7"/>
        <v>4.3245554684845935</v>
      </c>
      <c r="AJ67" s="88">
        <v>-10</v>
      </c>
      <c r="AK67" s="92">
        <f t="shared" si="8"/>
        <v>3.107929382913073E-2</v>
      </c>
      <c r="AL67" s="88">
        <v>-15</v>
      </c>
      <c r="AM67" s="92">
        <f t="shared" si="9"/>
        <v>1.2582472852838724E-3</v>
      </c>
      <c r="AP67">
        <v>3750</v>
      </c>
      <c r="AQ67">
        <f>MAX('Data #1'!AU69:AW69)</f>
        <v>0</v>
      </c>
      <c r="AR67">
        <f>MAX('Data #2'!AU69:AW69)</f>
        <v>0</v>
      </c>
      <c r="AS67">
        <f>MAX('Data #3'!AU69:AW69)</f>
        <v>0</v>
      </c>
      <c r="AT67">
        <f>MAX('Data #4'!AU69:AW69)</f>
        <v>0</v>
      </c>
      <c r="AU67">
        <f>MAX('Data #5'!AU69:AW69)</f>
        <v>0</v>
      </c>
      <c r="AV67" s="88">
        <f t="shared" si="2"/>
        <v>0</v>
      </c>
      <c r="AW67" s="88">
        <f t="shared" si="3"/>
        <v>0</v>
      </c>
      <c r="AX67" s="88">
        <v>-10</v>
      </c>
      <c r="AY67" s="92" t="e">
        <f t="shared" si="10"/>
        <v>#NUM!</v>
      </c>
      <c r="AZ67" s="88">
        <v>-15</v>
      </c>
      <c r="BA67" s="92" t="e">
        <f t="shared" si="11"/>
        <v>#NUM!</v>
      </c>
      <c r="BC67">
        <v>3750</v>
      </c>
      <c r="BD67">
        <f>MAX('Data #1'!AX69:AZ69)</f>
        <v>0</v>
      </c>
      <c r="BE67">
        <f>MAX('Data #2'!AX69:AZ69)</f>
        <v>0</v>
      </c>
      <c r="BF67">
        <f>MAX('Data #3'!AX69:AZ69)</f>
        <v>0</v>
      </c>
      <c r="BG67">
        <f>MAX('Data #4'!AX69:AZ69)</f>
        <v>0</v>
      </c>
      <c r="BH67">
        <f>MAX('Data #5'!AX69:AZ69)</f>
        <v>0</v>
      </c>
      <c r="BI67" s="88">
        <f t="shared" si="12"/>
        <v>0</v>
      </c>
      <c r="BJ67" s="88">
        <f t="shared" si="13"/>
        <v>0</v>
      </c>
      <c r="BK67" s="88">
        <v>-10</v>
      </c>
      <c r="BL67" s="92" t="e">
        <f t="shared" si="14"/>
        <v>#NUM!</v>
      </c>
      <c r="BM67" s="88">
        <v>-15</v>
      </c>
      <c r="BN67" s="92" t="e">
        <f t="shared" si="15"/>
        <v>#NUM!</v>
      </c>
    </row>
    <row r="68" spans="1:66">
      <c r="A68" s="19">
        <v>4000</v>
      </c>
      <c r="B68" s="88">
        <f>'Data #1'!W70</f>
        <v>81.053333333333342</v>
      </c>
      <c r="C68" s="88">
        <f>'Data #2'!W70</f>
        <v>20</v>
      </c>
      <c r="D68" s="88">
        <f>'Data #3'!W70</f>
        <v>20</v>
      </c>
      <c r="E68" s="88">
        <f>'Data #4'!W70</f>
        <v>20</v>
      </c>
      <c r="F68" s="88">
        <f>'Data #5'!W70</f>
        <v>20</v>
      </c>
      <c r="H68" s="20">
        <v>4000</v>
      </c>
      <c r="I68" s="88">
        <f>'Data #1'!AH70</f>
        <v>82.23</v>
      </c>
      <c r="J68" s="88">
        <f>'Data #2'!AH70</f>
        <v>20</v>
      </c>
      <c r="K68" s="88">
        <f>'Data #3'!AH70</f>
        <v>20</v>
      </c>
      <c r="L68" s="88">
        <f>'Data #4'!AH70</f>
        <v>20</v>
      </c>
      <c r="M68" s="88">
        <f>'Data #5'!AH70</f>
        <v>20</v>
      </c>
      <c r="O68">
        <v>4000</v>
      </c>
      <c r="P68">
        <f>MAX('Data #1'!C70:E70)</f>
        <v>-13.43</v>
      </c>
      <c r="Q68">
        <f>MAX('Data #2'!C70:E70)</f>
        <v>0</v>
      </c>
      <c r="R68">
        <f>MAX('Data #3'!C70:E70)</f>
        <v>0</v>
      </c>
      <c r="S68">
        <f>MAX('Data #4'!C70:E70)</f>
        <v>0</v>
      </c>
      <c r="T68">
        <f>MAX('Data #5'!C70:E70)</f>
        <v>0</v>
      </c>
      <c r="U68" s="88">
        <f t="shared" ref="U68:U84" si="18">AVERAGE(P68:T68)</f>
        <v>-2.6859999999999999</v>
      </c>
      <c r="V68" s="88">
        <f t="shared" si="17"/>
        <v>6.0060785875644349</v>
      </c>
      <c r="W68" s="88">
        <v>-10</v>
      </c>
      <c r="X68" s="92">
        <f t="shared" si="4"/>
        <v>0.11165640019009898</v>
      </c>
      <c r="Y68" s="88">
        <v>-15</v>
      </c>
      <c r="Z68" s="92">
        <f t="shared" si="5"/>
        <v>2.0169717051023155E-2</v>
      </c>
      <c r="AB68">
        <v>4000</v>
      </c>
      <c r="AC68">
        <f>MAX('Data #1'!F70:H70)</f>
        <v>-16.149999999999999</v>
      </c>
      <c r="AD68">
        <f>MAX('Data #2'!F70:H70)</f>
        <v>0</v>
      </c>
      <c r="AE68">
        <f>MAX('Data #3'!F70:H70)</f>
        <v>0</v>
      </c>
      <c r="AF68">
        <f>MAX('Data #4'!F70:H70)</f>
        <v>0</v>
      </c>
      <c r="AG68">
        <f>MAX('Data #5'!F70:H70)</f>
        <v>0</v>
      </c>
      <c r="AH68" s="88">
        <f t="shared" si="6"/>
        <v>-3.2299999999999995</v>
      </c>
      <c r="AI68" s="88">
        <f t="shared" si="7"/>
        <v>7.22249956732432</v>
      </c>
      <c r="AJ68" s="88">
        <v>-10</v>
      </c>
      <c r="AK68" s="92">
        <f t="shared" si="8"/>
        <v>0.17428963057486019</v>
      </c>
      <c r="AL68" s="88">
        <v>-15</v>
      </c>
      <c r="AM68" s="92">
        <f t="shared" si="9"/>
        <v>5.1589888809138361E-2</v>
      </c>
      <c r="AP68">
        <v>4000</v>
      </c>
      <c r="AQ68">
        <f>MAX('Data #1'!AU70:AW70)</f>
        <v>0</v>
      </c>
      <c r="AR68">
        <f>MAX('Data #2'!AU70:AW70)</f>
        <v>0</v>
      </c>
      <c r="AS68">
        <f>MAX('Data #3'!AU70:AW70)</f>
        <v>0</v>
      </c>
      <c r="AT68">
        <f>MAX('Data #4'!AU70:AW70)</f>
        <v>0</v>
      </c>
      <c r="AU68">
        <f>MAX('Data #5'!AU70:AW70)</f>
        <v>0</v>
      </c>
      <c r="AV68" s="88">
        <f t="shared" ref="AV68:AV84" si="19">AVERAGE(AQ68:AU68)</f>
        <v>0</v>
      </c>
      <c r="AW68" s="88">
        <f t="shared" ref="AW68:AW84" si="20">_xlfn.STDEV.S(AQ68:AU68)</f>
        <v>0</v>
      </c>
      <c r="AX68" s="88">
        <v>-10</v>
      </c>
      <c r="AY68" s="92" t="e">
        <f t="shared" si="10"/>
        <v>#NUM!</v>
      </c>
      <c r="AZ68" s="88">
        <v>-15</v>
      </c>
      <c r="BA68" s="92" t="e">
        <f t="shared" si="11"/>
        <v>#NUM!</v>
      </c>
      <c r="BC68">
        <v>4000</v>
      </c>
      <c r="BD68">
        <f>MAX('Data #1'!AX70:AZ70)</f>
        <v>0</v>
      </c>
      <c r="BE68">
        <f>MAX('Data #2'!AX70:AZ70)</f>
        <v>0</v>
      </c>
      <c r="BF68">
        <f>MAX('Data #3'!AX70:AZ70)</f>
        <v>0</v>
      </c>
      <c r="BG68">
        <f>MAX('Data #4'!AX70:AZ70)</f>
        <v>0</v>
      </c>
      <c r="BH68">
        <f>MAX('Data #5'!AX70:AZ70)</f>
        <v>0</v>
      </c>
      <c r="BI68" s="88">
        <f t="shared" si="12"/>
        <v>0</v>
      </c>
      <c r="BJ68" s="88">
        <f t="shared" si="13"/>
        <v>0</v>
      </c>
      <c r="BK68" s="88">
        <v>-10</v>
      </c>
      <c r="BL68" s="92" t="e">
        <f t="shared" si="14"/>
        <v>#NUM!</v>
      </c>
      <c r="BM68" s="88">
        <v>-15</v>
      </c>
      <c r="BN68" s="92" t="e">
        <f t="shared" si="15"/>
        <v>#NUM!</v>
      </c>
    </row>
    <row r="69" spans="1:66">
      <c r="A69" s="19">
        <v>4250</v>
      </c>
      <c r="B69" s="88">
        <f>'Data #1'!W71</f>
        <v>78.693333333333328</v>
      </c>
      <c r="C69" s="88">
        <f>'Data #2'!W71</f>
        <v>20</v>
      </c>
      <c r="D69" s="88">
        <f>'Data #3'!W71</f>
        <v>20</v>
      </c>
      <c r="E69" s="88">
        <f>'Data #4'!W71</f>
        <v>20</v>
      </c>
      <c r="F69" s="88">
        <f>'Data #5'!W71</f>
        <v>20</v>
      </c>
      <c r="H69" s="20">
        <v>4250</v>
      </c>
      <c r="I69" s="88">
        <f>'Data #1'!AH71</f>
        <v>82.823333333333338</v>
      </c>
      <c r="J69" s="88">
        <f>'Data #2'!AH71</f>
        <v>20</v>
      </c>
      <c r="K69" s="88">
        <f>'Data #3'!AH71</f>
        <v>20</v>
      </c>
      <c r="L69" s="88">
        <f>'Data #4'!AH71</f>
        <v>20</v>
      </c>
      <c r="M69" s="88">
        <f>'Data #5'!AH71</f>
        <v>20</v>
      </c>
      <c r="O69">
        <v>4250</v>
      </c>
      <c r="P69">
        <f>MAX('Data #1'!C71:E71)</f>
        <v>-13.37</v>
      </c>
      <c r="Q69">
        <f>MAX('Data #2'!C71:E71)</f>
        <v>0</v>
      </c>
      <c r="R69">
        <f>MAX('Data #3'!C71:E71)</f>
        <v>0</v>
      </c>
      <c r="S69">
        <f>MAX('Data #4'!C71:E71)</f>
        <v>0</v>
      </c>
      <c r="T69">
        <f>MAX('Data #5'!C71:E71)</f>
        <v>0</v>
      </c>
      <c r="U69" s="88">
        <f t="shared" si="18"/>
        <v>-2.6739999999999999</v>
      </c>
      <c r="V69" s="88">
        <f t="shared" ref="V69:V84" si="21">_xlfn.STDEV.S(P69:T69)</f>
        <v>5.9792457718344378</v>
      </c>
      <c r="W69" s="88">
        <v>-10</v>
      </c>
      <c r="X69" s="92">
        <f t="shared" ref="X69:X84" si="22">_xlfn.NORM.DIST(W69,U69,V69,TRUE)</f>
        <v>0.11024275304677165</v>
      </c>
      <c r="Y69" s="88">
        <v>-15</v>
      </c>
      <c r="Z69" s="92">
        <f t="shared" ref="Z69:Z84" si="23">_xlfn.NORM.DIST(Y69,U69,V69,TRUE)</f>
        <v>1.9629396521909877E-2</v>
      </c>
      <c r="AB69">
        <v>4250</v>
      </c>
      <c r="AC69">
        <f>MAX('Data #1'!F71:H71)</f>
        <v>-15.2</v>
      </c>
      <c r="AD69">
        <f>MAX('Data #2'!F71:H71)</f>
        <v>0</v>
      </c>
      <c r="AE69">
        <f>MAX('Data #3'!F71:H71)</f>
        <v>0</v>
      </c>
      <c r="AF69">
        <f>MAX('Data #4'!F71:H71)</f>
        <v>0</v>
      </c>
      <c r="AG69">
        <f>MAX('Data #5'!F71:H71)</f>
        <v>0</v>
      </c>
      <c r="AH69" s="88">
        <f t="shared" ref="AH69:AH84" si="24">AVERAGE(AC69:AG69)</f>
        <v>-3.04</v>
      </c>
      <c r="AI69" s="88">
        <f t="shared" ref="AI69:AI84" si="25">_xlfn.STDEV.S(AC69:AG69)</f>
        <v>6.7976466515993605</v>
      </c>
      <c r="AJ69" s="88">
        <v>-10</v>
      </c>
      <c r="AK69" s="92">
        <f t="shared" ref="AK69:AK84" si="26">_xlfn.NORM.DIST(AJ69,AH69,AI69,TRUE)</f>
        <v>0.15294509129796441</v>
      </c>
      <c r="AL69" s="88">
        <v>-15</v>
      </c>
      <c r="AM69" s="92">
        <f t="shared" ref="AM69:AM84" si="27">_xlfn.NORM.DIST(AL69,AH69,AI69,TRUE)</f>
        <v>3.9252043426492807E-2</v>
      </c>
      <c r="AP69">
        <v>4250</v>
      </c>
      <c r="AQ69">
        <f>MAX('Data #1'!AU71:AW71)</f>
        <v>0</v>
      </c>
      <c r="AR69">
        <f>MAX('Data #2'!AU71:AW71)</f>
        <v>0</v>
      </c>
      <c r="AS69">
        <f>MAX('Data #3'!AU71:AW71)</f>
        <v>0</v>
      </c>
      <c r="AT69">
        <f>MAX('Data #4'!AU71:AW71)</f>
        <v>0</v>
      </c>
      <c r="AU69">
        <f>MAX('Data #5'!AU71:AW71)</f>
        <v>0</v>
      </c>
      <c r="AV69" s="88">
        <f t="shared" si="19"/>
        <v>0</v>
      </c>
      <c r="AW69" s="88">
        <f t="shared" si="20"/>
        <v>0</v>
      </c>
      <c r="AX69" s="88">
        <v>-10</v>
      </c>
      <c r="AY69" s="92" t="e">
        <f t="shared" ref="AY69:AY84" si="28">_xlfn.NORM.DIST(AX69,AV69,AW69,TRUE)</f>
        <v>#NUM!</v>
      </c>
      <c r="AZ69" s="88">
        <v>-15</v>
      </c>
      <c r="BA69" s="92" t="e">
        <f t="shared" ref="BA69:BA84" si="29">_xlfn.NORM.DIST(AZ69,AV69,AW69,TRUE)</f>
        <v>#NUM!</v>
      </c>
      <c r="BC69">
        <v>4250</v>
      </c>
      <c r="BD69">
        <f>MAX('Data #1'!AX71:AZ71)</f>
        <v>0</v>
      </c>
      <c r="BE69">
        <f>MAX('Data #2'!AX71:AZ71)</f>
        <v>0</v>
      </c>
      <c r="BF69">
        <f>MAX('Data #3'!AX71:AZ71)</f>
        <v>0</v>
      </c>
      <c r="BG69">
        <f>MAX('Data #4'!AX71:AZ71)</f>
        <v>0</v>
      </c>
      <c r="BH69">
        <f>MAX('Data #5'!AX71:AZ71)</f>
        <v>0</v>
      </c>
      <c r="BI69" s="88">
        <f t="shared" ref="BI69:BI84" si="30">AVERAGE(BD69:BH69)</f>
        <v>0</v>
      </c>
      <c r="BJ69" s="88">
        <f t="shared" ref="BJ69:BJ84" si="31">_xlfn.STDEV.S(BD69:BH69)</f>
        <v>0</v>
      </c>
      <c r="BK69" s="88">
        <v>-10</v>
      </c>
      <c r="BL69" s="92" t="e">
        <f t="shared" ref="BL69:BL84" si="32">_xlfn.NORM.DIST(BK69,BI69,BJ69,TRUE)</f>
        <v>#NUM!</v>
      </c>
      <c r="BM69" s="88">
        <v>-15</v>
      </c>
      <c r="BN69" s="92" t="e">
        <f t="shared" ref="BN69:BN84" si="33">_xlfn.NORM.DIST(BM69,BI69,BJ69,TRUE)</f>
        <v>#NUM!</v>
      </c>
    </row>
    <row r="70" spans="1:66">
      <c r="A70" s="19">
        <v>4500</v>
      </c>
      <c r="B70" s="88">
        <f>'Data #1'!W72</f>
        <v>79.556666666666658</v>
      </c>
      <c r="C70" s="88">
        <f>'Data #2'!W72</f>
        <v>20</v>
      </c>
      <c r="D70" s="88">
        <f>'Data #3'!W72</f>
        <v>20</v>
      </c>
      <c r="E70" s="88">
        <f>'Data #4'!W72</f>
        <v>20</v>
      </c>
      <c r="F70" s="88">
        <f>'Data #5'!W72</f>
        <v>20</v>
      </c>
      <c r="H70" s="20">
        <v>4500</v>
      </c>
      <c r="I70" s="88">
        <f>'Data #1'!AH72</f>
        <v>87.033333333333317</v>
      </c>
      <c r="J70" s="88">
        <f>'Data #2'!AH72</f>
        <v>20</v>
      </c>
      <c r="K70" s="88">
        <f>'Data #3'!AH72</f>
        <v>20</v>
      </c>
      <c r="L70" s="88">
        <f>'Data #4'!AH72</f>
        <v>20</v>
      </c>
      <c r="M70" s="88">
        <f>'Data #5'!AH72</f>
        <v>20</v>
      </c>
      <c r="O70">
        <v>4500</v>
      </c>
      <c r="P70">
        <f>MAX('Data #1'!C72:E72)</f>
        <v>-13.11</v>
      </c>
      <c r="Q70">
        <f>MAX('Data #2'!C72:E72)</f>
        <v>0</v>
      </c>
      <c r="R70">
        <f>MAX('Data #3'!C72:E72)</f>
        <v>0</v>
      </c>
      <c r="S70">
        <f>MAX('Data #4'!C72:E72)</f>
        <v>0</v>
      </c>
      <c r="T70">
        <f>MAX('Data #5'!C72:E72)</f>
        <v>0</v>
      </c>
      <c r="U70" s="88">
        <f t="shared" si="18"/>
        <v>-2.6219999999999999</v>
      </c>
      <c r="V70" s="88">
        <f t="shared" si="21"/>
        <v>5.8629702370044487</v>
      </c>
      <c r="W70" s="88">
        <v>-10</v>
      </c>
      <c r="X70" s="92">
        <f t="shared" si="22"/>
        <v>0.10412238673235807</v>
      </c>
      <c r="Y70" s="88">
        <v>-15</v>
      </c>
      <c r="Z70" s="92">
        <f t="shared" si="23"/>
        <v>1.7376849980157122E-2</v>
      </c>
      <c r="AB70">
        <v>4500</v>
      </c>
      <c r="AC70">
        <f>MAX('Data #1'!F72:H72)</f>
        <v>-19.32</v>
      </c>
      <c r="AD70">
        <f>MAX('Data #2'!F72:H72)</f>
        <v>0</v>
      </c>
      <c r="AE70">
        <f>MAX('Data #3'!F72:H72)</f>
        <v>0</v>
      </c>
      <c r="AF70">
        <f>MAX('Data #4'!F72:H72)</f>
        <v>0</v>
      </c>
      <c r="AG70">
        <f>MAX('Data #5'!F72:H72)</f>
        <v>0</v>
      </c>
      <c r="AH70" s="88">
        <f t="shared" si="24"/>
        <v>-3.8639999999999999</v>
      </c>
      <c r="AI70" s="88">
        <f t="shared" si="25"/>
        <v>8.6401666650591871</v>
      </c>
      <c r="AJ70" s="88">
        <v>-10</v>
      </c>
      <c r="AK70" s="92">
        <f t="shared" si="26"/>
        <v>0.2387989003223111</v>
      </c>
      <c r="AL70" s="88">
        <v>-15</v>
      </c>
      <c r="AM70" s="92">
        <f t="shared" si="27"/>
        <v>9.87226810754782E-2</v>
      </c>
      <c r="AP70">
        <v>4500</v>
      </c>
      <c r="AQ70">
        <f>MAX('Data #1'!AU72:AW72)</f>
        <v>0</v>
      </c>
      <c r="AR70">
        <f>MAX('Data #2'!AU72:AW72)</f>
        <v>0</v>
      </c>
      <c r="AS70">
        <f>MAX('Data #3'!AU72:AW72)</f>
        <v>0</v>
      </c>
      <c r="AT70">
        <f>MAX('Data #4'!AU72:AW72)</f>
        <v>0</v>
      </c>
      <c r="AU70">
        <f>MAX('Data #5'!AU72:AW72)</f>
        <v>0</v>
      </c>
      <c r="AV70" s="88">
        <f t="shared" si="19"/>
        <v>0</v>
      </c>
      <c r="AW70" s="88">
        <f t="shared" si="20"/>
        <v>0</v>
      </c>
      <c r="AX70" s="88">
        <v>-10</v>
      </c>
      <c r="AY70" s="92" t="e">
        <f t="shared" si="28"/>
        <v>#NUM!</v>
      </c>
      <c r="AZ70" s="88">
        <v>-15</v>
      </c>
      <c r="BA70" s="92" t="e">
        <f t="shared" si="29"/>
        <v>#NUM!</v>
      </c>
      <c r="BC70">
        <v>4500</v>
      </c>
      <c r="BD70">
        <f>MAX('Data #1'!AX72:AZ72)</f>
        <v>0</v>
      </c>
      <c r="BE70">
        <f>MAX('Data #2'!AX72:AZ72)</f>
        <v>0</v>
      </c>
      <c r="BF70">
        <f>MAX('Data #3'!AX72:AZ72)</f>
        <v>0</v>
      </c>
      <c r="BG70">
        <f>MAX('Data #4'!AX72:AZ72)</f>
        <v>0</v>
      </c>
      <c r="BH70">
        <f>MAX('Data #5'!AX72:AZ72)</f>
        <v>0</v>
      </c>
      <c r="BI70" s="88">
        <f t="shared" si="30"/>
        <v>0</v>
      </c>
      <c r="BJ70" s="88">
        <f t="shared" si="31"/>
        <v>0</v>
      </c>
      <c r="BK70" s="88">
        <v>-10</v>
      </c>
      <c r="BL70" s="92" t="e">
        <f t="shared" si="32"/>
        <v>#NUM!</v>
      </c>
      <c r="BM70" s="88">
        <v>-15</v>
      </c>
      <c r="BN70" s="92" t="e">
        <f t="shared" si="33"/>
        <v>#NUM!</v>
      </c>
    </row>
    <row r="71" spans="1:66">
      <c r="A71" s="19">
        <v>4750</v>
      </c>
      <c r="B71" s="88">
        <f>'Data #1'!W73</f>
        <v>79.676666666666662</v>
      </c>
      <c r="C71" s="88">
        <f>'Data #2'!W73</f>
        <v>20</v>
      </c>
      <c r="D71" s="88">
        <f>'Data #3'!W73</f>
        <v>20</v>
      </c>
      <c r="E71" s="88">
        <f>'Data #4'!W73</f>
        <v>20</v>
      </c>
      <c r="F71" s="88">
        <f>'Data #5'!W73</f>
        <v>20</v>
      </c>
      <c r="H71" s="20">
        <v>4750</v>
      </c>
      <c r="I71" s="88">
        <f>'Data #1'!AH73</f>
        <v>93.613333333333344</v>
      </c>
      <c r="J71" s="88">
        <f>'Data #2'!AH73</f>
        <v>20</v>
      </c>
      <c r="K71" s="88">
        <f>'Data #3'!AH73</f>
        <v>20</v>
      </c>
      <c r="L71" s="88">
        <f>'Data #4'!AH73</f>
        <v>20</v>
      </c>
      <c r="M71" s="88">
        <f>'Data #5'!AH73</f>
        <v>20</v>
      </c>
      <c r="O71">
        <v>4750</v>
      </c>
      <c r="P71">
        <f>MAX('Data #1'!C73:E73)</f>
        <v>-11.02</v>
      </c>
      <c r="Q71">
        <f>MAX('Data #2'!C73:E73)</f>
        <v>0</v>
      </c>
      <c r="R71">
        <f>MAX('Data #3'!C73:E73)</f>
        <v>0</v>
      </c>
      <c r="S71">
        <f>MAX('Data #4'!C73:E73)</f>
        <v>0</v>
      </c>
      <c r="T71">
        <f>MAX('Data #5'!C73:E73)</f>
        <v>0</v>
      </c>
      <c r="U71" s="88">
        <f t="shared" si="18"/>
        <v>-2.2039999999999997</v>
      </c>
      <c r="V71" s="88">
        <f t="shared" si="21"/>
        <v>4.928293822409537</v>
      </c>
      <c r="W71" s="88">
        <v>-10</v>
      </c>
      <c r="X71" s="92">
        <f t="shared" si="22"/>
        <v>5.6837775625459455E-2</v>
      </c>
      <c r="Y71" s="88">
        <v>-15</v>
      </c>
      <c r="Z71" s="92">
        <f t="shared" si="23"/>
        <v>4.7098212156678303E-3</v>
      </c>
      <c r="AB71">
        <v>4750</v>
      </c>
      <c r="AC71">
        <f>MAX('Data #1'!F73:H73)</f>
        <v>-21.42</v>
      </c>
      <c r="AD71">
        <f>MAX('Data #2'!F73:H73)</f>
        <v>0</v>
      </c>
      <c r="AE71">
        <f>MAX('Data #3'!F73:H73)</f>
        <v>0</v>
      </c>
      <c r="AF71">
        <f>MAX('Data #4'!F73:H73)</f>
        <v>0</v>
      </c>
      <c r="AG71">
        <f>MAX('Data #5'!F73:H73)</f>
        <v>0</v>
      </c>
      <c r="AH71" s="88">
        <f t="shared" si="24"/>
        <v>-4.2840000000000007</v>
      </c>
      <c r="AI71" s="88">
        <f t="shared" si="25"/>
        <v>9.5793152156090997</v>
      </c>
      <c r="AJ71" s="88">
        <v>-10</v>
      </c>
      <c r="AK71" s="92">
        <f t="shared" si="26"/>
        <v>0.27535305821294953</v>
      </c>
      <c r="AL71" s="88">
        <v>-15</v>
      </c>
      <c r="AM71" s="92">
        <f t="shared" si="27"/>
        <v>0.13164253577531565</v>
      </c>
      <c r="AP71">
        <v>4750</v>
      </c>
      <c r="AQ71">
        <f>MAX('Data #1'!AU73:AW73)</f>
        <v>0</v>
      </c>
      <c r="AR71">
        <f>MAX('Data #2'!AU73:AW73)</f>
        <v>0</v>
      </c>
      <c r="AS71">
        <f>MAX('Data #3'!AU73:AW73)</f>
        <v>0</v>
      </c>
      <c r="AT71">
        <f>MAX('Data #4'!AU73:AW73)</f>
        <v>0</v>
      </c>
      <c r="AU71">
        <f>MAX('Data #5'!AU73:AW73)</f>
        <v>0</v>
      </c>
      <c r="AV71" s="88">
        <f t="shared" si="19"/>
        <v>0</v>
      </c>
      <c r="AW71" s="88">
        <f t="shared" si="20"/>
        <v>0</v>
      </c>
      <c r="AX71" s="88">
        <v>-10</v>
      </c>
      <c r="AY71" s="92" t="e">
        <f t="shared" si="28"/>
        <v>#NUM!</v>
      </c>
      <c r="AZ71" s="88">
        <v>-15</v>
      </c>
      <c r="BA71" s="92" t="e">
        <f t="shared" si="29"/>
        <v>#NUM!</v>
      </c>
      <c r="BC71">
        <v>4750</v>
      </c>
      <c r="BD71">
        <f>MAX('Data #1'!AX73:AZ73)</f>
        <v>0</v>
      </c>
      <c r="BE71">
        <f>MAX('Data #2'!AX73:AZ73)</f>
        <v>0</v>
      </c>
      <c r="BF71">
        <f>MAX('Data #3'!AX73:AZ73)</f>
        <v>0</v>
      </c>
      <c r="BG71">
        <f>MAX('Data #4'!AX73:AZ73)</f>
        <v>0</v>
      </c>
      <c r="BH71">
        <f>MAX('Data #5'!AX73:AZ73)</f>
        <v>0</v>
      </c>
      <c r="BI71" s="88">
        <f t="shared" si="30"/>
        <v>0</v>
      </c>
      <c r="BJ71" s="88">
        <f t="shared" si="31"/>
        <v>0</v>
      </c>
      <c r="BK71" s="88">
        <v>-10</v>
      </c>
      <c r="BL71" s="92" t="e">
        <f t="shared" si="32"/>
        <v>#NUM!</v>
      </c>
      <c r="BM71" s="88">
        <v>-15</v>
      </c>
      <c r="BN71" s="92" t="e">
        <f t="shared" si="33"/>
        <v>#NUM!</v>
      </c>
    </row>
    <row r="72" spans="1:66">
      <c r="A72" s="19">
        <v>5000</v>
      </c>
      <c r="B72" s="88">
        <f>'Data #1'!W74</f>
        <v>79.646666666666661</v>
      </c>
      <c r="C72" s="88">
        <f>'Data #2'!W74</f>
        <v>20</v>
      </c>
      <c r="D72" s="88">
        <f>'Data #3'!W74</f>
        <v>20</v>
      </c>
      <c r="E72" s="88">
        <f>'Data #4'!W74</f>
        <v>20</v>
      </c>
      <c r="F72" s="88">
        <f>'Data #5'!W74</f>
        <v>20</v>
      </c>
      <c r="H72" s="20">
        <v>5000</v>
      </c>
      <c r="I72" s="88">
        <f>'Data #1'!AH74</f>
        <v>89.043333333333337</v>
      </c>
      <c r="J72" s="88">
        <f>'Data #2'!AH74</f>
        <v>20</v>
      </c>
      <c r="K72" s="88">
        <f>'Data #3'!AH74</f>
        <v>20</v>
      </c>
      <c r="L72" s="88">
        <f>'Data #4'!AH74</f>
        <v>20</v>
      </c>
      <c r="M72" s="88">
        <f>'Data #5'!AH74</f>
        <v>20</v>
      </c>
      <c r="O72">
        <v>5000</v>
      </c>
      <c r="P72">
        <f>MAX('Data #1'!C74:E74)</f>
        <v>-15.33</v>
      </c>
      <c r="Q72">
        <f>MAX('Data #2'!C74:E74)</f>
        <v>0</v>
      </c>
      <c r="R72">
        <f>MAX('Data #3'!C74:E74)</f>
        <v>0</v>
      </c>
      <c r="S72">
        <f>MAX('Data #4'!C74:E74)</f>
        <v>0</v>
      </c>
      <c r="T72">
        <f>MAX('Data #5'!C74:E74)</f>
        <v>0</v>
      </c>
      <c r="U72" s="88">
        <f t="shared" si="18"/>
        <v>-3.0659999999999998</v>
      </c>
      <c r="V72" s="88">
        <f t="shared" si="21"/>
        <v>6.8557844190143555</v>
      </c>
      <c r="W72" s="88">
        <v>-10</v>
      </c>
      <c r="X72" s="92">
        <f t="shared" si="22"/>
        <v>0.15591042968562366</v>
      </c>
      <c r="Y72" s="88">
        <v>-15</v>
      </c>
      <c r="Z72" s="92">
        <f t="shared" si="23"/>
        <v>4.0866348872679127E-2</v>
      </c>
      <c r="AB72">
        <v>5000</v>
      </c>
      <c r="AC72">
        <f>MAX('Data #1'!F74:H74)</f>
        <v>-25.79</v>
      </c>
      <c r="AD72">
        <f>MAX('Data #2'!F74:H74)</f>
        <v>0</v>
      </c>
      <c r="AE72">
        <f>MAX('Data #3'!F74:H74)</f>
        <v>0</v>
      </c>
      <c r="AF72">
        <f>MAX('Data #4'!F74:H74)</f>
        <v>0</v>
      </c>
      <c r="AG72">
        <f>MAX('Data #5'!F74:H74)</f>
        <v>0</v>
      </c>
      <c r="AH72" s="88">
        <f t="shared" si="24"/>
        <v>-5.1579999999999995</v>
      </c>
      <c r="AI72" s="88">
        <f t="shared" si="25"/>
        <v>11.533638627943915</v>
      </c>
      <c r="AJ72" s="88">
        <v>-10</v>
      </c>
      <c r="AK72" s="92">
        <f t="shared" si="26"/>
        <v>0.33731012889143636</v>
      </c>
      <c r="AL72" s="88">
        <v>-15</v>
      </c>
      <c r="AM72" s="92">
        <f t="shared" si="27"/>
        <v>0.19673816041031519</v>
      </c>
      <c r="AP72">
        <v>5000</v>
      </c>
      <c r="AQ72">
        <f>MAX('Data #1'!AU74:AW74)</f>
        <v>0</v>
      </c>
      <c r="AR72">
        <f>MAX('Data #2'!AU74:AW74)</f>
        <v>0</v>
      </c>
      <c r="AS72">
        <f>MAX('Data #3'!AU74:AW74)</f>
        <v>0</v>
      </c>
      <c r="AT72">
        <f>MAX('Data #4'!AU74:AW74)</f>
        <v>0</v>
      </c>
      <c r="AU72">
        <f>MAX('Data #5'!AU74:AW74)</f>
        <v>0</v>
      </c>
      <c r="AV72" s="88">
        <f t="shared" si="19"/>
        <v>0</v>
      </c>
      <c r="AW72" s="88">
        <f t="shared" si="20"/>
        <v>0</v>
      </c>
      <c r="AX72" s="88">
        <v>-10</v>
      </c>
      <c r="AY72" s="92" t="e">
        <f t="shared" si="28"/>
        <v>#NUM!</v>
      </c>
      <c r="AZ72" s="88">
        <v>-15</v>
      </c>
      <c r="BA72" s="92" t="e">
        <f t="shared" si="29"/>
        <v>#NUM!</v>
      </c>
      <c r="BC72">
        <v>5000</v>
      </c>
      <c r="BD72">
        <f>MAX('Data #1'!AX74:AZ74)</f>
        <v>0</v>
      </c>
      <c r="BE72">
        <f>MAX('Data #2'!AX74:AZ74)</f>
        <v>0</v>
      </c>
      <c r="BF72">
        <f>MAX('Data #3'!AX74:AZ74)</f>
        <v>0</v>
      </c>
      <c r="BG72">
        <f>MAX('Data #4'!AX74:AZ74)</f>
        <v>0</v>
      </c>
      <c r="BH72">
        <f>MAX('Data #5'!AX74:AZ74)</f>
        <v>0</v>
      </c>
      <c r="BI72" s="88">
        <f t="shared" si="30"/>
        <v>0</v>
      </c>
      <c r="BJ72" s="88">
        <f t="shared" si="31"/>
        <v>0</v>
      </c>
      <c r="BK72" s="88">
        <v>-10</v>
      </c>
      <c r="BL72" s="92" t="e">
        <f t="shared" si="32"/>
        <v>#NUM!</v>
      </c>
      <c r="BM72" s="88">
        <v>-15</v>
      </c>
      <c r="BN72" s="92" t="e">
        <f t="shared" si="33"/>
        <v>#NUM!</v>
      </c>
    </row>
    <row r="73" spans="1:66">
      <c r="A73" s="19">
        <v>5300</v>
      </c>
      <c r="B73" s="88">
        <f>'Data #1'!W75</f>
        <v>80.75333333333333</v>
      </c>
      <c r="C73" s="88">
        <f>'Data #2'!W75</f>
        <v>20</v>
      </c>
      <c r="D73" s="88">
        <f>'Data #3'!W75</f>
        <v>20</v>
      </c>
      <c r="E73" s="88">
        <f>'Data #4'!W75</f>
        <v>20</v>
      </c>
      <c r="F73" s="88">
        <f>'Data #5'!W75</f>
        <v>20</v>
      </c>
      <c r="H73" s="20">
        <v>5300</v>
      </c>
      <c r="I73" s="88">
        <f>'Data #1'!AH75</f>
        <v>82.493333333333325</v>
      </c>
      <c r="J73" s="88">
        <f>'Data #2'!AH75</f>
        <v>20</v>
      </c>
      <c r="K73" s="88">
        <f>'Data #3'!AH75</f>
        <v>20</v>
      </c>
      <c r="L73" s="88">
        <f>'Data #4'!AH75</f>
        <v>20</v>
      </c>
      <c r="M73" s="88">
        <f>'Data #5'!AH75</f>
        <v>20</v>
      </c>
      <c r="O73">
        <v>5300</v>
      </c>
      <c r="P73">
        <f>MAX('Data #1'!C75:E75)</f>
        <v>-20.71</v>
      </c>
      <c r="Q73">
        <f>MAX('Data #2'!C75:E75)</f>
        <v>0</v>
      </c>
      <c r="R73">
        <f>MAX('Data #3'!C75:E75)</f>
        <v>0</v>
      </c>
      <c r="S73">
        <f>MAX('Data #4'!C75:E75)</f>
        <v>0</v>
      </c>
      <c r="T73">
        <f>MAX('Data #5'!C75:E75)</f>
        <v>0</v>
      </c>
      <c r="U73" s="88">
        <f t="shared" si="18"/>
        <v>-4.1420000000000003</v>
      </c>
      <c r="V73" s="88">
        <f t="shared" si="21"/>
        <v>9.2617935628041295</v>
      </c>
      <c r="W73" s="88">
        <v>-10</v>
      </c>
      <c r="X73" s="92">
        <f t="shared" si="22"/>
        <v>0.26353308160759703</v>
      </c>
      <c r="Y73" s="88">
        <v>-15</v>
      </c>
      <c r="Z73" s="92">
        <f t="shared" si="23"/>
        <v>0.12052966221882443</v>
      </c>
      <c r="AB73">
        <v>5300</v>
      </c>
      <c r="AC73">
        <f>MAX('Data #1'!F75:H75)</f>
        <v>-22.57</v>
      </c>
      <c r="AD73">
        <f>MAX('Data #2'!F75:H75)</f>
        <v>0</v>
      </c>
      <c r="AE73">
        <f>MAX('Data #3'!F75:H75)</f>
        <v>0</v>
      </c>
      <c r="AF73">
        <f>MAX('Data #4'!F75:H75)</f>
        <v>0</v>
      </c>
      <c r="AG73">
        <f>MAX('Data #5'!F75:H75)</f>
        <v>0</v>
      </c>
      <c r="AH73" s="88">
        <f t="shared" si="24"/>
        <v>-4.5140000000000002</v>
      </c>
      <c r="AI73" s="88">
        <f t="shared" si="25"/>
        <v>10.09361085043405</v>
      </c>
      <c r="AJ73" s="88">
        <v>-10</v>
      </c>
      <c r="AK73" s="92">
        <f t="shared" si="26"/>
        <v>0.29338861843887948</v>
      </c>
      <c r="AL73" s="88">
        <v>-15</v>
      </c>
      <c r="AM73" s="92">
        <f t="shared" si="27"/>
        <v>0.14943143670673542</v>
      </c>
      <c r="AP73">
        <v>5300</v>
      </c>
      <c r="AQ73">
        <f>MAX('Data #1'!AU75:AW75)</f>
        <v>0</v>
      </c>
      <c r="AR73">
        <f>MAX('Data #2'!AU75:AW75)</f>
        <v>0</v>
      </c>
      <c r="AS73">
        <f>MAX('Data #3'!AU75:AW75)</f>
        <v>0</v>
      </c>
      <c r="AT73">
        <f>MAX('Data #4'!AU75:AW75)</f>
        <v>0</v>
      </c>
      <c r="AU73">
        <f>MAX('Data #5'!AU75:AW75)</f>
        <v>0</v>
      </c>
      <c r="AV73" s="88">
        <f t="shared" si="19"/>
        <v>0</v>
      </c>
      <c r="AW73" s="88">
        <f t="shared" si="20"/>
        <v>0</v>
      </c>
      <c r="AX73" s="88">
        <v>-10</v>
      </c>
      <c r="AY73" s="92" t="e">
        <f t="shared" si="28"/>
        <v>#NUM!</v>
      </c>
      <c r="AZ73" s="88">
        <v>-15</v>
      </c>
      <c r="BA73" s="92" t="e">
        <f t="shared" si="29"/>
        <v>#NUM!</v>
      </c>
      <c r="BC73">
        <v>5300</v>
      </c>
      <c r="BD73">
        <f>MAX('Data #1'!AX75:AZ75)</f>
        <v>0</v>
      </c>
      <c r="BE73">
        <f>MAX('Data #2'!AX75:AZ75)</f>
        <v>0</v>
      </c>
      <c r="BF73">
        <f>MAX('Data #3'!AX75:AZ75)</f>
        <v>0</v>
      </c>
      <c r="BG73">
        <f>MAX('Data #4'!AX75:AZ75)</f>
        <v>0</v>
      </c>
      <c r="BH73">
        <f>MAX('Data #5'!AX75:AZ75)</f>
        <v>0</v>
      </c>
      <c r="BI73" s="88">
        <f t="shared" si="30"/>
        <v>0</v>
      </c>
      <c r="BJ73" s="88">
        <f t="shared" si="31"/>
        <v>0</v>
      </c>
      <c r="BK73" s="88">
        <v>-10</v>
      </c>
      <c r="BL73" s="92" t="e">
        <f t="shared" si="32"/>
        <v>#NUM!</v>
      </c>
      <c r="BM73" s="88">
        <v>-15</v>
      </c>
      <c r="BN73" s="92" t="e">
        <f t="shared" si="33"/>
        <v>#NUM!</v>
      </c>
    </row>
    <row r="74" spans="1:66">
      <c r="A74" s="19">
        <v>5600</v>
      </c>
      <c r="B74" s="88">
        <f>'Data #1'!W76</f>
        <v>81.656666666666666</v>
      </c>
      <c r="C74" s="88">
        <f>'Data #2'!W76</f>
        <v>20</v>
      </c>
      <c r="D74" s="88">
        <f>'Data #3'!W76</f>
        <v>20</v>
      </c>
      <c r="E74" s="88">
        <f>'Data #4'!W76</f>
        <v>20</v>
      </c>
      <c r="F74" s="88">
        <f>'Data #5'!W76</f>
        <v>20</v>
      </c>
      <c r="H74" s="20">
        <v>5600</v>
      </c>
      <c r="I74" s="88">
        <f>'Data #1'!AH76</f>
        <v>79.326666666666668</v>
      </c>
      <c r="J74" s="88">
        <f>'Data #2'!AH76</f>
        <v>20</v>
      </c>
      <c r="K74" s="88">
        <f>'Data #3'!AH76</f>
        <v>20</v>
      </c>
      <c r="L74" s="88">
        <f>'Data #4'!AH76</f>
        <v>20</v>
      </c>
      <c r="M74" s="88">
        <f>'Data #5'!AH76</f>
        <v>20</v>
      </c>
      <c r="O74">
        <v>5600</v>
      </c>
      <c r="P74">
        <f>MAX('Data #1'!C76:E76)</f>
        <v>-21.19</v>
      </c>
      <c r="Q74">
        <f>MAX('Data #2'!C76:E76)</f>
        <v>0</v>
      </c>
      <c r="R74">
        <f>MAX('Data #3'!C76:E76)</f>
        <v>0</v>
      </c>
      <c r="S74">
        <f>MAX('Data #4'!C76:E76)</f>
        <v>0</v>
      </c>
      <c r="T74">
        <f>MAX('Data #5'!C76:E76)</f>
        <v>0</v>
      </c>
      <c r="U74" s="88">
        <f t="shared" si="18"/>
        <v>-4.2380000000000004</v>
      </c>
      <c r="V74" s="88">
        <f t="shared" si="21"/>
        <v>9.4764560886441096</v>
      </c>
      <c r="W74" s="88">
        <v>-10</v>
      </c>
      <c r="X74" s="92">
        <f t="shared" si="22"/>
        <v>0.27158272453856513</v>
      </c>
      <c r="Y74" s="88">
        <v>-15</v>
      </c>
      <c r="Z74" s="92">
        <f t="shared" si="23"/>
        <v>0.12805015325116725</v>
      </c>
      <c r="AB74">
        <v>5600</v>
      </c>
      <c r="AC74">
        <f>MAX('Data #1'!F76:H76)</f>
        <v>-19.28</v>
      </c>
      <c r="AD74">
        <f>MAX('Data #2'!F76:H76)</f>
        <v>0</v>
      </c>
      <c r="AE74">
        <f>MAX('Data #3'!F76:H76)</f>
        <v>0</v>
      </c>
      <c r="AF74">
        <f>MAX('Data #4'!F76:H76)</f>
        <v>0</v>
      </c>
      <c r="AG74">
        <f>MAX('Data #5'!F76:H76)</f>
        <v>0</v>
      </c>
      <c r="AH74" s="88">
        <f t="shared" si="24"/>
        <v>-3.8560000000000003</v>
      </c>
      <c r="AI74" s="88">
        <f t="shared" si="25"/>
        <v>8.622278121239189</v>
      </c>
      <c r="AJ74" s="88">
        <v>-10</v>
      </c>
      <c r="AK74" s="92">
        <f t="shared" si="26"/>
        <v>0.23805510500551338</v>
      </c>
      <c r="AL74" s="88">
        <v>-15</v>
      </c>
      <c r="AM74" s="92">
        <f t="shared" si="27"/>
        <v>9.8097932925109599E-2</v>
      </c>
      <c r="AP74">
        <v>5600</v>
      </c>
      <c r="AQ74">
        <f>MAX('Data #1'!AU76:AW76)</f>
        <v>0</v>
      </c>
      <c r="AR74">
        <f>MAX('Data #2'!AU76:AW76)</f>
        <v>0</v>
      </c>
      <c r="AS74">
        <f>MAX('Data #3'!AU76:AW76)</f>
        <v>0</v>
      </c>
      <c r="AT74">
        <f>MAX('Data #4'!AU76:AW76)</f>
        <v>0</v>
      </c>
      <c r="AU74">
        <f>MAX('Data #5'!AU76:AW76)</f>
        <v>0</v>
      </c>
      <c r="AV74" s="88">
        <f t="shared" si="19"/>
        <v>0</v>
      </c>
      <c r="AW74" s="88">
        <f t="shared" si="20"/>
        <v>0</v>
      </c>
      <c r="AX74" s="88">
        <v>-10</v>
      </c>
      <c r="AY74" s="92" t="e">
        <f t="shared" si="28"/>
        <v>#NUM!</v>
      </c>
      <c r="AZ74" s="88">
        <v>-15</v>
      </c>
      <c r="BA74" s="92" t="e">
        <f t="shared" si="29"/>
        <v>#NUM!</v>
      </c>
      <c r="BC74">
        <v>5600</v>
      </c>
      <c r="BD74">
        <f>MAX('Data #1'!AX76:AZ76)</f>
        <v>0</v>
      </c>
      <c r="BE74">
        <f>MAX('Data #2'!AX76:AZ76)</f>
        <v>0</v>
      </c>
      <c r="BF74">
        <f>MAX('Data #3'!AX76:AZ76)</f>
        <v>0</v>
      </c>
      <c r="BG74">
        <f>MAX('Data #4'!AX76:AZ76)</f>
        <v>0</v>
      </c>
      <c r="BH74">
        <f>MAX('Data #5'!AX76:AZ76)</f>
        <v>0</v>
      </c>
      <c r="BI74" s="88">
        <f t="shared" si="30"/>
        <v>0</v>
      </c>
      <c r="BJ74" s="88">
        <f t="shared" si="31"/>
        <v>0</v>
      </c>
      <c r="BK74" s="88">
        <v>-10</v>
      </c>
      <c r="BL74" s="92" t="e">
        <f t="shared" si="32"/>
        <v>#NUM!</v>
      </c>
      <c r="BM74" s="88">
        <v>-15</v>
      </c>
      <c r="BN74" s="92" t="e">
        <f t="shared" si="33"/>
        <v>#NUM!</v>
      </c>
    </row>
    <row r="75" spans="1:66">
      <c r="A75" s="19">
        <v>6000</v>
      </c>
      <c r="B75" s="88">
        <f>'Data #1'!W77</f>
        <v>81.016666666666652</v>
      </c>
      <c r="C75" s="88">
        <f>'Data #2'!W77</f>
        <v>20</v>
      </c>
      <c r="D75" s="88">
        <f>'Data #3'!W77</f>
        <v>20</v>
      </c>
      <c r="E75" s="88">
        <f>'Data #4'!W77</f>
        <v>20</v>
      </c>
      <c r="F75" s="88">
        <f>'Data #5'!W77</f>
        <v>20</v>
      </c>
      <c r="H75" s="20">
        <v>6000</v>
      </c>
      <c r="I75" s="88">
        <f>'Data #1'!AH77</f>
        <v>78.293333333333337</v>
      </c>
      <c r="J75" s="88">
        <f>'Data #2'!AH77</f>
        <v>20</v>
      </c>
      <c r="K75" s="88">
        <f>'Data #3'!AH77</f>
        <v>20</v>
      </c>
      <c r="L75" s="88">
        <f>'Data #4'!AH77</f>
        <v>20</v>
      </c>
      <c r="M75" s="88">
        <f>'Data #5'!AH77</f>
        <v>20</v>
      </c>
      <c r="O75">
        <v>6000</v>
      </c>
      <c r="P75">
        <f>MAX('Data #1'!C77:E77)</f>
        <v>-16.170000000000002</v>
      </c>
      <c r="Q75">
        <f>MAX('Data #2'!C77:E77)</f>
        <v>0</v>
      </c>
      <c r="R75">
        <f>MAX('Data #3'!C77:E77)</f>
        <v>0</v>
      </c>
      <c r="S75">
        <f>MAX('Data #4'!C77:E77)</f>
        <v>0</v>
      </c>
      <c r="T75">
        <f>MAX('Data #5'!C77:E77)</f>
        <v>0</v>
      </c>
      <c r="U75" s="88">
        <f t="shared" si="18"/>
        <v>-3.2340000000000004</v>
      </c>
      <c r="V75" s="88">
        <f t="shared" si="21"/>
        <v>7.2314438392343208</v>
      </c>
      <c r="W75" s="88">
        <v>-10</v>
      </c>
      <c r="X75" s="92">
        <f t="shared" si="22"/>
        <v>0.17473028738072599</v>
      </c>
      <c r="Y75" s="88">
        <v>-15</v>
      </c>
      <c r="Z75" s="92">
        <f t="shared" si="23"/>
        <v>5.1862075072406887E-2</v>
      </c>
      <c r="AB75">
        <v>6000</v>
      </c>
      <c r="AC75">
        <f>MAX('Data #1'!F77:H77)</f>
        <v>-13.29</v>
      </c>
      <c r="AD75">
        <f>MAX('Data #2'!F77:H77)</f>
        <v>0</v>
      </c>
      <c r="AE75">
        <f>MAX('Data #3'!F77:H77)</f>
        <v>0</v>
      </c>
      <c r="AF75">
        <f>MAX('Data #4'!F77:H77)</f>
        <v>0</v>
      </c>
      <c r="AG75">
        <f>MAX('Data #5'!F77:H77)</f>
        <v>0</v>
      </c>
      <c r="AH75" s="88">
        <f t="shared" si="24"/>
        <v>-2.6579999999999999</v>
      </c>
      <c r="AI75" s="88">
        <f t="shared" si="25"/>
        <v>5.9434686841944409</v>
      </c>
      <c r="AJ75" s="88">
        <v>-10</v>
      </c>
      <c r="AK75" s="92">
        <f t="shared" si="26"/>
        <v>0.10835839984925413</v>
      </c>
      <c r="AL75" s="88">
        <v>-15</v>
      </c>
      <c r="AM75" s="92">
        <f t="shared" si="27"/>
        <v>1.892085563637138E-2</v>
      </c>
      <c r="AP75">
        <v>6000</v>
      </c>
      <c r="AQ75">
        <f>MAX('Data #1'!AU77:AW77)</f>
        <v>0</v>
      </c>
      <c r="AR75">
        <f>MAX('Data #2'!AU77:AW77)</f>
        <v>0</v>
      </c>
      <c r="AS75">
        <f>MAX('Data #3'!AU77:AW77)</f>
        <v>0</v>
      </c>
      <c r="AT75">
        <f>MAX('Data #4'!AU77:AW77)</f>
        <v>0</v>
      </c>
      <c r="AU75">
        <f>MAX('Data #5'!AU77:AW77)</f>
        <v>0</v>
      </c>
      <c r="AV75" s="88">
        <f t="shared" si="19"/>
        <v>0</v>
      </c>
      <c r="AW75" s="88">
        <f t="shared" si="20"/>
        <v>0</v>
      </c>
      <c r="AX75" s="88">
        <v>-10</v>
      </c>
      <c r="AY75" s="92" t="e">
        <f t="shared" si="28"/>
        <v>#NUM!</v>
      </c>
      <c r="AZ75" s="88">
        <v>-15</v>
      </c>
      <c r="BA75" s="92" t="e">
        <f t="shared" si="29"/>
        <v>#NUM!</v>
      </c>
      <c r="BC75">
        <v>6000</v>
      </c>
      <c r="BD75">
        <f>MAX('Data #1'!AX77:AZ77)</f>
        <v>0</v>
      </c>
      <c r="BE75">
        <f>MAX('Data #2'!AX77:AZ77)</f>
        <v>0</v>
      </c>
      <c r="BF75">
        <f>MAX('Data #3'!AX77:AZ77)</f>
        <v>0</v>
      </c>
      <c r="BG75">
        <f>MAX('Data #4'!AX77:AZ77)</f>
        <v>0</v>
      </c>
      <c r="BH75">
        <f>MAX('Data #5'!AX77:AZ77)</f>
        <v>0</v>
      </c>
      <c r="BI75" s="88">
        <f t="shared" si="30"/>
        <v>0</v>
      </c>
      <c r="BJ75" s="88">
        <f t="shared" si="31"/>
        <v>0</v>
      </c>
      <c r="BK75" s="88">
        <v>-10</v>
      </c>
      <c r="BL75" s="92" t="e">
        <f t="shared" si="32"/>
        <v>#NUM!</v>
      </c>
      <c r="BM75" s="88">
        <v>-15</v>
      </c>
      <c r="BN75" s="92" t="e">
        <f t="shared" si="33"/>
        <v>#NUM!</v>
      </c>
    </row>
    <row r="76" spans="1:66">
      <c r="A76" s="19">
        <v>6300</v>
      </c>
      <c r="B76" s="88">
        <f>'Data #1'!W78</f>
        <v>81.23</v>
      </c>
      <c r="C76" s="88">
        <f>'Data #2'!W78</f>
        <v>20</v>
      </c>
      <c r="D76" s="88">
        <f>'Data #3'!W78</f>
        <v>20</v>
      </c>
      <c r="E76" s="88">
        <f>'Data #4'!W78</f>
        <v>20</v>
      </c>
      <c r="F76" s="88">
        <f>'Data #5'!W78</f>
        <v>20</v>
      </c>
      <c r="H76" s="20">
        <v>6300</v>
      </c>
      <c r="I76" s="88">
        <f>'Data #1'!AH78</f>
        <v>77.233333333333334</v>
      </c>
      <c r="J76" s="88">
        <f>'Data #2'!AH78</f>
        <v>20</v>
      </c>
      <c r="K76" s="88">
        <f>'Data #3'!AH78</f>
        <v>20</v>
      </c>
      <c r="L76" s="88">
        <f>'Data #4'!AH78</f>
        <v>20</v>
      </c>
      <c r="M76" s="88">
        <f>'Data #5'!AH78</f>
        <v>20</v>
      </c>
      <c r="O76">
        <v>6300</v>
      </c>
      <c r="P76">
        <f>MAX('Data #1'!C78:E78)</f>
        <v>-23.94</v>
      </c>
      <c r="Q76">
        <f>MAX('Data #2'!C78:E78)</f>
        <v>0</v>
      </c>
      <c r="R76">
        <f>MAX('Data #3'!C78:E78)</f>
        <v>0</v>
      </c>
      <c r="S76">
        <f>MAX('Data #4'!C78:E78)</f>
        <v>0</v>
      </c>
      <c r="T76">
        <f>MAX('Data #5'!C78:E78)</f>
        <v>0</v>
      </c>
      <c r="U76" s="88">
        <f t="shared" si="18"/>
        <v>-4.7880000000000003</v>
      </c>
      <c r="V76" s="88">
        <f t="shared" si="21"/>
        <v>10.706293476268993</v>
      </c>
      <c r="W76" s="88">
        <v>-10</v>
      </c>
      <c r="X76" s="92">
        <f t="shared" si="22"/>
        <v>0.31319419869364196</v>
      </c>
      <c r="Y76" s="88">
        <v>-15</v>
      </c>
      <c r="Z76" s="92">
        <f t="shared" si="23"/>
        <v>0.17008447005642133</v>
      </c>
      <c r="AB76">
        <v>6300</v>
      </c>
      <c r="AC76">
        <f>MAX('Data #1'!F78:H78)</f>
        <v>-20.260000000000002</v>
      </c>
      <c r="AD76">
        <f>MAX('Data #2'!F78:H78)</f>
        <v>0</v>
      </c>
      <c r="AE76">
        <f>MAX('Data #3'!F78:H78)</f>
        <v>0</v>
      </c>
      <c r="AF76">
        <f>MAX('Data #4'!F78:H78)</f>
        <v>0</v>
      </c>
      <c r="AG76">
        <f>MAX('Data #5'!F78:H78)</f>
        <v>0</v>
      </c>
      <c r="AH76" s="88">
        <f t="shared" si="24"/>
        <v>-4.0520000000000005</v>
      </c>
      <c r="AI76" s="88">
        <f t="shared" si="25"/>
        <v>9.0605474448291492</v>
      </c>
      <c r="AJ76" s="88">
        <v>-10</v>
      </c>
      <c r="AK76" s="92">
        <f t="shared" si="26"/>
        <v>0.25576008621755392</v>
      </c>
      <c r="AL76" s="88">
        <v>-15</v>
      </c>
      <c r="AM76" s="92">
        <f t="shared" si="27"/>
        <v>0.11346296253319096</v>
      </c>
      <c r="AP76">
        <v>6300</v>
      </c>
      <c r="AQ76">
        <f>MAX('Data #1'!AU78:AW78)</f>
        <v>0</v>
      </c>
      <c r="AR76">
        <f>MAX('Data #2'!AU78:AW78)</f>
        <v>0</v>
      </c>
      <c r="AS76">
        <f>MAX('Data #3'!AU78:AW78)</f>
        <v>0</v>
      </c>
      <c r="AT76">
        <f>MAX('Data #4'!AU78:AW78)</f>
        <v>0</v>
      </c>
      <c r="AU76">
        <f>MAX('Data #5'!AU78:AW78)</f>
        <v>0</v>
      </c>
      <c r="AV76" s="88">
        <f t="shared" si="19"/>
        <v>0</v>
      </c>
      <c r="AW76" s="88">
        <f t="shared" si="20"/>
        <v>0</v>
      </c>
      <c r="AX76" s="88">
        <v>-10</v>
      </c>
      <c r="AY76" s="92" t="e">
        <f t="shared" si="28"/>
        <v>#NUM!</v>
      </c>
      <c r="AZ76" s="88">
        <v>-15</v>
      </c>
      <c r="BA76" s="92" t="e">
        <f t="shared" si="29"/>
        <v>#NUM!</v>
      </c>
      <c r="BC76">
        <v>6300</v>
      </c>
      <c r="BD76">
        <f>MAX('Data #1'!AX78:AZ78)</f>
        <v>0</v>
      </c>
      <c r="BE76">
        <f>MAX('Data #2'!AX78:AZ78)</f>
        <v>0</v>
      </c>
      <c r="BF76">
        <f>MAX('Data #3'!AX78:AZ78)</f>
        <v>0</v>
      </c>
      <c r="BG76">
        <f>MAX('Data #4'!AX78:AZ78)</f>
        <v>0</v>
      </c>
      <c r="BH76">
        <f>MAX('Data #5'!AX78:AZ78)</f>
        <v>0</v>
      </c>
      <c r="BI76" s="88">
        <f t="shared" si="30"/>
        <v>0</v>
      </c>
      <c r="BJ76" s="88">
        <f t="shared" si="31"/>
        <v>0</v>
      </c>
      <c r="BK76" s="88">
        <v>-10</v>
      </c>
      <c r="BL76" s="92" t="e">
        <f t="shared" si="32"/>
        <v>#NUM!</v>
      </c>
      <c r="BM76" s="88">
        <v>-15</v>
      </c>
      <c r="BN76" s="92" t="e">
        <f t="shared" si="33"/>
        <v>#NUM!</v>
      </c>
    </row>
    <row r="77" spans="1:66">
      <c r="A77" s="19">
        <v>6700</v>
      </c>
      <c r="B77" s="88">
        <f>'Data #1'!W79</f>
        <v>79.089999999999989</v>
      </c>
      <c r="C77" s="88">
        <f>'Data #2'!W79</f>
        <v>20</v>
      </c>
      <c r="D77" s="88">
        <f>'Data #3'!W79</f>
        <v>20</v>
      </c>
      <c r="E77" s="88">
        <f>'Data #4'!W79</f>
        <v>20</v>
      </c>
      <c r="F77" s="88">
        <f>'Data #5'!W79</f>
        <v>20</v>
      </c>
      <c r="H77" s="20">
        <v>6700</v>
      </c>
      <c r="I77" s="88">
        <f>'Data #1'!AH79</f>
        <v>82.596666666666678</v>
      </c>
      <c r="J77" s="88">
        <f>'Data #2'!AH79</f>
        <v>20</v>
      </c>
      <c r="K77" s="88">
        <f>'Data #3'!AH79</f>
        <v>20</v>
      </c>
      <c r="L77" s="88">
        <f>'Data #4'!AH79</f>
        <v>20</v>
      </c>
      <c r="M77" s="88">
        <f>'Data #5'!AH79</f>
        <v>20</v>
      </c>
      <c r="O77">
        <v>6700</v>
      </c>
      <c r="P77">
        <f>MAX('Data #1'!C79:E79)</f>
        <v>-28.04</v>
      </c>
      <c r="Q77">
        <f>MAX('Data #2'!C79:E79)</f>
        <v>0</v>
      </c>
      <c r="R77">
        <f>MAX('Data #3'!C79:E79)</f>
        <v>0</v>
      </c>
      <c r="S77">
        <f>MAX('Data #4'!C79:E79)</f>
        <v>0</v>
      </c>
      <c r="T77">
        <f>MAX('Data #5'!C79:E79)</f>
        <v>0</v>
      </c>
      <c r="U77" s="88">
        <f t="shared" si="18"/>
        <v>-5.6079999999999997</v>
      </c>
      <c r="V77" s="88">
        <f t="shared" si="21"/>
        <v>12.53986921781882</v>
      </c>
      <c r="W77" s="88">
        <v>-10</v>
      </c>
      <c r="X77" s="92">
        <f t="shared" si="22"/>
        <v>0.36307821162073395</v>
      </c>
      <c r="Y77" s="88">
        <v>-15</v>
      </c>
      <c r="Z77" s="92">
        <f t="shared" si="23"/>
        <v>0.22693730359930955</v>
      </c>
      <c r="AB77">
        <v>6700</v>
      </c>
      <c r="AC77">
        <f>MAX('Data #1'!F79:H79)</f>
        <v>-32.119999999999997</v>
      </c>
      <c r="AD77">
        <f>MAX('Data #2'!F79:H79)</f>
        <v>0</v>
      </c>
      <c r="AE77">
        <f>MAX('Data #3'!F79:H79)</f>
        <v>0</v>
      </c>
      <c r="AF77">
        <f>MAX('Data #4'!F79:H79)</f>
        <v>0</v>
      </c>
      <c r="AG77">
        <f>MAX('Data #5'!F79:H79)</f>
        <v>0</v>
      </c>
      <c r="AH77" s="88">
        <f t="shared" si="24"/>
        <v>-6.4239999999999995</v>
      </c>
      <c r="AI77" s="88">
        <f t="shared" si="25"/>
        <v>14.364500687458648</v>
      </c>
      <c r="AJ77" s="88">
        <v>-10</v>
      </c>
      <c r="AK77" s="92">
        <f t="shared" si="26"/>
        <v>0.4017008719357536</v>
      </c>
      <c r="AL77" s="88">
        <v>-15</v>
      </c>
      <c r="AM77" s="92">
        <f t="shared" si="27"/>
        <v>0.27524455518295693</v>
      </c>
      <c r="AP77">
        <v>6700</v>
      </c>
      <c r="AQ77">
        <f>MAX('Data #1'!AU79:AW79)</f>
        <v>0</v>
      </c>
      <c r="AR77">
        <f>MAX('Data #2'!AU79:AW79)</f>
        <v>0</v>
      </c>
      <c r="AS77">
        <f>MAX('Data #3'!AU79:AW79)</f>
        <v>0</v>
      </c>
      <c r="AT77">
        <f>MAX('Data #4'!AU79:AW79)</f>
        <v>0</v>
      </c>
      <c r="AU77">
        <f>MAX('Data #5'!AU79:AW79)</f>
        <v>0</v>
      </c>
      <c r="AV77" s="88">
        <f t="shared" si="19"/>
        <v>0</v>
      </c>
      <c r="AW77" s="88">
        <f t="shared" si="20"/>
        <v>0</v>
      </c>
      <c r="AX77" s="88">
        <v>-10</v>
      </c>
      <c r="AY77" s="92" t="e">
        <f t="shared" si="28"/>
        <v>#NUM!</v>
      </c>
      <c r="AZ77" s="88">
        <v>-15</v>
      </c>
      <c r="BA77" s="92" t="e">
        <f t="shared" si="29"/>
        <v>#NUM!</v>
      </c>
      <c r="BC77">
        <v>6700</v>
      </c>
      <c r="BD77">
        <f>MAX('Data #1'!AX79:AZ79)</f>
        <v>0</v>
      </c>
      <c r="BE77">
        <f>MAX('Data #2'!AX79:AZ79)</f>
        <v>0</v>
      </c>
      <c r="BF77">
        <f>MAX('Data #3'!AX79:AZ79)</f>
        <v>0</v>
      </c>
      <c r="BG77">
        <f>MAX('Data #4'!AX79:AZ79)</f>
        <v>0</v>
      </c>
      <c r="BH77">
        <f>MAX('Data #5'!AX79:AZ79)</f>
        <v>0</v>
      </c>
      <c r="BI77" s="88">
        <f t="shared" si="30"/>
        <v>0</v>
      </c>
      <c r="BJ77" s="88">
        <f t="shared" si="31"/>
        <v>0</v>
      </c>
      <c r="BK77" s="88">
        <v>-10</v>
      </c>
      <c r="BL77" s="92" t="e">
        <f t="shared" si="32"/>
        <v>#NUM!</v>
      </c>
      <c r="BM77" s="88">
        <v>-15</v>
      </c>
      <c r="BN77" s="92" t="e">
        <f t="shared" si="33"/>
        <v>#NUM!</v>
      </c>
    </row>
    <row r="78" spans="1:66">
      <c r="A78" s="19">
        <v>7100</v>
      </c>
      <c r="B78" s="88">
        <f>'Data #1'!W80</f>
        <v>73.339999999999989</v>
      </c>
      <c r="C78" s="88">
        <f>'Data #2'!W80</f>
        <v>20</v>
      </c>
      <c r="D78" s="88">
        <f>'Data #3'!W80</f>
        <v>20</v>
      </c>
      <c r="E78" s="88">
        <f>'Data #4'!W80</f>
        <v>20</v>
      </c>
      <c r="F78" s="88">
        <f>'Data #5'!W80</f>
        <v>20</v>
      </c>
      <c r="H78" s="20">
        <v>7100</v>
      </c>
      <c r="I78" s="88">
        <f>'Data #1'!AH80</f>
        <v>85.99</v>
      </c>
      <c r="J78" s="88">
        <f>'Data #2'!AH80</f>
        <v>20</v>
      </c>
      <c r="K78" s="88">
        <f>'Data #3'!AH80</f>
        <v>20</v>
      </c>
      <c r="L78" s="88">
        <f>'Data #4'!AH80</f>
        <v>20</v>
      </c>
      <c r="M78" s="88">
        <f>'Data #5'!AH80</f>
        <v>20</v>
      </c>
      <c r="O78">
        <v>7100</v>
      </c>
      <c r="P78">
        <f>MAX('Data #1'!C80:E80)</f>
        <v>-28.74</v>
      </c>
      <c r="Q78">
        <f>MAX('Data #2'!C80:E80)</f>
        <v>0</v>
      </c>
      <c r="R78">
        <f>MAX('Data #3'!C80:E80)</f>
        <v>0</v>
      </c>
      <c r="S78">
        <f>MAX('Data #4'!C80:E80)</f>
        <v>0</v>
      </c>
      <c r="T78">
        <f>MAX('Data #5'!C80:E80)</f>
        <v>0</v>
      </c>
      <c r="U78" s="88">
        <f t="shared" si="18"/>
        <v>-5.7479999999999993</v>
      </c>
      <c r="V78" s="88">
        <f t="shared" si="21"/>
        <v>12.852918734668791</v>
      </c>
      <c r="W78" s="88">
        <v>-10</v>
      </c>
      <c r="X78" s="92">
        <f t="shared" si="22"/>
        <v>0.37039030214404167</v>
      </c>
      <c r="Y78" s="88">
        <v>-15</v>
      </c>
      <c r="Z78" s="92">
        <f t="shared" si="23"/>
        <v>0.2358128353031666</v>
      </c>
      <c r="AB78">
        <v>7100</v>
      </c>
      <c r="AC78">
        <f>MAX('Data #1'!F80:H80)</f>
        <v>-42.39</v>
      </c>
      <c r="AD78">
        <f>MAX('Data #2'!F80:H80)</f>
        <v>0</v>
      </c>
      <c r="AE78">
        <f>MAX('Data #3'!F80:H80)</f>
        <v>0</v>
      </c>
      <c r="AF78">
        <f>MAX('Data #4'!F80:H80)</f>
        <v>0</v>
      </c>
      <c r="AG78">
        <f>MAX('Data #5'!F80:H80)</f>
        <v>0</v>
      </c>
      <c r="AH78" s="88">
        <f t="shared" si="24"/>
        <v>-8.4779999999999998</v>
      </c>
      <c r="AI78" s="88">
        <f t="shared" si="25"/>
        <v>18.957384313243217</v>
      </c>
      <c r="AJ78" s="88">
        <v>-10</v>
      </c>
      <c r="AK78" s="92">
        <f t="shared" si="26"/>
        <v>0.46800515972558399</v>
      </c>
      <c r="AL78" s="88">
        <v>-15</v>
      </c>
      <c r="AM78" s="92">
        <f t="shared" si="27"/>
        <v>0.36541005597197507</v>
      </c>
      <c r="AP78">
        <v>7100</v>
      </c>
      <c r="AQ78">
        <f>MAX('Data #1'!AU80:AW80)</f>
        <v>0</v>
      </c>
      <c r="AR78">
        <f>MAX('Data #2'!AU80:AW80)</f>
        <v>0</v>
      </c>
      <c r="AS78">
        <f>MAX('Data #3'!AU80:AW80)</f>
        <v>0</v>
      </c>
      <c r="AT78">
        <f>MAX('Data #4'!AU80:AW80)</f>
        <v>0</v>
      </c>
      <c r="AU78">
        <f>MAX('Data #5'!AU80:AW80)</f>
        <v>0</v>
      </c>
      <c r="AV78" s="88">
        <f t="shared" si="19"/>
        <v>0</v>
      </c>
      <c r="AW78" s="88">
        <f t="shared" si="20"/>
        <v>0</v>
      </c>
      <c r="AX78" s="88">
        <v>-10</v>
      </c>
      <c r="AY78" s="92" t="e">
        <f t="shared" si="28"/>
        <v>#NUM!</v>
      </c>
      <c r="AZ78" s="88">
        <v>-15</v>
      </c>
      <c r="BA78" s="92" t="e">
        <f t="shared" si="29"/>
        <v>#NUM!</v>
      </c>
      <c r="BC78">
        <v>7100</v>
      </c>
      <c r="BD78">
        <f>MAX('Data #1'!AX80:AZ80)</f>
        <v>0</v>
      </c>
      <c r="BE78">
        <f>MAX('Data #2'!AX80:AZ80)</f>
        <v>0</v>
      </c>
      <c r="BF78">
        <f>MAX('Data #3'!AX80:AZ80)</f>
        <v>0</v>
      </c>
      <c r="BG78">
        <f>MAX('Data #4'!AX80:AZ80)</f>
        <v>0</v>
      </c>
      <c r="BH78">
        <f>MAX('Data #5'!AX80:AZ80)</f>
        <v>0</v>
      </c>
      <c r="BI78" s="88">
        <f t="shared" si="30"/>
        <v>0</v>
      </c>
      <c r="BJ78" s="88">
        <f t="shared" si="31"/>
        <v>0</v>
      </c>
      <c r="BK78" s="88">
        <v>-10</v>
      </c>
      <c r="BL78" s="92" t="e">
        <f t="shared" si="32"/>
        <v>#NUM!</v>
      </c>
      <c r="BM78" s="88">
        <v>-15</v>
      </c>
      <c r="BN78" s="92" t="e">
        <f t="shared" si="33"/>
        <v>#NUM!</v>
      </c>
    </row>
    <row r="79" spans="1:66">
      <c r="A79" s="19">
        <v>7500</v>
      </c>
      <c r="B79" s="88">
        <f>'Data #1'!W81</f>
        <v>63.54</v>
      </c>
      <c r="C79" s="88">
        <f>'Data #2'!W81</f>
        <v>20</v>
      </c>
      <c r="D79" s="88">
        <f>'Data #3'!W81</f>
        <v>20</v>
      </c>
      <c r="E79" s="88">
        <f>'Data #4'!W81</f>
        <v>20</v>
      </c>
      <c r="F79" s="88">
        <f>'Data #5'!W81</f>
        <v>20</v>
      </c>
      <c r="H79" s="20">
        <v>7500</v>
      </c>
      <c r="I79" s="88">
        <f>'Data #1'!AH81</f>
        <v>64.376666666666665</v>
      </c>
      <c r="J79" s="88">
        <f>'Data #2'!AH81</f>
        <v>20</v>
      </c>
      <c r="K79" s="88">
        <f>'Data #3'!AH81</f>
        <v>20</v>
      </c>
      <c r="L79" s="88">
        <f>'Data #4'!AH81</f>
        <v>20</v>
      </c>
      <c r="M79" s="88">
        <f>'Data #5'!AH81</f>
        <v>20</v>
      </c>
      <c r="O79">
        <v>7500</v>
      </c>
      <c r="P79">
        <f>MAX('Data #1'!C81:E81)</f>
        <v>-74.66</v>
      </c>
      <c r="Q79">
        <f>MAX('Data #2'!C81:E81)</f>
        <v>0</v>
      </c>
      <c r="R79">
        <f>MAX('Data #3'!C81:E81)</f>
        <v>0</v>
      </c>
      <c r="S79">
        <f>MAX('Data #4'!C81:E81)</f>
        <v>0</v>
      </c>
      <c r="T79">
        <f>MAX('Data #5'!C81:E81)</f>
        <v>0</v>
      </c>
      <c r="U79" s="88">
        <f t="shared" si="18"/>
        <v>-14.931999999999999</v>
      </c>
      <c r="V79" s="88">
        <f t="shared" si="21"/>
        <v>33.388967040026856</v>
      </c>
      <c r="W79" s="88">
        <v>-10</v>
      </c>
      <c r="X79" s="92">
        <f t="shared" si="22"/>
        <v>0.55871554749086383</v>
      </c>
      <c r="Y79" s="88">
        <v>-15</v>
      </c>
      <c r="Z79" s="92">
        <f t="shared" si="23"/>
        <v>0.49918751435821879</v>
      </c>
      <c r="AB79">
        <v>7500</v>
      </c>
      <c r="AC79">
        <f>MAX('Data #1'!F81:H81)</f>
        <v>-71.52</v>
      </c>
      <c r="AD79">
        <f>MAX('Data #2'!F81:H81)</f>
        <v>0</v>
      </c>
      <c r="AE79">
        <f>MAX('Data #3'!F81:H81)</f>
        <v>0</v>
      </c>
      <c r="AF79">
        <f>MAX('Data #4'!F81:H81)</f>
        <v>0</v>
      </c>
      <c r="AG79">
        <f>MAX('Data #5'!F81:H81)</f>
        <v>0</v>
      </c>
      <c r="AH79" s="88">
        <f t="shared" si="24"/>
        <v>-14.303999999999998</v>
      </c>
      <c r="AI79" s="88">
        <f t="shared" si="25"/>
        <v>31.98471635015699</v>
      </c>
      <c r="AJ79" s="88">
        <v>-10</v>
      </c>
      <c r="AK79" s="92">
        <f t="shared" si="26"/>
        <v>0.55352180341002932</v>
      </c>
      <c r="AL79" s="88">
        <v>-15</v>
      </c>
      <c r="AM79" s="92">
        <f t="shared" si="27"/>
        <v>0.49131954422568785</v>
      </c>
      <c r="AP79">
        <v>7500</v>
      </c>
      <c r="AQ79">
        <f>MAX('Data #1'!AU81:AW81)</f>
        <v>0</v>
      </c>
      <c r="AR79">
        <f>MAX('Data #2'!AU81:AW81)</f>
        <v>0</v>
      </c>
      <c r="AS79">
        <f>MAX('Data #3'!AU81:AW81)</f>
        <v>0</v>
      </c>
      <c r="AT79">
        <f>MAX('Data #4'!AU81:AW81)</f>
        <v>0</v>
      </c>
      <c r="AU79">
        <f>MAX('Data #5'!AU81:AW81)</f>
        <v>0</v>
      </c>
      <c r="AV79" s="88">
        <f t="shared" si="19"/>
        <v>0</v>
      </c>
      <c r="AW79" s="88">
        <f t="shared" si="20"/>
        <v>0</v>
      </c>
      <c r="AX79" s="88">
        <v>-10</v>
      </c>
      <c r="AY79" s="92" t="e">
        <f t="shared" si="28"/>
        <v>#NUM!</v>
      </c>
      <c r="AZ79" s="88">
        <v>-15</v>
      </c>
      <c r="BA79" s="92" t="e">
        <f t="shared" si="29"/>
        <v>#NUM!</v>
      </c>
      <c r="BC79">
        <v>7500</v>
      </c>
      <c r="BD79">
        <f>MAX('Data #1'!AX81:AZ81)</f>
        <v>0</v>
      </c>
      <c r="BE79">
        <f>MAX('Data #2'!AX81:AZ81)</f>
        <v>0</v>
      </c>
      <c r="BF79">
        <f>MAX('Data #3'!AX81:AZ81)</f>
        <v>0</v>
      </c>
      <c r="BG79">
        <f>MAX('Data #4'!AX81:AZ81)</f>
        <v>0</v>
      </c>
      <c r="BH79">
        <f>MAX('Data #5'!AX81:AZ81)</f>
        <v>0</v>
      </c>
      <c r="BI79" s="88">
        <f t="shared" si="30"/>
        <v>0</v>
      </c>
      <c r="BJ79" s="88">
        <f t="shared" si="31"/>
        <v>0</v>
      </c>
      <c r="BK79" s="88">
        <v>-10</v>
      </c>
      <c r="BL79" s="92" t="e">
        <f t="shared" si="32"/>
        <v>#NUM!</v>
      </c>
      <c r="BM79" s="88">
        <v>-15</v>
      </c>
      <c r="BN79" s="92" t="e">
        <f t="shared" si="33"/>
        <v>#NUM!</v>
      </c>
    </row>
    <row r="80" spans="1:66">
      <c r="A80" s="19">
        <v>8000</v>
      </c>
      <c r="B80" s="88">
        <f>'Data #1'!W82</f>
        <v>70.523333333333326</v>
      </c>
      <c r="C80" s="88">
        <f>'Data #2'!W82</f>
        <v>20</v>
      </c>
      <c r="D80" s="88">
        <f>'Data #3'!W82</f>
        <v>20</v>
      </c>
      <c r="E80" s="88">
        <f>'Data #4'!W82</f>
        <v>20</v>
      </c>
      <c r="F80" s="88">
        <f>'Data #5'!W82</f>
        <v>20</v>
      </c>
      <c r="H80" s="20">
        <v>8000</v>
      </c>
      <c r="I80" s="88">
        <f>'Data #1'!AH82</f>
        <v>67.399999999999991</v>
      </c>
      <c r="J80" s="88">
        <f>'Data #2'!AH82</f>
        <v>20</v>
      </c>
      <c r="K80" s="88">
        <f>'Data #3'!AH82</f>
        <v>20</v>
      </c>
      <c r="L80" s="88">
        <f>'Data #4'!AH82</f>
        <v>20</v>
      </c>
      <c r="M80" s="88">
        <f>'Data #5'!AH82</f>
        <v>20</v>
      </c>
      <c r="O80">
        <v>8000</v>
      </c>
      <c r="P80">
        <f>MAX('Data #1'!C82:E82)</f>
        <v>-75.599999999999994</v>
      </c>
      <c r="Q80">
        <f>MAX('Data #2'!C82:E82)</f>
        <v>0</v>
      </c>
      <c r="R80">
        <f>MAX('Data #3'!C82:E82)</f>
        <v>0</v>
      </c>
      <c r="S80">
        <f>MAX('Data #4'!C82:E82)</f>
        <v>0</v>
      </c>
      <c r="T80">
        <f>MAX('Data #5'!C82:E82)</f>
        <v>0</v>
      </c>
      <c r="U80" s="88">
        <f t="shared" si="18"/>
        <v>-15.12</v>
      </c>
      <c r="V80" s="88">
        <f t="shared" si="21"/>
        <v>33.809347819796812</v>
      </c>
      <c r="W80" s="88">
        <v>-10</v>
      </c>
      <c r="X80" s="92">
        <f t="shared" si="22"/>
        <v>0.56018465879671697</v>
      </c>
      <c r="Y80" s="88">
        <v>-15</v>
      </c>
      <c r="Z80" s="92">
        <f t="shared" si="23"/>
        <v>0.50141596854778048</v>
      </c>
      <c r="AB80">
        <v>8000</v>
      </c>
      <c r="AC80">
        <f>MAX('Data #1'!F82:H82)</f>
        <v>-73.22</v>
      </c>
      <c r="AD80">
        <f>MAX('Data #2'!F82:H82)</f>
        <v>0</v>
      </c>
      <c r="AE80">
        <f>MAX('Data #3'!F82:H82)</f>
        <v>0</v>
      </c>
      <c r="AF80">
        <f>MAX('Data #4'!F82:H82)</f>
        <v>0</v>
      </c>
      <c r="AG80">
        <f>MAX('Data #5'!F82:H82)</f>
        <v>0</v>
      </c>
      <c r="AH80" s="88">
        <f t="shared" si="24"/>
        <v>-14.644</v>
      </c>
      <c r="AI80" s="88">
        <f t="shared" si="25"/>
        <v>32.744979462506919</v>
      </c>
      <c r="AJ80" s="88">
        <v>-10</v>
      </c>
      <c r="AK80" s="92">
        <f t="shared" si="26"/>
        <v>0.5563901977075687</v>
      </c>
      <c r="AL80" s="88">
        <v>-15</v>
      </c>
      <c r="AM80" s="92">
        <f t="shared" si="27"/>
        <v>0.49566282659551697</v>
      </c>
      <c r="AP80">
        <v>8000</v>
      </c>
      <c r="AQ80">
        <f>MAX('Data #1'!AU82:AW82)</f>
        <v>0</v>
      </c>
      <c r="AR80">
        <f>MAX('Data #2'!AU82:AW82)</f>
        <v>0</v>
      </c>
      <c r="AS80">
        <f>MAX('Data #3'!AU82:AW82)</f>
        <v>0</v>
      </c>
      <c r="AT80">
        <f>MAX('Data #4'!AU82:AW82)</f>
        <v>0</v>
      </c>
      <c r="AU80">
        <f>MAX('Data #5'!AU82:AW82)</f>
        <v>0</v>
      </c>
      <c r="AV80" s="88">
        <f t="shared" si="19"/>
        <v>0</v>
      </c>
      <c r="AW80" s="88">
        <f t="shared" si="20"/>
        <v>0</v>
      </c>
      <c r="AX80" s="88">
        <v>-10</v>
      </c>
      <c r="AY80" s="92" t="e">
        <f t="shared" si="28"/>
        <v>#NUM!</v>
      </c>
      <c r="AZ80" s="88">
        <v>-15</v>
      </c>
      <c r="BA80" s="92" t="e">
        <f t="shared" si="29"/>
        <v>#NUM!</v>
      </c>
      <c r="BC80">
        <v>8000</v>
      </c>
      <c r="BD80">
        <f>MAX('Data #1'!AX82:AZ82)</f>
        <v>0</v>
      </c>
      <c r="BE80">
        <f>MAX('Data #2'!AX82:AZ82)</f>
        <v>0</v>
      </c>
      <c r="BF80">
        <f>MAX('Data #3'!AX82:AZ82)</f>
        <v>0</v>
      </c>
      <c r="BG80">
        <f>MAX('Data #4'!AX82:AZ82)</f>
        <v>0</v>
      </c>
      <c r="BH80">
        <f>MAX('Data #5'!AX82:AZ82)</f>
        <v>0</v>
      </c>
      <c r="BI80" s="88">
        <f t="shared" si="30"/>
        <v>0</v>
      </c>
      <c r="BJ80" s="88">
        <f t="shared" si="31"/>
        <v>0</v>
      </c>
      <c r="BK80" s="88">
        <v>-10</v>
      </c>
      <c r="BL80" s="92" t="e">
        <f t="shared" si="32"/>
        <v>#NUM!</v>
      </c>
      <c r="BM80" s="88">
        <v>-15</v>
      </c>
      <c r="BN80" s="92" t="e">
        <f t="shared" si="33"/>
        <v>#NUM!</v>
      </c>
    </row>
    <row r="81" spans="1:66">
      <c r="A81" s="19">
        <v>8500</v>
      </c>
      <c r="B81" s="88">
        <f>'Data #1'!W83</f>
        <v>75.75</v>
      </c>
      <c r="C81" s="88">
        <f>'Data #2'!W83</f>
        <v>20</v>
      </c>
      <c r="D81" s="88">
        <f>'Data #3'!W83</f>
        <v>20</v>
      </c>
      <c r="E81" s="88">
        <f>'Data #4'!W83</f>
        <v>20</v>
      </c>
      <c r="F81" s="88">
        <f>'Data #5'!W83</f>
        <v>20</v>
      </c>
      <c r="H81" s="20">
        <v>8500</v>
      </c>
      <c r="I81" s="88">
        <f>'Data #1'!AH83</f>
        <v>55.153333333333329</v>
      </c>
      <c r="J81" s="88">
        <f>'Data #2'!AH83</f>
        <v>20</v>
      </c>
      <c r="K81" s="88">
        <f>'Data #3'!AH83</f>
        <v>20</v>
      </c>
      <c r="L81" s="88">
        <f>'Data #4'!AH83</f>
        <v>20</v>
      </c>
      <c r="M81" s="88">
        <f>'Data #5'!AH83</f>
        <v>20</v>
      </c>
      <c r="O81">
        <v>8500</v>
      </c>
      <c r="P81">
        <f>MAX('Data #1'!C83:E83)</f>
        <v>-75.62</v>
      </c>
      <c r="Q81">
        <f>MAX('Data #2'!C83:E83)</f>
        <v>0</v>
      </c>
      <c r="R81">
        <f>MAX('Data #3'!C83:E83)</f>
        <v>0</v>
      </c>
      <c r="S81">
        <f>MAX('Data #4'!C83:E83)</f>
        <v>0</v>
      </c>
      <c r="T81">
        <f>MAX('Data #5'!C83:E83)</f>
        <v>0</v>
      </c>
      <c r="U81" s="88">
        <f t="shared" si="18"/>
        <v>-15.124000000000001</v>
      </c>
      <c r="V81" s="88">
        <f t="shared" si="21"/>
        <v>33.818292091706823</v>
      </c>
      <c r="W81" s="88">
        <v>-10</v>
      </c>
      <c r="X81" s="92">
        <f t="shared" si="22"/>
        <v>0.56021551085349375</v>
      </c>
      <c r="Y81" s="88">
        <v>-15</v>
      </c>
      <c r="Z81" s="92">
        <f t="shared" si="23"/>
        <v>0.50146278031397107</v>
      </c>
      <c r="AB81">
        <v>8500</v>
      </c>
      <c r="AC81">
        <f>MAX('Data #1'!F83:H83)</f>
        <v>-78.17</v>
      </c>
      <c r="AD81">
        <f>MAX('Data #2'!F83:H83)</f>
        <v>0</v>
      </c>
      <c r="AE81">
        <f>MAX('Data #3'!F83:H83)</f>
        <v>0</v>
      </c>
      <c r="AF81">
        <f>MAX('Data #4'!F83:H83)</f>
        <v>0</v>
      </c>
      <c r="AG81">
        <f>MAX('Data #5'!F83:H83)</f>
        <v>0</v>
      </c>
      <c r="AH81" s="88">
        <f t="shared" si="24"/>
        <v>-15.634</v>
      </c>
      <c r="AI81" s="88">
        <f t="shared" si="25"/>
        <v>34.958686760231714</v>
      </c>
      <c r="AJ81" s="88">
        <v>-10</v>
      </c>
      <c r="AK81" s="92">
        <f t="shared" si="26"/>
        <v>0.56401696150753544</v>
      </c>
      <c r="AL81" s="88">
        <v>-15</v>
      </c>
      <c r="AM81" s="92">
        <f t="shared" si="27"/>
        <v>0.50723469801097054</v>
      </c>
      <c r="AP81">
        <v>8500</v>
      </c>
      <c r="AQ81">
        <f>MAX('Data #1'!AU83:AW83)</f>
        <v>0</v>
      </c>
      <c r="AR81">
        <f>MAX('Data #2'!AU83:AW83)</f>
        <v>0</v>
      </c>
      <c r="AS81">
        <f>MAX('Data #3'!AU83:AW83)</f>
        <v>0</v>
      </c>
      <c r="AT81">
        <f>MAX('Data #4'!AU83:AW83)</f>
        <v>0</v>
      </c>
      <c r="AU81">
        <f>MAX('Data #5'!AU83:AW83)</f>
        <v>0</v>
      </c>
      <c r="AV81" s="88">
        <f t="shared" si="19"/>
        <v>0</v>
      </c>
      <c r="AW81" s="88">
        <f t="shared" si="20"/>
        <v>0</v>
      </c>
      <c r="AX81" s="88">
        <v>-10</v>
      </c>
      <c r="AY81" s="92" t="e">
        <f t="shared" si="28"/>
        <v>#NUM!</v>
      </c>
      <c r="AZ81" s="88">
        <v>-15</v>
      </c>
      <c r="BA81" s="92" t="e">
        <f t="shared" si="29"/>
        <v>#NUM!</v>
      </c>
      <c r="BC81">
        <v>8500</v>
      </c>
      <c r="BD81">
        <f>MAX('Data #1'!AX83:AZ83)</f>
        <v>0</v>
      </c>
      <c r="BE81">
        <f>MAX('Data #2'!AX83:AZ83)</f>
        <v>0</v>
      </c>
      <c r="BF81">
        <f>MAX('Data #3'!AX83:AZ83)</f>
        <v>0</v>
      </c>
      <c r="BG81">
        <f>MAX('Data #4'!AX83:AZ83)</f>
        <v>0</v>
      </c>
      <c r="BH81">
        <f>MAX('Data #5'!AX83:AZ83)</f>
        <v>0</v>
      </c>
      <c r="BI81" s="88">
        <f t="shared" si="30"/>
        <v>0</v>
      </c>
      <c r="BJ81" s="88">
        <f t="shared" si="31"/>
        <v>0</v>
      </c>
      <c r="BK81" s="88">
        <v>-10</v>
      </c>
      <c r="BL81" s="92" t="e">
        <f t="shared" si="32"/>
        <v>#NUM!</v>
      </c>
      <c r="BM81" s="88">
        <v>-15</v>
      </c>
      <c r="BN81" s="92" t="e">
        <f t="shared" si="33"/>
        <v>#NUM!</v>
      </c>
    </row>
    <row r="82" spans="1:66">
      <c r="A82" s="19">
        <v>9000</v>
      </c>
      <c r="B82" s="88">
        <f>'Data #1'!W84</f>
        <v>64.973333333333329</v>
      </c>
      <c r="C82" s="88">
        <f>'Data #2'!W84</f>
        <v>20</v>
      </c>
      <c r="D82" s="88">
        <f>'Data #3'!W84</f>
        <v>20</v>
      </c>
      <c r="E82" s="88">
        <f>'Data #4'!W84</f>
        <v>20</v>
      </c>
      <c r="F82" s="88">
        <f>'Data #5'!W84</f>
        <v>20</v>
      </c>
      <c r="H82" s="20">
        <v>9000</v>
      </c>
      <c r="I82" s="88">
        <f>'Data #1'!AH84</f>
        <v>51.390000000000008</v>
      </c>
      <c r="J82" s="88">
        <f>'Data #2'!AH84</f>
        <v>20</v>
      </c>
      <c r="K82" s="88">
        <f>'Data #3'!AH84</f>
        <v>20</v>
      </c>
      <c r="L82" s="88">
        <f>'Data #4'!AH84</f>
        <v>20</v>
      </c>
      <c r="M82" s="88">
        <f>'Data #5'!AH84</f>
        <v>20</v>
      </c>
      <c r="O82">
        <v>9000</v>
      </c>
      <c r="P82">
        <f>MAX('Data #1'!C84:E84)</f>
        <v>-72</v>
      </c>
      <c r="Q82">
        <f>MAX('Data #2'!C84:E84)</f>
        <v>0</v>
      </c>
      <c r="R82">
        <f>MAX('Data #3'!C84:E84)</f>
        <v>0</v>
      </c>
      <c r="S82">
        <f>MAX('Data #4'!C84:E84)</f>
        <v>0</v>
      </c>
      <c r="T82">
        <f>MAX('Data #5'!C84:E84)</f>
        <v>0</v>
      </c>
      <c r="U82" s="88">
        <f t="shared" si="18"/>
        <v>-14.4</v>
      </c>
      <c r="V82" s="88">
        <f t="shared" si="21"/>
        <v>32.19937887599697</v>
      </c>
      <c r="W82" s="88">
        <v>-10</v>
      </c>
      <c r="X82" s="92">
        <f t="shared" si="22"/>
        <v>0.55434571968674629</v>
      </c>
      <c r="Y82" s="88">
        <v>-15</v>
      </c>
      <c r="Z82" s="92">
        <f t="shared" si="23"/>
        <v>0.49256657969330558</v>
      </c>
      <c r="AB82">
        <v>9000</v>
      </c>
      <c r="AC82">
        <f>MAX('Data #1'!F84:H84)</f>
        <v>-79.150000000000006</v>
      </c>
      <c r="AD82">
        <f>MAX('Data #2'!F84:H84)</f>
        <v>0</v>
      </c>
      <c r="AE82">
        <f>MAX('Data #3'!F84:H84)</f>
        <v>0</v>
      </c>
      <c r="AF82">
        <f>MAX('Data #4'!F84:H84)</f>
        <v>0</v>
      </c>
      <c r="AG82">
        <f>MAX('Data #5'!F84:H84)</f>
        <v>0</v>
      </c>
      <c r="AH82" s="88">
        <f t="shared" si="24"/>
        <v>-15.830000000000002</v>
      </c>
      <c r="AI82" s="88">
        <f t="shared" si="25"/>
        <v>35.396956083821671</v>
      </c>
      <c r="AJ82" s="88">
        <v>-10</v>
      </c>
      <c r="AK82" s="92">
        <f t="shared" si="26"/>
        <v>0.56541129057361639</v>
      </c>
      <c r="AL82" s="88">
        <v>-15</v>
      </c>
      <c r="AM82" s="92">
        <f t="shared" si="27"/>
        <v>0.50935367864004932</v>
      </c>
      <c r="AP82">
        <v>9000</v>
      </c>
      <c r="AQ82">
        <f>MAX('Data #1'!AU84:AW84)</f>
        <v>0</v>
      </c>
      <c r="AR82">
        <f>MAX('Data #2'!AU84:AW84)</f>
        <v>0</v>
      </c>
      <c r="AS82">
        <f>MAX('Data #3'!AU84:AW84)</f>
        <v>0</v>
      </c>
      <c r="AT82">
        <f>MAX('Data #4'!AU84:AW84)</f>
        <v>0</v>
      </c>
      <c r="AU82">
        <f>MAX('Data #5'!AU84:AW84)</f>
        <v>0</v>
      </c>
      <c r="AV82" s="88">
        <f t="shared" si="19"/>
        <v>0</v>
      </c>
      <c r="AW82" s="88">
        <f t="shared" si="20"/>
        <v>0</v>
      </c>
      <c r="AX82" s="88">
        <v>-10</v>
      </c>
      <c r="AY82" s="92" t="e">
        <f t="shared" si="28"/>
        <v>#NUM!</v>
      </c>
      <c r="AZ82" s="88">
        <v>-15</v>
      </c>
      <c r="BA82" s="92" t="e">
        <f t="shared" si="29"/>
        <v>#NUM!</v>
      </c>
      <c r="BC82">
        <v>9000</v>
      </c>
      <c r="BD82">
        <f>MAX('Data #1'!AX84:AZ84)</f>
        <v>0</v>
      </c>
      <c r="BE82">
        <f>MAX('Data #2'!AX84:AZ84)</f>
        <v>0</v>
      </c>
      <c r="BF82">
        <f>MAX('Data #3'!AX84:AZ84)</f>
        <v>0</v>
      </c>
      <c r="BG82">
        <f>MAX('Data #4'!AX84:AZ84)</f>
        <v>0</v>
      </c>
      <c r="BH82">
        <f>MAX('Data #5'!AX84:AZ84)</f>
        <v>0</v>
      </c>
      <c r="BI82" s="88">
        <f t="shared" si="30"/>
        <v>0</v>
      </c>
      <c r="BJ82" s="88">
        <f t="shared" si="31"/>
        <v>0</v>
      </c>
      <c r="BK82" s="88">
        <v>-10</v>
      </c>
      <c r="BL82" s="92" t="e">
        <f t="shared" si="32"/>
        <v>#NUM!</v>
      </c>
      <c r="BM82" s="88">
        <v>-15</v>
      </c>
      <c r="BN82" s="92" t="e">
        <f t="shared" si="33"/>
        <v>#NUM!</v>
      </c>
    </row>
    <row r="83" spans="1:66">
      <c r="A83" s="19">
        <v>9500</v>
      </c>
      <c r="B83" s="88">
        <f>'Data #1'!W85</f>
        <v>54.330000000000005</v>
      </c>
      <c r="C83" s="88">
        <f>'Data #2'!W85</f>
        <v>20</v>
      </c>
      <c r="D83" s="88">
        <f>'Data #3'!W85</f>
        <v>20</v>
      </c>
      <c r="E83" s="88">
        <f>'Data #4'!W85</f>
        <v>20</v>
      </c>
      <c r="F83" s="88">
        <f>'Data #5'!W85</f>
        <v>20</v>
      </c>
      <c r="H83" s="20">
        <v>9500</v>
      </c>
      <c r="I83" s="88">
        <f>'Data #1'!AH85</f>
        <v>59.686666666666667</v>
      </c>
      <c r="J83" s="88">
        <f>'Data #2'!AH85</f>
        <v>20</v>
      </c>
      <c r="K83" s="88">
        <f>'Data #3'!AH85</f>
        <v>20</v>
      </c>
      <c r="L83" s="88">
        <f>'Data #4'!AH85</f>
        <v>20</v>
      </c>
      <c r="M83" s="88">
        <f>'Data #5'!AH85</f>
        <v>20</v>
      </c>
      <c r="O83">
        <v>9500</v>
      </c>
      <c r="P83">
        <f>MAX('Data #1'!C85:E85)</f>
        <v>-72.66</v>
      </c>
      <c r="Q83">
        <f>MAX('Data #2'!C85:E85)</f>
        <v>0</v>
      </c>
      <c r="R83">
        <f>MAX('Data #3'!C85:E85)</f>
        <v>0</v>
      </c>
      <c r="S83">
        <f>MAX('Data #4'!C85:E85)</f>
        <v>0</v>
      </c>
      <c r="T83">
        <f>MAX('Data #5'!C85:E85)</f>
        <v>0</v>
      </c>
      <c r="U83" s="88">
        <f t="shared" si="18"/>
        <v>-14.532</v>
      </c>
      <c r="V83" s="88">
        <f t="shared" si="21"/>
        <v>32.494539849026943</v>
      </c>
      <c r="W83" s="88">
        <v>-10</v>
      </c>
      <c r="X83" s="92">
        <f t="shared" si="22"/>
        <v>0.55546045581821424</v>
      </c>
      <c r="Y83" s="88">
        <v>-15</v>
      </c>
      <c r="Z83" s="92">
        <f t="shared" si="23"/>
        <v>0.49425446448532251</v>
      </c>
      <c r="AB83">
        <v>9500</v>
      </c>
      <c r="AC83">
        <f>MAX('Data #1'!F85:H85)</f>
        <v>-72.92</v>
      </c>
      <c r="AD83">
        <f>MAX('Data #2'!F85:H85)</f>
        <v>0</v>
      </c>
      <c r="AE83">
        <f>MAX('Data #3'!F85:H85)</f>
        <v>0</v>
      </c>
      <c r="AF83">
        <f>MAX('Data #4'!F85:H85)</f>
        <v>0</v>
      </c>
      <c r="AG83">
        <f>MAX('Data #5'!F85:H85)</f>
        <v>0</v>
      </c>
      <c r="AH83" s="88">
        <f t="shared" si="24"/>
        <v>-14.584</v>
      </c>
      <c r="AI83" s="88">
        <f t="shared" si="25"/>
        <v>32.610815383856931</v>
      </c>
      <c r="AJ83" s="88">
        <v>-10</v>
      </c>
      <c r="AK83" s="92">
        <f t="shared" si="26"/>
        <v>0.55589393590042313</v>
      </c>
      <c r="AL83" s="88">
        <v>-15</v>
      </c>
      <c r="AM83" s="92">
        <f t="shared" si="27"/>
        <v>0.49491102918659718</v>
      </c>
      <c r="AP83">
        <v>9500</v>
      </c>
      <c r="AQ83">
        <f>MAX('Data #1'!AU85:AW85)</f>
        <v>0</v>
      </c>
      <c r="AR83">
        <f>MAX('Data #2'!AU85:AW85)</f>
        <v>0</v>
      </c>
      <c r="AS83">
        <f>MAX('Data #3'!AU85:AW85)</f>
        <v>0</v>
      </c>
      <c r="AT83">
        <f>MAX('Data #4'!AU85:AW85)</f>
        <v>0</v>
      </c>
      <c r="AU83">
        <f>MAX('Data #5'!AU85:AW85)</f>
        <v>0</v>
      </c>
      <c r="AV83" s="88">
        <f t="shared" si="19"/>
        <v>0</v>
      </c>
      <c r="AW83" s="88">
        <f t="shared" si="20"/>
        <v>0</v>
      </c>
      <c r="AX83" s="88">
        <v>-10</v>
      </c>
      <c r="AY83" s="92" t="e">
        <f t="shared" si="28"/>
        <v>#NUM!</v>
      </c>
      <c r="AZ83" s="88">
        <v>-15</v>
      </c>
      <c r="BA83" s="92" t="e">
        <f t="shared" si="29"/>
        <v>#NUM!</v>
      </c>
      <c r="BC83">
        <v>9500</v>
      </c>
      <c r="BD83">
        <f>MAX('Data #1'!AX85:AZ85)</f>
        <v>0</v>
      </c>
      <c r="BE83">
        <f>MAX('Data #2'!AX85:AZ85)</f>
        <v>0</v>
      </c>
      <c r="BF83">
        <f>MAX('Data #3'!AX85:AZ85)</f>
        <v>0</v>
      </c>
      <c r="BG83">
        <f>MAX('Data #4'!AX85:AZ85)</f>
        <v>0</v>
      </c>
      <c r="BH83">
        <f>MAX('Data #5'!AX85:AZ85)</f>
        <v>0</v>
      </c>
      <c r="BI83" s="88">
        <f t="shared" si="30"/>
        <v>0</v>
      </c>
      <c r="BJ83" s="88">
        <f t="shared" si="31"/>
        <v>0</v>
      </c>
      <c r="BK83" s="88">
        <v>-10</v>
      </c>
      <c r="BL83" s="92" t="e">
        <f t="shared" si="32"/>
        <v>#NUM!</v>
      </c>
      <c r="BM83" s="88">
        <v>-15</v>
      </c>
      <c r="BN83" s="92" t="e">
        <f t="shared" si="33"/>
        <v>#NUM!</v>
      </c>
    </row>
    <row r="84" spans="1:66">
      <c r="A84" s="19">
        <v>10000</v>
      </c>
      <c r="B84" s="88">
        <f>'Data #1'!W86</f>
        <v>75.913333333333341</v>
      </c>
      <c r="C84" s="88">
        <f>'Data #2'!W86</f>
        <v>20</v>
      </c>
      <c r="D84" s="88">
        <f>'Data #3'!W86</f>
        <v>20</v>
      </c>
      <c r="E84" s="88">
        <f>'Data #4'!W86</f>
        <v>20</v>
      </c>
      <c r="F84" s="88">
        <f>'Data #5'!W86</f>
        <v>20</v>
      </c>
      <c r="H84" s="20">
        <v>10000</v>
      </c>
      <c r="I84" s="88">
        <f>'Data #1'!AH86</f>
        <v>63.743333333333332</v>
      </c>
      <c r="J84" s="88">
        <f>'Data #2'!AH86</f>
        <v>20</v>
      </c>
      <c r="K84" s="88">
        <f>'Data #3'!AH86</f>
        <v>20</v>
      </c>
      <c r="L84" s="88">
        <f>'Data #4'!AH86</f>
        <v>20</v>
      </c>
      <c r="M84" s="88">
        <f>'Data #5'!AH86</f>
        <v>20</v>
      </c>
      <c r="O84">
        <v>10000</v>
      </c>
      <c r="P84">
        <f>MAX('Data #1'!C86:E86)</f>
        <v>-78.2</v>
      </c>
      <c r="Q84">
        <f>MAX('Data #2'!C86:E86)</f>
        <v>0</v>
      </c>
      <c r="R84">
        <f>MAX('Data #3'!C86:E86)</f>
        <v>0</v>
      </c>
      <c r="S84">
        <f>MAX('Data #4'!C86:E86)</f>
        <v>0</v>
      </c>
      <c r="T84">
        <f>MAX('Data #5'!C86:E86)</f>
        <v>0</v>
      </c>
      <c r="U84" s="88">
        <f t="shared" si="18"/>
        <v>-15.64</v>
      </c>
      <c r="V84" s="88">
        <f t="shared" si="21"/>
        <v>34.972103168096716</v>
      </c>
      <c r="W84" s="88">
        <v>-10</v>
      </c>
      <c r="X84" s="92">
        <f t="shared" si="22"/>
        <v>0.56406017562355859</v>
      </c>
      <c r="Y84" s="88">
        <v>-15</v>
      </c>
      <c r="Z84" s="92">
        <f t="shared" si="23"/>
        <v>0.50730035616162183</v>
      </c>
      <c r="AB84">
        <v>10000</v>
      </c>
      <c r="AC84">
        <f>MAX('Data #1'!F86:H86)</f>
        <v>-67.680000000000007</v>
      </c>
      <c r="AD84">
        <f>MAX('Data #2'!F86:H86)</f>
        <v>0</v>
      </c>
      <c r="AE84">
        <f>MAX('Data #3'!F86:H86)</f>
        <v>0</v>
      </c>
      <c r="AF84">
        <f>MAX('Data #4'!F86:H86)</f>
        <v>0</v>
      </c>
      <c r="AG84">
        <f>MAX('Data #5'!F86:H86)</f>
        <v>0</v>
      </c>
      <c r="AH84" s="88">
        <f t="shared" si="24"/>
        <v>-13.536000000000001</v>
      </c>
      <c r="AI84" s="88">
        <f t="shared" si="25"/>
        <v>30.267416143437156</v>
      </c>
      <c r="AJ84" s="88">
        <v>-10</v>
      </c>
      <c r="AK84" s="92">
        <f t="shared" si="26"/>
        <v>0.54650075311296908</v>
      </c>
      <c r="AL84" s="88">
        <v>-15</v>
      </c>
      <c r="AM84" s="92">
        <f t="shared" si="27"/>
        <v>0.48071114363327444</v>
      </c>
      <c r="AP84">
        <v>10000</v>
      </c>
      <c r="AQ84">
        <f>MAX('Data #1'!AU86:AW86)</f>
        <v>0</v>
      </c>
      <c r="AR84">
        <f>MAX('Data #2'!AU86:AW86)</f>
        <v>0</v>
      </c>
      <c r="AS84">
        <f>MAX('Data #3'!AU86:AW86)</f>
        <v>0</v>
      </c>
      <c r="AT84">
        <f>MAX('Data #4'!AU86:AW86)</f>
        <v>0</v>
      </c>
      <c r="AU84">
        <f>MAX('Data #5'!AU86:AW86)</f>
        <v>0</v>
      </c>
      <c r="AV84" s="88">
        <f t="shared" si="19"/>
        <v>0</v>
      </c>
      <c r="AW84" s="88">
        <f t="shared" si="20"/>
        <v>0</v>
      </c>
      <c r="AX84" s="88">
        <v>-10</v>
      </c>
      <c r="AY84" s="92" t="e">
        <f t="shared" si="28"/>
        <v>#NUM!</v>
      </c>
      <c r="AZ84" s="88">
        <v>-15</v>
      </c>
      <c r="BA84" s="92" t="e">
        <f t="shared" si="29"/>
        <v>#NUM!</v>
      </c>
      <c r="BC84">
        <v>10000</v>
      </c>
      <c r="BD84">
        <f>MAX('Data #1'!AX86:AZ86)</f>
        <v>0</v>
      </c>
      <c r="BE84">
        <f>MAX('Data #2'!AX86:AZ86)</f>
        <v>0</v>
      </c>
      <c r="BF84">
        <f>MAX('Data #3'!AX86:AZ86)</f>
        <v>0</v>
      </c>
      <c r="BG84">
        <f>MAX('Data #4'!AX86:AZ86)</f>
        <v>0</v>
      </c>
      <c r="BH84">
        <f>MAX('Data #5'!AX86:AZ86)</f>
        <v>0</v>
      </c>
      <c r="BI84" s="88">
        <f t="shared" si="30"/>
        <v>0</v>
      </c>
      <c r="BJ84" s="88">
        <f t="shared" si="31"/>
        <v>0</v>
      </c>
      <c r="BK84" s="88">
        <v>-10</v>
      </c>
      <c r="BL84" s="92" t="e">
        <f t="shared" si="32"/>
        <v>#NUM!</v>
      </c>
      <c r="BM84" s="88">
        <v>-15</v>
      </c>
      <c r="BN84" s="92" t="e">
        <f t="shared" si="33"/>
        <v>#NUM!</v>
      </c>
    </row>
  </sheetData>
  <phoneticPr fontId="1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B251"/>
  <sheetViews>
    <sheetView tabSelected="1" topLeftCell="B1" workbookViewId="0">
      <selection activeCell="N9" sqref="N9"/>
    </sheetView>
  </sheetViews>
  <sheetFormatPr defaultRowHeight="12.75"/>
  <cols>
    <col min="1" max="1" width="19.85546875" style="17" bestFit="1" customWidth="1"/>
    <col min="2" max="2" width="6" style="12" bestFit="1" customWidth="1"/>
    <col min="3" max="3" width="8.85546875" style="11" customWidth="1"/>
    <col min="4" max="4" width="9.28515625" style="11" bestFit="1" customWidth="1"/>
    <col min="5" max="5" width="7.85546875" style="11" bestFit="1" customWidth="1"/>
    <col min="6" max="6" width="8.7109375" style="11" bestFit="1" customWidth="1"/>
    <col min="7" max="7" width="8.85546875" style="11" bestFit="1" customWidth="1"/>
    <col min="8" max="8" width="7.5703125" style="11" bestFit="1" customWidth="1"/>
    <col min="9" max="9" width="9.140625" style="11"/>
    <col min="10" max="10" width="6" style="12" bestFit="1" customWidth="1"/>
    <col min="11" max="11" width="23.140625" style="11" bestFit="1" customWidth="1"/>
    <col min="12" max="12" width="22.7109375" style="11" bestFit="1" customWidth="1"/>
    <col min="13" max="14" width="22.7109375" style="11" customWidth="1"/>
    <col min="15" max="15" width="11.28515625" style="11" customWidth="1"/>
    <col min="16" max="16" width="26.7109375" style="14" bestFit="1" customWidth="1"/>
    <col min="17" max="17" width="6" style="19" bestFit="1" customWidth="1"/>
    <col min="18" max="18" width="9.85546875" style="8" bestFit="1" customWidth="1"/>
    <col min="19" max="19" width="10" style="8" bestFit="1" customWidth="1"/>
    <col min="20" max="20" width="8.5703125" style="8" bestFit="1" customWidth="1"/>
    <col min="21" max="21" width="9.140625" style="8"/>
    <col min="22" max="22" width="6" style="19" bestFit="1" customWidth="1"/>
    <col min="23" max="23" width="12" style="8" bestFit="1" customWidth="1"/>
    <col min="24" max="24" width="10.7109375" style="8" bestFit="1" customWidth="1"/>
    <col min="25" max="25" width="13.7109375" style="8" bestFit="1" customWidth="1"/>
    <col min="26" max="26" width="12.85546875" style="8" customWidth="1"/>
    <col min="27" max="27" width="25.5703125" style="15" bestFit="1" customWidth="1"/>
    <col min="28" max="28" width="6" style="20" bestFit="1" customWidth="1"/>
    <col min="29" max="29" width="10" style="9" bestFit="1" customWidth="1"/>
    <col min="30" max="30" width="10.140625" style="9" bestFit="1" customWidth="1"/>
    <col min="31" max="31" width="8.7109375" style="9" bestFit="1" customWidth="1"/>
    <col min="32" max="32" width="12.85546875" style="9" customWidth="1"/>
    <col min="33" max="33" width="6" style="20" bestFit="1" customWidth="1"/>
    <col min="34" max="34" width="12" style="9" bestFit="1" customWidth="1"/>
    <col min="35" max="35" width="10.28515625" style="9" bestFit="1" customWidth="1"/>
    <col min="36" max="36" width="13.7109375" style="9" bestFit="1" customWidth="1"/>
    <col min="37" max="37" width="12.85546875" style="9" customWidth="1"/>
    <col min="38" max="38" width="22" style="16" bestFit="1" customWidth="1"/>
    <col min="39" max="39" width="6" style="21" bestFit="1" customWidth="1"/>
    <col min="40" max="40" width="10.85546875" style="10" bestFit="1" customWidth="1"/>
    <col min="41" max="41" width="17.7109375" style="10" bestFit="1" customWidth="1"/>
    <col min="42" max="42" width="13.7109375" style="10" bestFit="1" customWidth="1"/>
    <col min="43" max="43" width="19.140625" style="10" bestFit="1" customWidth="1"/>
    <col min="44" max="44" width="6.28515625" style="10" customWidth="1"/>
    <col min="45" max="45" width="9.140625" style="16"/>
    <col min="46" max="46" width="6" style="12" bestFit="1" customWidth="1"/>
    <col min="47" max="47" width="14.85546875" style="11" customWidth="1"/>
    <col min="48" max="48" width="9.28515625" style="11" bestFit="1" customWidth="1"/>
    <col min="49" max="49" width="7.85546875" style="11" bestFit="1" customWidth="1"/>
    <col min="50" max="50" width="8.7109375" style="11" bestFit="1" customWidth="1"/>
    <col min="51" max="51" width="8.85546875" style="11" bestFit="1" customWidth="1"/>
    <col min="52" max="52" width="7.5703125" style="11" bestFit="1" customWidth="1"/>
    <col min="53" max="80" width="9.140625" style="16"/>
  </cols>
  <sheetData>
    <row r="1" spans="1:80" s="24" customFormat="1">
      <c r="A1" s="24">
        <v>1</v>
      </c>
      <c r="B1" s="25">
        <v>2</v>
      </c>
      <c r="C1" s="24">
        <v>3</v>
      </c>
      <c r="D1" s="25">
        <v>4</v>
      </c>
      <c r="E1" s="24">
        <v>5</v>
      </c>
      <c r="F1" s="25">
        <v>6</v>
      </c>
      <c r="G1" s="24">
        <v>7</v>
      </c>
      <c r="H1" s="25">
        <v>8</v>
      </c>
      <c r="I1" s="24">
        <v>9</v>
      </c>
      <c r="J1" s="25">
        <v>10</v>
      </c>
      <c r="K1" s="24">
        <v>11</v>
      </c>
      <c r="L1" s="25">
        <v>12</v>
      </c>
      <c r="M1" s="24">
        <v>13</v>
      </c>
      <c r="N1" s="25">
        <v>14</v>
      </c>
      <c r="O1" s="24">
        <v>15</v>
      </c>
      <c r="P1" s="25">
        <v>16</v>
      </c>
      <c r="Q1" s="24">
        <v>17</v>
      </c>
      <c r="R1" s="25">
        <v>18</v>
      </c>
      <c r="S1" s="24">
        <v>19</v>
      </c>
      <c r="T1" s="25">
        <v>20</v>
      </c>
      <c r="U1" s="24">
        <v>21</v>
      </c>
      <c r="V1" s="25">
        <v>22</v>
      </c>
      <c r="W1" s="24">
        <v>23</v>
      </c>
      <c r="X1" s="25">
        <v>24</v>
      </c>
      <c r="Y1" s="24">
        <v>25</v>
      </c>
      <c r="Z1" s="25">
        <v>26</v>
      </c>
      <c r="AA1" s="24">
        <v>27</v>
      </c>
      <c r="AB1" s="25">
        <v>28</v>
      </c>
      <c r="AC1" s="24">
        <v>29</v>
      </c>
      <c r="AD1" s="25">
        <v>30</v>
      </c>
      <c r="AE1" s="24">
        <v>31</v>
      </c>
      <c r="AF1" s="25">
        <v>32</v>
      </c>
      <c r="AG1" s="24">
        <v>33</v>
      </c>
      <c r="AH1" s="25">
        <v>34</v>
      </c>
      <c r="AI1" s="24">
        <v>35</v>
      </c>
      <c r="AJ1" s="25">
        <v>36</v>
      </c>
      <c r="AK1" s="24">
        <v>37</v>
      </c>
      <c r="AL1" s="25">
        <v>38</v>
      </c>
      <c r="AM1" s="24">
        <v>39</v>
      </c>
      <c r="AN1" s="25">
        <v>40</v>
      </c>
      <c r="AO1" s="24">
        <v>41</v>
      </c>
      <c r="AP1" s="25">
        <v>42</v>
      </c>
      <c r="AQ1" s="24">
        <v>43</v>
      </c>
      <c r="AR1" s="25">
        <v>44</v>
      </c>
      <c r="AS1" s="24">
        <v>45</v>
      </c>
      <c r="AT1" s="25">
        <v>46</v>
      </c>
      <c r="AU1" s="24">
        <v>47</v>
      </c>
      <c r="AV1" s="25">
        <v>48</v>
      </c>
      <c r="AW1" s="24">
        <v>49</v>
      </c>
      <c r="AX1" s="25">
        <v>50</v>
      </c>
      <c r="AY1" s="24">
        <v>51</v>
      </c>
      <c r="AZ1" s="25">
        <v>52</v>
      </c>
    </row>
    <row r="2" spans="1:80" s="24" customFormat="1" ht="18">
      <c r="A2" s="26" t="s">
        <v>29</v>
      </c>
      <c r="B2" s="118" t="str">
        <f>CONCATENATE(ModelName, "#",SC_Import!D4)</f>
        <v>Delhi80#I_320</v>
      </c>
      <c r="C2" s="118"/>
      <c r="D2" s="118"/>
      <c r="E2" s="118"/>
      <c r="F2" s="118"/>
      <c r="G2" s="118"/>
      <c r="J2" s="25"/>
      <c r="K2" s="24">
        <v>50</v>
      </c>
      <c r="Q2" s="25"/>
      <c r="V2" s="25"/>
      <c r="AB2" s="25"/>
      <c r="AG2" s="25"/>
      <c r="AM2" s="25"/>
      <c r="AT2" s="118"/>
      <c r="AU2" s="118"/>
      <c r="AV2" s="118"/>
      <c r="AW2" s="118"/>
      <c r="AX2" s="118"/>
      <c r="AY2" s="118"/>
    </row>
    <row r="3" spans="1:80" s="24" customFormat="1">
      <c r="B3" s="25"/>
      <c r="J3" s="25"/>
      <c r="Q3" s="25"/>
      <c r="V3" s="25"/>
      <c r="AB3" s="25"/>
      <c r="AG3" s="25"/>
      <c r="AM3" s="25"/>
      <c r="AT3" s="25"/>
    </row>
    <row r="4" spans="1:80" ht="18">
      <c r="A4" s="13" t="s">
        <v>25</v>
      </c>
      <c r="C4" s="12" t="s">
        <v>108</v>
      </c>
      <c r="D4" s="12" t="s">
        <v>109</v>
      </c>
      <c r="E4" s="12" t="s">
        <v>110</v>
      </c>
      <c r="F4" s="12" t="s">
        <v>111</v>
      </c>
      <c r="G4" s="12" t="s">
        <v>112</v>
      </c>
      <c r="H4" s="12" t="s">
        <v>113</v>
      </c>
      <c r="P4" s="13" t="s">
        <v>26</v>
      </c>
      <c r="AA4" s="13" t="s">
        <v>27</v>
      </c>
      <c r="AL4" s="13" t="s">
        <v>32</v>
      </c>
      <c r="AU4" s="12" t="s">
        <v>0</v>
      </c>
      <c r="AV4" s="12" t="s">
        <v>1</v>
      </c>
      <c r="AW4" s="12" t="s">
        <v>68</v>
      </c>
      <c r="AX4" s="12" t="s">
        <v>69</v>
      </c>
      <c r="AY4" s="12" t="s">
        <v>70</v>
      </c>
      <c r="AZ4" s="12" t="s">
        <v>71</v>
      </c>
    </row>
    <row r="5" spans="1:80" s="23" customFormat="1">
      <c r="A5" s="18"/>
      <c r="B5" s="12"/>
      <c r="C5" s="12" t="str">
        <f>CONCATENATE(C4,Settings!$C$5)</f>
        <v>Front_HL1</v>
      </c>
      <c r="D5" s="12" t="str">
        <f>CONCATENATE(D4,Settings!$C$5)</f>
        <v>Front_HR1</v>
      </c>
      <c r="E5" s="12" t="str">
        <f>CONCATENATE(E4,Settings!$C$5)</f>
        <v>Front_L1</v>
      </c>
      <c r="F5" s="12" t="str">
        <f>CONCATENATE(F4,Settings!$C$5)</f>
        <v>Rear_HL1</v>
      </c>
      <c r="G5" s="12" t="str">
        <f>CONCATENATE(G4,Settings!$C$5)</f>
        <v>Rear_HR1</v>
      </c>
      <c r="H5" s="12" t="str">
        <f>CONCATENATE(H4,Settings!$C$5)</f>
        <v>Rear_L1</v>
      </c>
      <c r="I5" s="12"/>
      <c r="J5" s="12"/>
      <c r="K5" s="12" t="s">
        <v>20</v>
      </c>
      <c r="L5" s="12" t="s">
        <v>21</v>
      </c>
      <c r="M5" s="12" t="s">
        <v>228</v>
      </c>
      <c r="N5" s="12" t="s">
        <v>229</v>
      </c>
      <c r="O5" s="12"/>
      <c r="P5" s="18"/>
      <c r="Q5" s="19"/>
      <c r="R5" s="19" t="s">
        <v>2</v>
      </c>
      <c r="S5" s="19" t="s">
        <v>3</v>
      </c>
      <c r="T5" s="19" t="s">
        <v>4</v>
      </c>
      <c r="U5" s="19"/>
      <c r="V5" s="19"/>
      <c r="W5" s="19" t="s">
        <v>8</v>
      </c>
      <c r="X5" s="19" t="s">
        <v>22</v>
      </c>
      <c r="Y5" s="19" t="s">
        <v>10</v>
      </c>
      <c r="Z5" s="19"/>
      <c r="AA5" s="18"/>
      <c r="AB5" s="20"/>
      <c r="AC5" s="20" t="s">
        <v>5</v>
      </c>
      <c r="AD5" s="20" t="s">
        <v>6</v>
      </c>
      <c r="AE5" s="20" t="s">
        <v>7</v>
      </c>
      <c r="AF5" s="20"/>
      <c r="AG5" s="20"/>
      <c r="AH5" s="20" t="s">
        <v>9</v>
      </c>
      <c r="AI5" s="20" t="s">
        <v>23</v>
      </c>
      <c r="AJ5" s="20" t="s">
        <v>10</v>
      </c>
      <c r="AK5" s="20"/>
      <c r="AL5" s="18"/>
      <c r="AM5" s="21"/>
      <c r="AN5" s="21" t="s">
        <v>11</v>
      </c>
      <c r="AO5" s="21" t="s">
        <v>24</v>
      </c>
      <c r="AP5" s="21" t="s">
        <v>33</v>
      </c>
      <c r="AQ5" s="21" t="s">
        <v>34</v>
      </c>
      <c r="AR5" s="21"/>
      <c r="AS5" s="22"/>
      <c r="AT5" s="12"/>
      <c r="AU5" s="12" t="str">
        <f>CONCATENATE(AU4,Settings!$C$6)</f>
        <v>Front_HL</v>
      </c>
      <c r="AV5" s="12" t="str">
        <f>CONCATENATE(AV4,Settings!$C$6)</f>
        <v>Front_HR</v>
      </c>
      <c r="AW5" s="12" t="str">
        <f>CONCATENATE(AW4,Settings!$C$6)</f>
        <v>Front_L</v>
      </c>
      <c r="AX5" s="12" t="str">
        <f>CONCATENATE(AX4,Settings!$C$6)</f>
        <v>Rear_HL</v>
      </c>
      <c r="AY5" s="12" t="str">
        <f>CONCATENATE(AY4,Settings!$C$6)</f>
        <v>Rear_HR</v>
      </c>
      <c r="AZ5" s="12" t="str">
        <f>CONCATENATE(AZ4,Settings!$C$6)</f>
        <v>Rear_L</v>
      </c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</row>
    <row r="6" spans="1:80" ht="16.5">
      <c r="B6" s="12">
        <v>100</v>
      </c>
      <c r="C6" s="70">
        <v>-54.74</v>
      </c>
      <c r="D6" s="70">
        <v>-58.13</v>
      </c>
      <c r="E6" s="70">
        <v>-58.69</v>
      </c>
      <c r="F6" s="74">
        <v>-58.69</v>
      </c>
      <c r="G6" s="70">
        <v>-62.48</v>
      </c>
      <c r="H6" s="70">
        <v>-59.94</v>
      </c>
      <c r="J6" s="12">
        <v>100</v>
      </c>
      <c r="K6" s="81">
        <v>27.59</v>
      </c>
      <c r="L6">
        <v>27.99</v>
      </c>
      <c r="M6">
        <v>-15.99</v>
      </c>
      <c r="N6">
        <v>-16.84</v>
      </c>
      <c r="Q6" s="19">
        <v>100</v>
      </c>
      <c r="R6" s="8">
        <f>+$K6+20-C6</f>
        <v>102.33000000000001</v>
      </c>
      <c r="S6" s="8">
        <f>+$K6+20-D6</f>
        <v>105.72</v>
      </c>
      <c r="T6" s="8">
        <f>+$K6+20-E6</f>
        <v>106.28</v>
      </c>
      <c r="V6" s="19">
        <v>100</v>
      </c>
      <c r="W6" s="8">
        <f t="shared" ref="W6:W37" si="0">+AVERAGE(R6:T6)</f>
        <v>104.77666666666669</v>
      </c>
      <c r="X6" s="8">
        <f>+K6+20</f>
        <v>47.59</v>
      </c>
      <c r="Y6" s="8">
        <f t="shared" ref="Y6:Y37" si="1">+X6-$AN6</f>
        <v>57.59</v>
      </c>
      <c r="AB6" s="20">
        <v>100</v>
      </c>
      <c r="AC6" s="9">
        <f>+$L6+20-F6</f>
        <v>106.67999999999999</v>
      </c>
      <c r="AD6" s="9">
        <f>+$L6+20-G6</f>
        <v>110.47</v>
      </c>
      <c r="AE6" s="9">
        <f>+$L6+20-H6</f>
        <v>107.92999999999999</v>
      </c>
      <c r="AG6" s="20">
        <v>100</v>
      </c>
      <c r="AH6" s="9">
        <f t="shared" ref="AH6:AH37" si="2">+AVERAGE(AC6:AE6)</f>
        <v>108.36</v>
      </c>
      <c r="AI6" s="9">
        <f>+L6+20</f>
        <v>47.989999999999995</v>
      </c>
      <c r="AJ6" s="9">
        <f t="shared" ref="AJ6:AJ37" si="3">+AI6-$AN6</f>
        <v>57.989999999999995</v>
      </c>
      <c r="AM6" s="21">
        <v>100</v>
      </c>
      <c r="AN6" s="10">
        <v>-10</v>
      </c>
      <c r="AP6" s="10">
        <f t="shared" ref="AP6:AP37" si="4">+AVERAGE(AI6,X6)</f>
        <v>47.79</v>
      </c>
      <c r="AQ6" s="10">
        <f t="shared" ref="AQ6:AQ37" si="5">+AP6-AN6</f>
        <v>57.79</v>
      </c>
      <c r="AT6" s="12">
        <v>100</v>
      </c>
      <c r="AU6" s="78"/>
      <c r="AV6" s="66"/>
      <c r="AW6" s="66"/>
      <c r="AX6" s="66"/>
      <c r="AY6" s="66"/>
      <c r="AZ6" s="66"/>
    </row>
    <row r="7" spans="1:80" ht="16.5">
      <c r="B7" s="12">
        <v>106</v>
      </c>
      <c r="C7" s="70">
        <v>-61.16</v>
      </c>
      <c r="D7" s="70">
        <v>-60.04</v>
      </c>
      <c r="E7" s="70">
        <v>-57.99</v>
      </c>
      <c r="F7" s="74">
        <v>-62.11</v>
      </c>
      <c r="G7" s="70">
        <v>-73.400000000000006</v>
      </c>
      <c r="H7" s="70">
        <v>-62.42</v>
      </c>
      <c r="J7" s="12">
        <v>106</v>
      </c>
      <c r="K7" s="76">
        <v>28.01</v>
      </c>
      <c r="L7">
        <v>28.3</v>
      </c>
      <c r="M7">
        <v>-15.29</v>
      </c>
      <c r="N7">
        <v>-15.14</v>
      </c>
      <c r="Q7" s="19">
        <v>106</v>
      </c>
      <c r="R7" s="8">
        <f t="shared" ref="R7:R70" si="6">+$K7+20-C7</f>
        <v>109.17</v>
      </c>
      <c r="S7" s="8">
        <f t="shared" ref="S7:S70" si="7">+$K7+20-D7</f>
        <v>108.05000000000001</v>
      </c>
      <c r="T7" s="8">
        <f t="shared" ref="T7:T70" si="8">+$K7+20-E7</f>
        <v>106</v>
      </c>
      <c r="V7" s="19">
        <v>106</v>
      </c>
      <c r="W7" s="8">
        <f t="shared" si="0"/>
        <v>107.74000000000001</v>
      </c>
      <c r="X7" s="8">
        <f t="shared" ref="X7:X70" si="9">+K7+20</f>
        <v>48.010000000000005</v>
      </c>
      <c r="Y7" s="8">
        <f t="shared" si="1"/>
        <v>58.010000000000005</v>
      </c>
      <c r="AB7" s="20">
        <v>106</v>
      </c>
      <c r="AC7" s="9">
        <f t="shared" ref="AC7:AC70" si="10">+$L7+20-F7</f>
        <v>110.41</v>
      </c>
      <c r="AD7" s="9">
        <f t="shared" ref="AD7:AD70" si="11">+$L7+20-G7</f>
        <v>121.7</v>
      </c>
      <c r="AE7" s="9">
        <f t="shared" ref="AE7:AE70" si="12">+$L7+20-H7</f>
        <v>110.72</v>
      </c>
      <c r="AG7" s="20">
        <v>106</v>
      </c>
      <c r="AH7" s="9">
        <f t="shared" si="2"/>
        <v>114.27666666666669</v>
      </c>
      <c r="AI7" s="9">
        <f t="shared" ref="AI7:AI70" si="13">+L7+20</f>
        <v>48.3</v>
      </c>
      <c r="AJ7" s="9">
        <f t="shared" si="3"/>
        <v>58.3</v>
      </c>
      <c r="AM7" s="21">
        <v>106</v>
      </c>
      <c r="AN7" s="10">
        <v>-10</v>
      </c>
      <c r="AO7" s="10">
        <v>10</v>
      </c>
      <c r="AP7" s="10">
        <f t="shared" si="4"/>
        <v>48.155000000000001</v>
      </c>
      <c r="AQ7" s="10">
        <f t="shared" si="5"/>
        <v>58.155000000000001</v>
      </c>
      <c r="AT7" s="12">
        <v>106</v>
      </c>
      <c r="AU7" s="78"/>
      <c r="AV7" s="66"/>
      <c r="AW7" s="66"/>
      <c r="AX7" s="66"/>
      <c r="AY7" s="66"/>
      <c r="AZ7" s="66"/>
    </row>
    <row r="8" spans="1:80" ht="16.5">
      <c r="B8" s="12">
        <v>112</v>
      </c>
      <c r="C8" s="70">
        <v>-60.58</v>
      </c>
      <c r="D8" s="70">
        <v>-61.99</v>
      </c>
      <c r="E8" s="70">
        <v>-67.12</v>
      </c>
      <c r="F8" s="74">
        <v>-63.66</v>
      </c>
      <c r="G8" s="70">
        <v>-63.47</v>
      </c>
      <c r="H8" s="70">
        <v>-68.709999999999994</v>
      </c>
      <c r="J8" s="12">
        <v>112</v>
      </c>
      <c r="K8" s="76">
        <v>28.38</v>
      </c>
      <c r="L8">
        <v>28.77</v>
      </c>
      <c r="M8">
        <v>-14.56</v>
      </c>
      <c r="N8">
        <v>-14.13</v>
      </c>
      <c r="Q8" s="19">
        <v>112</v>
      </c>
      <c r="R8" s="8">
        <f t="shared" si="6"/>
        <v>108.96</v>
      </c>
      <c r="S8" s="8">
        <f t="shared" si="7"/>
        <v>110.37</v>
      </c>
      <c r="T8" s="8">
        <f t="shared" si="8"/>
        <v>115.5</v>
      </c>
      <c r="V8" s="19">
        <v>112</v>
      </c>
      <c r="W8" s="8">
        <f t="shared" si="0"/>
        <v>111.61</v>
      </c>
      <c r="X8" s="8">
        <f t="shared" si="9"/>
        <v>48.379999999999995</v>
      </c>
      <c r="Y8" s="8">
        <f t="shared" si="1"/>
        <v>58.379999999999995</v>
      </c>
      <c r="AB8" s="20">
        <v>112</v>
      </c>
      <c r="AC8" s="9">
        <f t="shared" si="10"/>
        <v>112.42999999999999</v>
      </c>
      <c r="AD8" s="9">
        <f t="shared" si="11"/>
        <v>112.24</v>
      </c>
      <c r="AE8" s="9">
        <f t="shared" si="12"/>
        <v>117.47999999999999</v>
      </c>
      <c r="AG8" s="20">
        <v>112</v>
      </c>
      <c r="AH8" s="9">
        <f t="shared" si="2"/>
        <v>114.05</v>
      </c>
      <c r="AI8" s="9">
        <f t="shared" si="13"/>
        <v>48.769999999999996</v>
      </c>
      <c r="AJ8" s="9">
        <f t="shared" si="3"/>
        <v>58.769999999999996</v>
      </c>
      <c r="AM8" s="21">
        <v>112</v>
      </c>
      <c r="AN8" s="10">
        <v>-10</v>
      </c>
      <c r="AP8" s="10">
        <f t="shared" si="4"/>
        <v>48.574999999999996</v>
      </c>
      <c r="AQ8" s="10">
        <f t="shared" si="5"/>
        <v>58.574999999999996</v>
      </c>
      <c r="AT8" s="12">
        <v>112</v>
      </c>
      <c r="AU8" s="78"/>
      <c r="AV8" s="66"/>
      <c r="AW8" s="66"/>
      <c r="AX8" s="66"/>
      <c r="AY8" s="66"/>
      <c r="AZ8" s="66"/>
    </row>
    <row r="9" spans="1:80" ht="16.5">
      <c r="B9" s="12">
        <v>118</v>
      </c>
      <c r="C9" s="70">
        <v>-63.21</v>
      </c>
      <c r="D9" s="70">
        <v>-67.73</v>
      </c>
      <c r="E9" s="70">
        <v>-69.44</v>
      </c>
      <c r="F9" s="74">
        <v>-62.18</v>
      </c>
      <c r="G9" s="70">
        <v>-58.56</v>
      </c>
      <c r="H9" s="70">
        <v>-58.29</v>
      </c>
      <c r="J9" s="12">
        <v>118</v>
      </c>
      <c r="K9" s="76">
        <v>28.83</v>
      </c>
      <c r="L9">
        <v>29.14</v>
      </c>
      <c r="M9">
        <v>-14.3</v>
      </c>
      <c r="N9">
        <v>-14.37</v>
      </c>
      <c r="Q9" s="19">
        <v>118</v>
      </c>
      <c r="R9" s="8">
        <f t="shared" si="6"/>
        <v>112.03999999999999</v>
      </c>
      <c r="S9" s="8">
        <f t="shared" si="7"/>
        <v>116.56</v>
      </c>
      <c r="T9" s="8">
        <f t="shared" si="8"/>
        <v>118.27</v>
      </c>
      <c r="V9" s="19">
        <v>118</v>
      </c>
      <c r="W9" s="8">
        <f t="shared" si="0"/>
        <v>115.62333333333333</v>
      </c>
      <c r="X9" s="8">
        <f t="shared" si="9"/>
        <v>48.83</v>
      </c>
      <c r="Y9" s="8">
        <f t="shared" si="1"/>
        <v>58.83</v>
      </c>
      <c r="AB9" s="20">
        <v>118</v>
      </c>
      <c r="AC9" s="9">
        <f t="shared" si="10"/>
        <v>111.32</v>
      </c>
      <c r="AD9" s="9">
        <f t="shared" si="11"/>
        <v>107.7</v>
      </c>
      <c r="AE9" s="9">
        <f t="shared" si="12"/>
        <v>107.43</v>
      </c>
      <c r="AG9" s="20">
        <v>118</v>
      </c>
      <c r="AH9" s="9">
        <f t="shared" si="2"/>
        <v>108.81666666666666</v>
      </c>
      <c r="AI9" s="9">
        <f t="shared" si="13"/>
        <v>49.14</v>
      </c>
      <c r="AJ9" s="9">
        <f t="shared" si="3"/>
        <v>59.14</v>
      </c>
      <c r="AM9" s="21">
        <v>118</v>
      </c>
      <c r="AN9" s="10">
        <v>-10</v>
      </c>
      <c r="AP9" s="10">
        <f t="shared" si="4"/>
        <v>48.984999999999999</v>
      </c>
      <c r="AQ9" s="10">
        <f t="shared" si="5"/>
        <v>58.984999999999999</v>
      </c>
      <c r="AT9" s="12">
        <v>118</v>
      </c>
      <c r="AU9" s="78"/>
      <c r="AV9" s="66"/>
      <c r="AW9" s="66"/>
      <c r="AX9" s="66"/>
      <c r="AY9" s="66"/>
      <c r="AZ9" s="66"/>
    </row>
    <row r="10" spans="1:80" ht="16.5">
      <c r="B10" s="12">
        <v>125</v>
      </c>
      <c r="C10" s="70">
        <v>-55.86</v>
      </c>
      <c r="D10" s="70">
        <v>-56.97</v>
      </c>
      <c r="E10" s="70">
        <v>-60.35</v>
      </c>
      <c r="F10" s="74">
        <v>-62.66</v>
      </c>
      <c r="G10" s="70">
        <v>-55.15</v>
      </c>
      <c r="H10" s="70">
        <v>-56.5</v>
      </c>
      <c r="J10" s="12">
        <v>125</v>
      </c>
      <c r="K10" s="76">
        <v>29.26</v>
      </c>
      <c r="L10">
        <v>29.55</v>
      </c>
      <c r="M10">
        <v>-14.13</v>
      </c>
      <c r="N10">
        <v>-13.79</v>
      </c>
      <c r="Q10" s="19">
        <v>125</v>
      </c>
      <c r="R10" s="8">
        <f t="shared" si="6"/>
        <v>105.12</v>
      </c>
      <c r="S10" s="8">
        <f t="shared" si="7"/>
        <v>106.23</v>
      </c>
      <c r="T10" s="8">
        <f t="shared" si="8"/>
        <v>109.61000000000001</v>
      </c>
      <c r="V10" s="19">
        <v>125</v>
      </c>
      <c r="W10" s="8">
        <f t="shared" si="0"/>
        <v>106.98666666666668</v>
      </c>
      <c r="X10" s="8">
        <f t="shared" si="9"/>
        <v>49.260000000000005</v>
      </c>
      <c r="Y10" s="8">
        <f t="shared" si="1"/>
        <v>59.260000000000005</v>
      </c>
      <c r="AB10" s="20">
        <v>125</v>
      </c>
      <c r="AC10" s="9">
        <f t="shared" si="10"/>
        <v>112.21</v>
      </c>
      <c r="AD10" s="9">
        <f t="shared" si="11"/>
        <v>104.69999999999999</v>
      </c>
      <c r="AE10" s="9">
        <f t="shared" si="12"/>
        <v>106.05</v>
      </c>
      <c r="AG10" s="20">
        <v>125</v>
      </c>
      <c r="AH10" s="9">
        <f t="shared" si="2"/>
        <v>107.65333333333332</v>
      </c>
      <c r="AI10" s="9">
        <f t="shared" si="13"/>
        <v>49.55</v>
      </c>
      <c r="AJ10" s="9">
        <f t="shared" si="3"/>
        <v>59.55</v>
      </c>
      <c r="AM10" s="21">
        <v>125</v>
      </c>
      <c r="AN10" s="10">
        <v>-10</v>
      </c>
      <c r="AO10" s="10">
        <v>10</v>
      </c>
      <c r="AP10" s="10">
        <f t="shared" si="4"/>
        <v>49.405000000000001</v>
      </c>
      <c r="AQ10" s="10">
        <f t="shared" si="5"/>
        <v>59.405000000000001</v>
      </c>
      <c r="AT10" s="12">
        <v>125</v>
      </c>
      <c r="AU10" s="78"/>
      <c r="AV10" s="66"/>
      <c r="AW10" s="66"/>
      <c r="AX10" s="66"/>
      <c r="AY10" s="66"/>
      <c r="AZ10" s="66"/>
    </row>
    <row r="11" spans="1:80" ht="16.5">
      <c r="B11" s="12">
        <v>132</v>
      </c>
      <c r="C11" s="70">
        <v>-55.54</v>
      </c>
      <c r="D11" s="70">
        <v>-57.18</v>
      </c>
      <c r="E11" s="70">
        <v>-61.22</v>
      </c>
      <c r="F11" s="74">
        <v>-59.14</v>
      </c>
      <c r="G11" s="70">
        <v>-56.65</v>
      </c>
      <c r="H11" s="70">
        <v>-57.48</v>
      </c>
      <c r="J11" s="12">
        <v>132</v>
      </c>
      <c r="K11" s="76">
        <v>29.61</v>
      </c>
      <c r="L11">
        <v>29.79</v>
      </c>
      <c r="M11">
        <v>-13.2</v>
      </c>
      <c r="N11">
        <v>-13.54</v>
      </c>
      <c r="Q11" s="19">
        <v>132</v>
      </c>
      <c r="R11" s="8">
        <f t="shared" si="6"/>
        <v>105.15</v>
      </c>
      <c r="S11" s="8">
        <f t="shared" si="7"/>
        <v>106.78999999999999</v>
      </c>
      <c r="T11" s="8">
        <f t="shared" si="8"/>
        <v>110.83</v>
      </c>
      <c r="V11" s="19">
        <v>132</v>
      </c>
      <c r="W11" s="8">
        <f t="shared" si="0"/>
        <v>107.58999999999999</v>
      </c>
      <c r="X11" s="8">
        <f t="shared" si="9"/>
        <v>49.61</v>
      </c>
      <c r="Y11" s="8">
        <f t="shared" si="1"/>
        <v>59.61</v>
      </c>
      <c r="AB11" s="20">
        <v>132</v>
      </c>
      <c r="AC11" s="9">
        <f t="shared" si="10"/>
        <v>108.93</v>
      </c>
      <c r="AD11" s="9">
        <f t="shared" si="11"/>
        <v>106.44</v>
      </c>
      <c r="AE11" s="9">
        <f t="shared" si="12"/>
        <v>107.27</v>
      </c>
      <c r="AG11" s="20">
        <v>132</v>
      </c>
      <c r="AH11" s="9">
        <f t="shared" si="2"/>
        <v>107.54666666666667</v>
      </c>
      <c r="AI11" s="9">
        <f t="shared" si="13"/>
        <v>49.79</v>
      </c>
      <c r="AJ11" s="9">
        <f t="shared" si="3"/>
        <v>59.79</v>
      </c>
      <c r="AM11" s="21">
        <v>132</v>
      </c>
      <c r="AN11" s="10">
        <v>-10</v>
      </c>
      <c r="AP11" s="10">
        <f t="shared" si="4"/>
        <v>49.7</v>
      </c>
      <c r="AQ11" s="10">
        <f t="shared" si="5"/>
        <v>59.7</v>
      </c>
      <c r="AT11" s="12">
        <v>132</v>
      </c>
      <c r="AU11" s="78"/>
      <c r="AV11" s="66"/>
      <c r="AW11" s="66"/>
      <c r="AX11" s="66"/>
      <c r="AY11" s="66"/>
      <c r="AZ11" s="66"/>
    </row>
    <row r="12" spans="1:80" ht="16.5">
      <c r="B12" s="12">
        <v>140</v>
      </c>
      <c r="C12" s="70">
        <v>-59.12</v>
      </c>
      <c r="D12" s="70">
        <v>-55.94</v>
      </c>
      <c r="E12" s="70">
        <v>-58.67</v>
      </c>
      <c r="F12" s="74">
        <v>-55.97</v>
      </c>
      <c r="G12" s="70">
        <v>-68.03</v>
      </c>
      <c r="H12" s="70">
        <v>-58.68</v>
      </c>
      <c r="J12" s="12">
        <v>140</v>
      </c>
      <c r="K12" s="76">
        <v>30.15</v>
      </c>
      <c r="L12">
        <v>30.39</v>
      </c>
      <c r="M12">
        <v>-13.37</v>
      </c>
      <c r="N12">
        <v>-13.27</v>
      </c>
      <c r="Q12" s="19">
        <v>140</v>
      </c>
      <c r="R12" s="8">
        <f t="shared" si="6"/>
        <v>109.27</v>
      </c>
      <c r="S12" s="8">
        <f t="shared" si="7"/>
        <v>106.09</v>
      </c>
      <c r="T12" s="8">
        <f t="shared" si="8"/>
        <v>108.82</v>
      </c>
      <c r="V12" s="19">
        <v>140</v>
      </c>
      <c r="W12" s="8">
        <f t="shared" si="0"/>
        <v>108.06</v>
      </c>
      <c r="X12" s="8">
        <f t="shared" si="9"/>
        <v>50.15</v>
      </c>
      <c r="Y12" s="8">
        <f t="shared" si="1"/>
        <v>60.15</v>
      </c>
      <c r="AB12" s="20">
        <v>140</v>
      </c>
      <c r="AC12" s="9">
        <f t="shared" si="10"/>
        <v>106.36</v>
      </c>
      <c r="AD12" s="9">
        <f t="shared" si="11"/>
        <v>118.42</v>
      </c>
      <c r="AE12" s="9">
        <f t="shared" si="12"/>
        <v>109.07</v>
      </c>
      <c r="AG12" s="20">
        <v>140</v>
      </c>
      <c r="AH12" s="9">
        <f t="shared" si="2"/>
        <v>111.28333333333335</v>
      </c>
      <c r="AI12" s="9">
        <f t="shared" si="13"/>
        <v>50.39</v>
      </c>
      <c r="AJ12" s="9">
        <f t="shared" si="3"/>
        <v>60.39</v>
      </c>
      <c r="AM12" s="21">
        <v>140</v>
      </c>
      <c r="AN12" s="10">
        <v>-10</v>
      </c>
      <c r="AP12" s="10">
        <f t="shared" si="4"/>
        <v>50.269999999999996</v>
      </c>
      <c r="AQ12" s="10">
        <f t="shared" si="5"/>
        <v>60.269999999999996</v>
      </c>
      <c r="AT12" s="12">
        <v>140</v>
      </c>
      <c r="AU12" s="78"/>
      <c r="AV12" s="66"/>
      <c r="AW12" s="66"/>
      <c r="AX12" s="66"/>
      <c r="AY12" s="66"/>
      <c r="AZ12" s="66"/>
    </row>
    <row r="13" spans="1:80" ht="16.5">
      <c r="B13" s="12">
        <v>150</v>
      </c>
      <c r="C13" s="70">
        <v>-52.06</v>
      </c>
      <c r="D13" s="70">
        <v>-53.38</v>
      </c>
      <c r="E13" s="70">
        <v>-56.03</v>
      </c>
      <c r="F13" s="74">
        <v>-65.290000000000006</v>
      </c>
      <c r="G13" s="70">
        <v>-66.02</v>
      </c>
      <c r="H13" s="70">
        <v>-57.22</v>
      </c>
      <c r="J13" s="12">
        <v>150</v>
      </c>
      <c r="K13" s="76">
        <v>30.74</v>
      </c>
      <c r="L13">
        <v>31.1</v>
      </c>
      <c r="M13">
        <v>-12.63</v>
      </c>
      <c r="N13">
        <v>-12.42</v>
      </c>
      <c r="Q13" s="19">
        <v>150</v>
      </c>
      <c r="R13" s="8">
        <f t="shared" si="6"/>
        <v>102.8</v>
      </c>
      <c r="S13" s="8">
        <f t="shared" si="7"/>
        <v>104.12</v>
      </c>
      <c r="T13" s="8">
        <f t="shared" si="8"/>
        <v>106.77</v>
      </c>
      <c r="V13" s="19">
        <v>150</v>
      </c>
      <c r="W13" s="8">
        <f t="shared" si="0"/>
        <v>104.56333333333333</v>
      </c>
      <c r="X13" s="8">
        <f t="shared" si="9"/>
        <v>50.739999999999995</v>
      </c>
      <c r="Y13" s="8">
        <f t="shared" si="1"/>
        <v>60.739999999999995</v>
      </c>
      <c r="AB13" s="20">
        <v>150</v>
      </c>
      <c r="AC13" s="9">
        <f t="shared" si="10"/>
        <v>116.39000000000001</v>
      </c>
      <c r="AD13" s="9">
        <f t="shared" si="11"/>
        <v>117.12</v>
      </c>
      <c r="AE13" s="9">
        <f t="shared" si="12"/>
        <v>108.32</v>
      </c>
      <c r="AG13" s="20">
        <v>150</v>
      </c>
      <c r="AH13" s="9">
        <f t="shared" si="2"/>
        <v>113.94333333333334</v>
      </c>
      <c r="AI13" s="9">
        <f t="shared" si="13"/>
        <v>51.1</v>
      </c>
      <c r="AJ13" s="9">
        <f t="shared" si="3"/>
        <v>61.1</v>
      </c>
      <c r="AM13" s="21">
        <v>150</v>
      </c>
      <c r="AN13" s="10">
        <v>-10</v>
      </c>
      <c r="AO13" s="10">
        <v>10</v>
      </c>
      <c r="AP13" s="10">
        <f t="shared" si="4"/>
        <v>50.92</v>
      </c>
      <c r="AQ13" s="10">
        <f t="shared" si="5"/>
        <v>60.92</v>
      </c>
      <c r="AT13" s="12">
        <v>150</v>
      </c>
      <c r="AU13" s="78"/>
      <c r="AV13" s="66"/>
      <c r="AW13" s="66"/>
      <c r="AX13" s="66"/>
      <c r="AY13" s="66"/>
      <c r="AZ13" s="66"/>
    </row>
    <row r="14" spans="1:80" ht="16.5">
      <c r="B14" s="12">
        <v>160</v>
      </c>
      <c r="C14" s="70">
        <v>-56.53</v>
      </c>
      <c r="D14" s="70">
        <v>-73.290000000000006</v>
      </c>
      <c r="E14" s="70">
        <v>-60.79</v>
      </c>
      <c r="F14" s="74">
        <v>-61.89</v>
      </c>
      <c r="G14" s="70">
        <v>-64.599999999999994</v>
      </c>
      <c r="H14" s="70">
        <v>-59.04</v>
      </c>
      <c r="J14" s="12">
        <v>160</v>
      </c>
      <c r="K14" s="76">
        <v>31.19</v>
      </c>
      <c r="L14">
        <v>31.27</v>
      </c>
      <c r="M14">
        <v>-12.26</v>
      </c>
      <c r="N14">
        <v>-12.04</v>
      </c>
      <c r="Q14" s="19">
        <v>160</v>
      </c>
      <c r="R14" s="8">
        <f t="shared" si="6"/>
        <v>107.72</v>
      </c>
      <c r="S14" s="8">
        <f t="shared" si="7"/>
        <v>124.48</v>
      </c>
      <c r="T14" s="8">
        <f t="shared" si="8"/>
        <v>111.97999999999999</v>
      </c>
      <c r="V14" s="19">
        <v>160</v>
      </c>
      <c r="W14" s="8">
        <f t="shared" si="0"/>
        <v>114.72666666666665</v>
      </c>
      <c r="X14" s="8">
        <f t="shared" si="9"/>
        <v>51.19</v>
      </c>
      <c r="Y14" s="8">
        <f t="shared" si="1"/>
        <v>61.19</v>
      </c>
      <c r="AB14" s="20">
        <v>160</v>
      </c>
      <c r="AC14" s="9">
        <f t="shared" si="10"/>
        <v>113.16</v>
      </c>
      <c r="AD14" s="9">
        <f t="shared" si="11"/>
        <v>115.86999999999999</v>
      </c>
      <c r="AE14" s="9">
        <f t="shared" si="12"/>
        <v>110.31</v>
      </c>
      <c r="AG14" s="20">
        <v>160</v>
      </c>
      <c r="AH14" s="9">
        <f t="shared" si="2"/>
        <v>113.11333333333333</v>
      </c>
      <c r="AI14" s="9">
        <f t="shared" si="13"/>
        <v>51.269999999999996</v>
      </c>
      <c r="AJ14" s="9">
        <f t="shared" si="3"/>
        <v>61.269999999999996</v>
      </c>
      <c r="AM14" s="21">
        <v>160</v>
      </c>
      <c r="AN14" s="10">
        <v>-10</v>
      </c>
      <c r="AP14" s="10">
        <f t="shared" si="4"/>
        <v>51.23</v>
      </c>
      <c r="AQ14" s="10">
        <f t="shared" si="5"/>
        <v>61.23</v>
      </c>
      <c r="AT14" s="12">
        <v>160</v>
      </c>
      <c r="AU14" s="78"/>
      <c r="AV14" s="66"/>
      <c r="AW14" s="66"/>
      <c r="AX14" s="66"/>
      <c r="AY14" s="66"/>
      <c r="AZ14" s="66"/>
    </row>
    <row r="15" spans="1:80" ht="16.5">
      <c r="B15" s="12">
        <v>170</v>
      </c>
      <c r="C15" s="70">
        <v>-64.66</v>
      </c>
      <c r="D15" s="70">
        <v>-68.66</v>
      </c>
      <c r="E15" s="70">
        <v>-55.47</v>
      </c>
      <c r="F15" s="74">
        <v>-53.55</v>
      </c>
      <c r="G15" s="70">
        <v>-58.75</v>
      </c>
      <c r="H15" s="70">
        <v>-58.96</v>
      </c>
      <c r="J15" s="12">
        <v>170</v>
      </c>
      <c r="K15" s="76">
        <v>31.72</v>
      </c>
      <c r="L15">
        <v>31.98</v>
      </c>
      <c r="M15">
        <v>-12.15</v>
      </c>
      <c r="N15">
        <v>-11.47</v>
      </c>
      <c r="Q15" s="19">
        <v>170</v>
      </c>
      <c r="R15" s="8">
        <f t="shared" si="6"/>
        <v>116.38</v>
      </c>
      <c r="S15" s="8">
        <f t="shared" si="7"/>
        <v>120.38</v>
      </c>
      <c r="T15" s="8">
        <f t="shared" si="8"/>
        <v>107.19</v>
      </c>
      <c r="V15" s="19">
        <v>170</v>
      </c>
      <c r="W15" s="8">
        <f t="shared" si="0"/>
        <v>114.64999999999999</v>
      </c>
      <c r="X15" s="8">
        <f t="shared" si="9"/>
        <v>51.72</v>
      </c>
      <c r="Y15" s="8">
        <f t="shared" si="1"/>
        <v>61.72</v>
      </c>
      <c r="AB15" s="20">
        <v>170</v>
      </c>
      <c r="AC15" s="9">
        <f t="shared" si="10"/>
        <v>105.53</v>
      </c>
      <c r="AD15" s="9">
        <f t="shared" si="11"/>
        <v>110.73</v>
      </c>
      <c r="AE15" s="9">
        <f t="shared" si="12"/>
        <v>110.94</v>
      </c>
      <c r="AG15" s="20">
        <v>170</v>
      </c>
      <c r="AH15" s="9">
        <f t="shared" si="2"/>
        <v>109.06666666666666</v>
      </c>
      <c r="AI15" s="9">
        <f t="shared" si="13"/>
        <v>51.980000000000004</v>
      </c>
      <c r="AJ15" s="9">
        <f t="shared" si="3"/>
        <v>61.980000000000004</v>
      </c>
      <c r="AM15" s="21">
        <v>170</v>
      </c>
      <c r="AN15" s="10">
        <v>-10</v>
      </c>
      <c r="AP15" s="10">
        <f t="shared" si="4"/>
        <v>51.85</v>
      </c>
      <c r="AQ15" s="10">
        <f t="shared" si="5"/>
        <v>61.85</v>
      </c>
      <c r="AT15" s="12">
        <v>170</v>
      </c>
      <c r="AU15" s="78"/>
      <c r="AV15" s="66"/>
      <c r="AW15" s="66"/>
      <c r="AX15" s="66"/>
      <c r="AY15" s="66"/>
      <c r="AZ15" s="66"/>
    </row>
    <row r="16" spans="1:80" ht="16.5">
      <c r="B16" s="12">
        <v>180</v>
      </c>
      <c r="C16" s="70">
        <v>-50.72</v>
      </c>
      <c r="D16" s="70">
        <v>-61.21</v>
      </c>
      <c r="E16" s="70">
        <v>-51.77</v>
      </c>
      <c r="F16" s="74">
        <v>-68.47</v>
      </c>
      <c r="G16" s="70">
        <v>-69.48</v>
      </c>
      <c r="H16" s="70">
        <v>-56.77</v>
      </c>
      <c r="J16" s="12">
        <v>180</v>
      </c>
      <c r="K16" s="76">
        <v>32.1</v>
      </c>
      <c r="L16">
        <v>32.35</v>
      </c>
      <c r="M16">
        <v>-11.83</v>
      </c>
      <c r="N16">
        <v>-11.11</v>
      </c>
      <c r="Q16" s="19">
        <v>180</v>
      </c>
      <c r="R16" s="8">
        <f t="shared" si="6"/>
        <v>102.82</v>
      </c>
      <c r="S16" s="8">
        <f t="shared" si="7"/>
        <v>113.31</v>
      </c>
      <c r="T16" s="8">
        <f t="shared" si="8"/>
        <v>103.87</v>
      </c>
      <c r="V16" s="19">
        <v>180</v>
      </c>
      <c r="W16" s="8">
        <f t="shared" si="0"/>
        <v>106.66666666666667</v>
      </c>
      <c r="X16" s="8">
        <f t="shared" si="9"/>
        <v>52.1</v>
      </c>
      <c r="Y16" s="8">
        <f t="shared" si="1"/>
        <v>62.1</v>
      </c>
      <c r="AB16" s="20">
        <v>180</v>
      </c>
      <c r="AC16" s="9">
        <f t="shared" si="10"/>
        <v>120.82</v>
      </c>
      <c r="AD16" s="9">
        <f t="shared" si="11"/>
        <v>121.83000000000001</v>
      </c>
      <c r="AE16" s="9">
        <f t="shared" si="12"/>
        <v>109.12</v>
      </c>
      <c r="AG16" s="20">
        <v>180</v>
      </c>
      <c r="AH16" s="9">
        <f t="shared" si="2"/>
        <v>117.25666666666666</v>
      </c>
      <c r="AI16" s="9">
        <f t="shared" si="13"/>
        <v>52.35</v>
      </c>
      <c r="AJ16" s="9">
        <f t="shared" si="3"/>
        <v>62.35</v>
      </c>
      <c r="AM16" s="21">
        <v>180</v>
      </c>
      <c r="AN16" s="10">
        <v>-10</v>
      </c>
      <c r="AO16" s="10">
        <v>10</v>
      </c>
      <c r="AP16" s="10">
        <f t="shared" si="4"/>
        <v>52.225000000000001</v>
      </c>
      <c r="AQ16" s="10">
        <f t="shared" si="5"/>
        <v>62.225000000000001</v>
      </c>
      <c r="AT16" s="12">
        <v>180</v>
      </c>
      <c r="AU16" s="78"/>
      <c r="AV16" s="66"/>
      <c r="AW16" s="66"/>
      <c r="AX16" s="66"/>
      <c r="AY16" s="66"/>
      <c r="AZ16" s="66"/>
    </row>
    <row r="17" spans="2:52" ht="16.5">
      <c r="B17" s="12">
        <v>190</v>
      </c>
      <c r="C17" s="70">
        <v>-50.22</v>
      </c>
      <c r="D17" s="70">
        <v>-54.28</v>
      </c>
      <c r="E17" s="70">
        <v>-59.56</v>
      </c>
      <c r="F17" s="74">
        <v>-55.04</v>
      </c>
      <c r="G17" s="70">
        <v>-66.27</v>
      </c>
      <c r="H17" s="70">
        <v>-61.76</v>
      </c>
      <c r="J17" s="12">
        <v>190</v>
      </c>
      <c r="K17" s="76">
        <v>32.46</v>
      </c>
      <c r="L17">
        <v>32.6</v>
      </c>
      <c r="M17">
        <v>-11.25</v>
      </c>
      <c r="N17">
        <v>-10.78</v>
      </c>
      <c r="Q17" s="19">
        <v>190</v>
      </c>
      <c r="R17" s="8">
        <f t="shared" si="6"/>
        <v>102.68</v>
      </c>
      <c r="S17" s="8">
        <f t="shared" si="7"/>
        <v>106.74000000000001</v>
      </c>
      <c r="T17" s="8">
        <f t="shared" si="8"/>
        <v>112.02000000000001</v>
      </c>
      <c r="V17" s="19">
        <v>190</v>
      </c>
      <c r="W17" s="8">
        <f t="shared" si="0"/>
        <v>107.14666666666669</v>
      </c>
      <c r="X17" s="8">
        <f t="shared" si="9"/>
        <v>52.46</v>
      </c>
      <c r="Y17" s="8">
        <f t="shared" si="1"/>
        <v>62.46</v>
      </c>
      <c r="AB17" s="20">
        <v>190</v>
      </c>
      <c r="AC17" s="9">
        <f t="shared" si="10"/>
        <v>107.64</v>
      </c>
      <c r="AD17" s="9">
        <f t="shared" si="11"/>
        <v>118.87</v>
      </c>
      <c r="AE17" s="9">
        <f t="shared" si="12"/>
        <v>114.36</v>
      </c>
      <c r="AG17" s="20">
        <v>190</v>
      </c>
      <c r="AH17" s="9">
        <f t="shared" si="2"/>
        <v>113.62333333333333</v>
      </c>
      <c r="AI17" s="9">
        <f t="shared" si="13"/>
        <v>52.6</v>
      </c>
      <c r="AJ17" s="9">
        <f t="shared" si="3"/>
        <v>62.6</v>
      </c>
      <c r="AM17" s="21">
        <v>190</v>
      </c>
      <c r="AN17" s="10">
        <v>-10</v>
      </c>
      <c r="AP17" s="10">
        <f t="shared" si="4"/>
        <v>52.53</v>
      </c>
      <c r="AQ17" s="10">
        <f t="shared" si="5"/>
        <v>62.53</v>
      </c>
      <c r="AT17" s="12">
        <v>190</v>
      </c>
      <c r="AU17" s="78"/>
      <c r="AV17" s="66"/>
      <c r="AW17" s="66"/>
      <c r="AX17" s="66"/>
      <c r="AY17" s="66"/>
      <c r="AZ17" s="66"/>
    </row>
    <row r="18" spans="2:52" ht="16.5">
      <c r="B18" s="12">
        <v>200</v>
      </c>
      <c r="C18" s="70">
        <v>-63.98</v>
      </c>
      <c r="D18" s="70">
        <v>-53.6</v>
      </c>
      <c r="E18" s="70">
        <v>-56.89</v>
      </c>
      <c r="F18" s="74">
        <v>-62.87</v>
      </c>
      <c r="G18" s="70">
        <v>-70.099999999999994</v>
      </c>
      <c r="H18" s="70">
        <v>-53.75</v>
      </c>
      <c r="J18" s="12">
        <v>200</v>
      </c>
      <c r="K18" s="76">
        <v>32.799999999999997</v>
      </c>
      <c r="L18">
        <v>32.979999999999997</v>
      </c>
      <c r="M18">
        <v>-10.34</v>
      </c>
      <c r="N18">
        <v>-9.9</v>
      </c>
      <c r="Q18" s="19">
        <v>200</v>
      </c>
      <c r="R18" s="8">
        <f t="shared" si="6"/>
        <v>116.78</v>
      </c>
      <c r="S18" s="8">
        <f t="shared" si="7"/>
        <v>106.4</v>
      </c>
      <c r="T18" s="8">
        <f t="shared" si="8"/>
        <v>109.69</v>
      </c>
      <c r="V18" s="19">
        <v>200</v>
      </c>
      <c r="W18" s="8">
        <f t="shared" si="0"/>
        <v>110.95666666666666</v>
      </c>
      <c r="X18" s="8">
        <f t="shared" si="9"/>
        <v>52.8</v>
      </c>
      <c r="Y18" s="8">
        <f t="shared" si="1"/>
        <v>62.8</v>
      </c>
      <c r="AB18" s="20">
        <v>200</v>
      </c>
      <c r="AC18" s="9">
        <f t="shared" si="10"/>
        <v>115.85</v>
      </c>
      <c r="AD18" s="9">
        <f t="shared" si="11"/>
        <v>123.07999999999998</v>
      </c>
      <c r="AE18" s="9">
        <f t="shared" si="12"/>
        <v>106.72999999999999</v>
      </c>
      <c r="AG18" s="20">
        <v>200</v>
      </c>
      <c r="AH18" s="9">
        <f t="shared" si="2"/>
        <v>115.21999999999998</v>
      </c>
      <c r="AI18" s="9">
        <f t="shared" si="13"/>
        <v>52.98</v>
      </c>
      <c r="AJ18" s="9">
        <f t="shared" si="3"/>
        <v>62.98</v>
      </c>
      <c r="AM18" s="21">
        <v>200</v>
      </c>
      <c r="AN18" s="10">
        <v>-10</v>
      </c>
      <c r="AP18" s="10">
        <f t="shared" si="4"/>
        <v>52.89</v>
      </c>
      <c r="AQ18" s="10">
        <f t="shared" si="5"/>
        <v>62.89</v>
      </c>
      <c r="AT18" s="12">
        <v>200</v>
      </c>
      <c r="AU18" s="78"/>
      <c r="AV18" s="66"/>
      <c r="AW18" s="66"/>
      <c r="AX18" s="66"/>
      <c r="AY18" s="66"/>
      <c r="AZ18" s="66"/>
    </row>
    <row r="19" spans="2:52" ht="16.5">
      <c r="B19" s="12">
        <v>212</v>
      </c>
      <c r="C19" s="70">
        <v>-54.42</v>
      </c>
      <c r="D19" s="70">
        <v>-58.96</v>
      </c>
      <c r="E19" s="70">
        <v>-51.29</v>
      </c>
      <c r="F19" s="74">
        <v>-67.290000000000006</v>
      </c>
      <c r="G19" s="70">
        <v>-69.13</v>
      </c>
      <c r="H19" s="70">
        <v>-57.33</v>
      </c>
      <c r="J19" s="12">
        <v>212</v>
      </c>
      <c r="K19" s="76">
        <v>33.1</v>
      </c>
      <c r="L19">
        <v>33.299999999999997</v>
      </c>
      <c r="M19">
        <v>-9.16</v>
      </c>
      <c r="N19">
        <v>-9.39</v>
      </c>
      <c r="Q19" s="19">
        <v>212</v>
      </c>
      <c r="R19" s="8">
        <f t="shared" si="6"/>
        <v>107.52000000000001</v>
      </c>
      <c r="S19" s="8">
        <f t="shared" si="7"/>
        <v>112.06</v>
      </c>
      <c r="T19" s="8">
        <f t="shared" si="8"/>
        <v>104.39</v>
      </c>
      <c r="V19" s="19">
        <v>212</v>
      </c>
      <c r="W19" s="8">
        <f t="shared" si="0"/>
        <v>107.99000000000001</v>
      </c>
      <c r="X19" s="8">
        <f t="shared" si="9"/>
        <v>53.1</v>
      </c>
      <c r="Y19" s="8">
        <f t="shared" si="1"/>
        <v>63.1</v>
      </c>
      <c r="AB19" s="20">
        <v>212</v>
      </c>
      <c r="AC19" s="9">
        <f t="shared" si="10"/>
        <v>120.59</v>
      </c>
      <c r="AD19" s="9">
        <f t="shared" si="11"/>
        <v>122.42999999999999</v>
      </c>
      <c r="AE19" s="9">
        <f t="shared" si="12"/>
        <v>110.63</v>
      </c>
      <c r="AG19" s="20">
        <v>212</v>
      </c>
      <c r="AH19" s="9">
        <f t="shared" si="2"/>
        <v>117.88333333333333</v>
      </c>
      <c r="AI19" s="9">
        <f t="shared" si="13"/>
        <v>53.3</v>
      </c>
      <c r="AJ19" s="9">
        <f t="shared" si="3"/>
        <v>63.3</v>
      </c>
      <c r="AM19" s="21">
        <v>212</v>
      </c>
      <c r="AN19" s="10">
        <v>-10</v>
      </c>
      <c r="AO19" s="10">
        <v>10</v>
      </c>
      <c r="AP19" s="10">
        <f t="shared" si="4"/>
        <v>53.2</v>
      </c>
      <c r="AQ19" s="10">
        <f t="shared" si="5"/>
        <v>63.2</v>
      </c>
      <c r="AT19" s="12">
        <v>212</v>
      </c>
      <c r="AU19" s="78"/>
      <c r="AV19" s="66"/>
      <c r="AW19" s="66"/>
      <c r="AX19" s="66"/>
      <c r="AY19" s="66"/>
      <c r="AZ19" s="66"/>
    </row>
    <row r="20" spans="2:52" ht="16.5">
      <c r="B20" s="12">
        <v>224</v>
      </c>
      <c r="C20" s="70">
        <v>-52.77</v>
      </c>
      <c r="D20" s="70">
        <v>-64.92</v>
      </c>
      <c r="E20" s="70">
        <v>-61.91</v>
      </c>
      <c r="F20" s="74">
        <v>-66.13</v>
      </c>
      <c r="G20" s="70">
        <v>-55.83</v>
      </c>
      <c r="H20" s="70">
        <v>-53.99</v>
      </c>
      <c r="J20" s="12">
        <v>224</v>
      </c>
      <c r="K20" s="76">
        <v>33.380000000000003</v>
      </c>
      <c r="L20">
        <v>33.6</v>
      </c>
      <c r="M20">
        <v>-9.17</v>
      </c>
      <c r="N20">
        <v>-9.06</v>
      </c>
      <c r="Q20" s="19">
        <v>224</v>
      </c>
      <c r="R20" s="8">
        <f t="shared" si="6"/>
        <v>106.15</v>
      </c>
      <c r="S20" s="8">
        <f t="shared" si="7"/>
        <v>118.30000000000001</v>
      </c>
      <c r="T20" s="8">
        <f t="shared" si="8"/>
        <v>115.28999999999999</v>
      </c>
      <c r="V20" s="19">
        <v>224</v>
      </c>
      <c r="W20" s="8">
        <f t="shared" si="0"/>
        <v>113.24666666666667</v>
      </c>
      <c r="X20" s="8">
        <f t="shared" si="9"/>
        <v>53.38</v>
      </c>
      <c r="Y20" s="8">
        <f t="shared" si="1"/>
        <v>63.38</v>
      </c>
      <c r="AB20" s="20">
        <v>224</v>
      </c>
      <c r="AC20" s="9">
        <f t="shared" si="10"/>
        <v>119.72999999999999</v>
      </c>
      <c r="AD20" s="9">
        <f t="shared" si="11"/>
        <v>109.43</v>
      </c>
      <c r="AE20" s="9">
        <f t="shared" si="12"/>
        <v>107.59</v>
      </c>
      <c r="AG20" s="20">
        <v>224</v>
      </c>
      <c r="AH20" s="9">
        <f t="shared" si="2"/>
        <v>112.25</v>
      </c>
      <c r="AI20" s="9">
        <f t="shared" si="13"/>
        <v>53.6</v>
      </c>
      <c r="AJ20" s="9">
        <f t="shared" si="3"/>
        <v>63.6</v>
      </c>
      <c r="AM20" s="21">
        <v>224</v>
      </c>
      <c r="AN20" s="10">
        <v>-10</v>
      </c>
      <c r="AP20" s="10">
        <f t="shared" si="4"/>
        <v>53.49</v>
      </c>
      <c r="AQ20" s="10">
        <f t="shared" si="5"/>
        <v>63.49</v>
      </c>
      <c r="AT20" s="12">
        <v>224</v>
      </c>
      <c r="AU20" s="78"/>
      <c r="AV20" s="66"/>
      <c r="AW20" s="66"/>
      <c r="AX20" s="66"/>
      <c r="AY20" s="66"/>
      <c r="AZ20" s="66"/>
    </row>
    <row r="21" spans="2:52" ht="16.5">
      <c r="B21" s="12">
        <v>236</v>
      </c>
      <c r="C21" s="70">
        <v>-58.55</v>
      </c>
      <c r="D21" s="70">
        <v>-53.57</v>
      </c>
      <c r="E21" s="70">
        <v>-51.27</v>
      </c>
      <c r="F21" s="74">
        <v>-54.77</v>
      </c>
      <c r="G21" s="70">
        <v>-61.88</v>
      </c>
      <c r="H21" s="70">
        <v>-66.36</v>
      </c>
      <c r="J21" s="12">
        <v>236</v>
      </c>
      <c r="K21" s="76">
        <v>33.76</v>
      </c>
      <c r="L21">
        <v>33.79</v>
      </c>
      <c r="M21">
        <v>-8.44</v>
      </c>
      <c r="N21">
        <v>-8.3000000000000007</v>
      </c>
      <c r="Q21" s="19">
        <v>236</v>
      </c>
      <c r="R21" s="8">
        <f t="shared" si="6"/>
        <v>112.31</v>
      </c>
      <c r="S21" s="8">
        <f t="shared" si="7"/>
        <v>107.33</v>
      </c>
      <c r="T21" s="8">
        <f t="shared" si="8"/>
        <v>105.03</v>
      </c>
      <c r="V21" s="19">
        <v>236</v>
      </c>
      <c r="W21" s="8">
        <f t="shared" si="0"/>
        <v>108.22333333333331</v>
      </c>
      <c r="X21" s="8">
        <f t="shared" si="9"/>
        <v>53.76</v>
      </c>
      <c r="Y21" s="8">
        <f t="shared" si="1"/>
        <v>63.76</v>
      </c>
      <c r="AB21" s="20">
        <v>236</v>
      </c>
      <c r="AC21" s="9">
        <f t="shared" si="10"/>
        <v>108.56</v>
      </c>
      <c r="AD21" s="9">
        <f t="shared" si="11"/>
        <v>115.67</v>
      </c>
      <c r="AE21" s="9">
        <f t="shared" si="12"/>
        <v>120.15</v>
      </c>
      <c r="AG21" s="20">
        <v>236</v>
      </c>
      <c r="AH21" s="9">
        <f t="shared" si="2"/>
        <v>114.79333333333334</v>
      </c>
      <c r="AI21" s="9">
        <f t="shared" si="13"/>
        <v>53.79</v>
      </c>
      <c r="AJ21" s="9">
        <f t="shared" si="3"/>
        <v>63.79</v>
      </c>
      <c r="AM21" s="21">
        <v>236</v>
      </c>
      <c r="AN21" s="10">
        <v>-10</v>
      </c>
      <c r="AP21" s="10">
        <f t="shared" si="4"/>
        <v>53.774999999999999</v>
      </c>
      <c r="AQ21" s="10">
        <f t="shared" si="5"/>
        <v>63.774999999999999</v>
      </c>
      <c r="AT21" s="12">
        <v>236</v>
      </c>
      <c r="AU21" s="78"/>
      <c r="AV21" s="66"/>
      <c r="AW21" s="66"/>
      <c r="AX21" s="66"/>
      <c r="AY21" s="66"/>
      <c r="AZ21" s="66"/>
    </row>
    <row r="22" spans="2:52" ht="16.5">
      <c r="B22" s="12">
        <v>250</v>
      </c>
      <c r="C22" s="70">
        <v>-50.86</v>
      </c>
      <c r="D22" s="70">
        <v>-50.55</v>
      </c>
      <c r="E22" s="70">
        <v>-48.44</v>
      </c>
      <c r="F22" s="74">
        <v>-61.75</v>
      </c>
      <c r="G22" s="70">
        <v>-62.48</v>
      </c>
      <c r="H22" s="70">
        <v>-55.42</v>
      </c>
      <c r="J22" s="12">
        <v>250</v>
      </c>
      <c r="K22" s="76">
        <v>34.07</v>
      </c>
      <c r="L22">
        <v>34.159999999999997</v>
      </c>
      <c r="M22">
        <v>-7.93</v>
      </c>
      <c r="N22">
        <v>-8.31</v>
      </c>
      <c r="Q22" s="19">
        <v>250</v>
      </c>
      <c r="R22" s="8">
        <f t="shared" si="6"/>
        <v>104.93</v>
      </c>
      <c r="S22" s="8">
        <f t="shared" si="7"/>
        <v>104.62</v>
      </c>
      <c r="T22" s="8">
        <f t="shared" si="8"/>
        <v>102.50999999999999</v>
      </c>
      <c r="V22" s="19">
        <v>250</v>
      </c>
      <c r="W22" s="8">
        <f t="shared" si="0"/>
        <v>104.02</v>
      </c>
      <c r="X22" s="8">
        <f t="shared" si="9"/>
        <v>54.07</v>
      </c>
      <c r="Y22" s="8">
        <f t="shared" si="1"/>
        <v>64.069999999999993</v>
      </c>
      <c r="AB22" s="20">
        <v>250</v>
      </c>
      <c r="AC22" s="9">
        <f t="shared" si="10"/>
        <v>115.91</v>
      </c>
      <c r="AD22" s="9">
        <f t="shared" si="11"/>
        <v>116.63999999999999</v>
      </c>
      <c r="AE22" s="9">
        <f t="shared" si="12"/>
        <v>109.58</v>
      </c>
      <c r="AG22" s="20">
        <v>250</v>
      </c>
      <c r="AH22" s="9">
        <f t="shared" si="2"/>
        <v>114.04333333333334</v>
      </c>
      <c r="AI22" s="9">
        <f t="shared" si="13"/>
        <v>54.16</v>
      </c>
      <c r="AJ22" s="9">
        <f t="shared" si="3"/>
        <v>64.16</v>
      </c>
      <c r="AM22" s="21">
        <v>250</v>
      </c>
      <c r="AN22" s="10">
        <v>-10</v>
      </c>
      <c r="AO22" s="10">
        <v>10</v>
      </c>
      <c r="AP22" s="10">
        <f t="shared" si="4"/>
        <v>54.114999999999995</v>
      </c>
      <c r="AQ22" s="10">
        <f t="shared" si="5"/>
        <v>64.114999999999995</v>
      </c>
      <c r="AT22" s="12">
        <v>250</v>
      </c>
      <c r="AU22" s="78"/>
      <c r="AV22" s="66"/>
      <c r="AW22" s="66"/>
      <c r="AX22" s="66"/>
      <c r="AY22" s="66"/>
      <c r="AZ22" s="66"/>
    </row>
    <row r="23" spans="2:52" ht="16.5">
      <c r="B23" s="12">
        <v>265</v>
      </c>
      <c r="C23" s="70">
        <v>-55.92</v>
      </c>
      <c r="D23" s="70">
        <v>-51.2</v>
      </c>
      <c r="E23" s="70">
        <v>-57.68</v>
      </c>
      <c r="F23" s="74">
        <v>-64.45</v>
      </c>
      <c r="G23" s="70">
        <v>-58.75</v>
      </c>
      <c r="H23" s="70">
        <v>-56.01</v>
      </c>
      <c r="J23" s="12">
        <v>265</v>
      </c>
      <c r="K23" s="76">
        <v>34.549999999999997</v>
      </c>
      <c r="L23">
        <v>34.5</v>
      </c>
      <c r="M23">
        <v>-7.38</v>
      </c>
      <c r="N23">
        <v>-7.69</v>
      </c>
      <c r="Q23" s="19">
        <v>265</v>
      </c>
      <c r="R23" s="8">
        <f t="shared" si="6"/>
        <v>110.47</v>
      </c>
      <c r="S23" s="8">
        <f t="shared" si="7"/>
        <v>105.75</v>
      </c>
      <c r="T23" s="8">
        <f t="shared" si="8"/>
        <v>112.22999999999999</v>
      </c>
      <c r="V23" s="19">
        <v>265</v>
      </c>
      <c r="W23" s="8">
        <f t="shared" si="0"/>
        <v>109.48333333333333</v>
      </c>
      <c r="X23" s="8">
        <f t="shared" si="9"/>
        <v>54.55</v>
      </c>
      <c r="Y23" s="8">
        <f t="shared" si="1"/>
        <v>64.55</v>
      </c>
      <c r="AB23" s="20">
        <v>265</v>
      </c>
      <c r="AC23" s="9">
        <f t="shared" si="10"/>
        <v>118.95</v>
      </c>
      <c r="AD23" s="9">
        <f t="shared" si="11"/>
        <v>113.25</v>
      </c>
      <c r="AE23" s="9">
        <f t="shared" si="12"/>
        <v>110.50999999999999</v>
      </c>
      <c r="AG23" s="20">
        <v>265</v>
      </c>
      <c r="AH23" s="9">
        <f t="shared" si="2"/>
        <v>114.23666666666666</v>
      </c>
      <c r="AI23" s="9">
        <f t="shared" si="13"/>
        <v>54.5</v>
      </c>
      <c r="AJ23" s="9">
        <f t="shared" si="3"/>
        <v>64.5</v>
      </c>
      <c r="AM23" s="21">
        <v>265</v>
      </c>
      <c r="AN23" s="10">
        <v>-10</v>
      </c>
      <c r="AP23" s="10">
        <f t="shared" si="4"/>
        <v>54.524999999999999</v>
      </c>
      <c r="AQ23" s="10">
        <f t="shared" si="5"/>
        <v>64.525000000000006</v>
      </c>
      <c r="AT23" s="12">
        <v>265</v>
      </c>
      <c r="AU23" s="78"/>
      <c r="AV23" s="66"/>
      <c r="AW23" s="66"/>
      <c r="AX23" s="66"/>
      <c r="AY23" s="66"/>
      <c r="AZ23" s="66"/>
    </row>
    <row r="24" spans="2:52" ht="16.5">
      <c r="B24" s="12">
        <v>280</v>
      </c>
      <c r="C24" s="70">
        <v>-52.25</v>
      </c>
      <c r="D24" s="70">
        <v>-47.95</v>
      </c>
      <c r="E24" s="70">
        <v>-50</v>
      </c>
      <c r="F24" s="74">
        <v>-47.77</v>
      </c>
      <c r="G24" s="70">
        <v>-55.27</v>
      </c>
      <c r="H24" s="70">
        <v>-59.86</v>
      </c>
      <c r="J24" s="12">
        <v>280</v>
      </c>
      <c r="K24" s="76">
        <v>34.94</v>
      </c>
      <c r="L24">
        <v>34.909999999999997</v>
      </c>
      <c r="M24">
        <v>-7.14</v>
      </c>
      <c r="N24">
        <v>-7.33</v>
      </c>
      <c r="Q24" s="19">
        <v>280</v>
      </c>
      <c r="R24" s="8">
        <f t="shared" si="6"/>
        <v>107.19</v>
      </c>
      <c r="S24" s="8">
        <f t="shared" si="7"/>
        <v>102.89</v>
      </c>
      <c r="T24" s="8">
        <f t="shared" si="8"/>
        <v>104.94</v>
      </c>
      <c r="V24" s="19">
        <v>280</v>
      </c>
      <c r="W24" s="8">
        <f t="shared" si="0"/>
        <v>105.00666666666666</v>
      </c>
      <c r="X24" s="8">
        <f t="shared" si="9"/>
        <v>54.94</v>
      </c>
      <c r="Y24" s="8">
        <f t="shared" si="1"/>
        <v>64.94</v>
      </c>
      <c r="AB24" s="20">
        <v>280</v>
      </c>
      <c r="AC24" s="9">
        <f t="shared" si="10"/>
        <v>102.68</v>
      </c>
      <c r="AD24" s="9">
        <f t="shared" si="11"/>
        <v>110.18</v>
      </c>
      <c r="AE24" s="9">
        <f t="shared" si="12"/>
        <v>114.77</v>
      </c>
      <c r="AG24" s="20">
        <v>280</v>
      </c>
      <c r="AH24" s="9">
        <f t="shared" si="2"/>
        <v>109.21</v>
      </c>
      <c r="AI24" s="9">
        <f t="shared" si="13"/>
        <v>54.91</v>
      </c>
      <c r="AJ24" s="9">
        <f t="shared" si="3"/>
        <v>64.91</v>
      </c>
      <c r="AM24" s="21">
        <v>280</v>
      </c>
      <c r="AN24" s="10">
        <v>-10</v>
      </c>
      <c r="AP24" s="10">
        <f t="shared" si="4"/>
        <v>54.924999999999997</v>
      </c>
      <c r="AQ24" s="10">
        <f t="shared" si="5"/>
        <v>64.924999999999997</v>
      </c>
      <c r="AT24" s="12">
        <v>280</v>
      </c>
      <c r="AU24" s="78"/>
      <c r="AV24" s="66"/>
      <c r="AW24" s="66"/>
      <c r="AX24" s="66"/>
      <c r="AY24" s="66"/>
      <c r="AZ24" s="66"/>
    </row>
    <row r="25" spans="2:52" ht="16.5">
      <c r="B25" s="12">
        <v>300</v>
      </c>
      <c r="C25" s="70">
        <v>-53.26</v>
      </c>
      <c r="D25" s="70">
        <v>-49.5</v>
      </c>
      <c r="E25" s="70">
        <v>-50.61</v>
      </c>
      <c r="F25" s="74">
        <v>-65.37</v>
      </c>
      <c r="G25" s="70">
        <v>-51.05</v>
      </c>
      <c r="H25" s="70">
        <v>-63.37</v>
      </c>
      <c r="J25" s="12">
        <v>300</v>
      </c>
      <c r="K25" s="76">
        <v>35.46</v>
      </c>
      <c r="L25">
        <v>35.32</v>
      </c>
      <c r="M25">
        <v>-6.49</v>
      </c>
      <c r="N25">
        <v>-6.91</v>
      </c>
      <c r="Q25" s="19">
        <v>300</v>
      </c>
      <c r="R25" s="8">
        <f t="shared" si="6"/>
        <v>108.72</v>
      </c>
      <c r="S25" s="8">
        <f t="shared" si="7"/>
        <v>104.96000000000001</v>
      </c>
      <c r="T25" s="8">
        <f t="shared" si="8"/>
        <v>106.07</v>
      </c>
      <c r="V25" s="19">
        <v>300</v>
      </c>
      <c r="W25" s="8">
        <f t="shared" si="0"/>
        <v>106.58333333333333</v>
      </c>
      <c r="X25" s="8">
        <f t="shared" si="9"/>
        <v>55.46</v>
      </c>
      <c r="Y25" s="8">
        <f t="shared" si="1"/>
        <v>65.460000000000008</v>
      </c>
      <c r="AB25" s="20">
        <v>300</v>
      </c>
      <c r="AC25" s="9">
        <f t="shared" si="10"/>
        <v>120.69</v>
      </c>
      <c r="AD25" s="9">
        <f t="shared" si="11"/>
        <v>106.37</v>
      </c>
      <c r="AE25" s="9">
        <f t="shared" si="12"/>
        <v>118.69</v>
      </c>
      <c r="AG25" s="20">
        <v>300</v>
      </c>
      <c r="AH25" s="9">
        <f t="shared" si="2"/>
        <v>115.25</v>
      </c>
      <c r="AI25" s="9">
        <f t="shared" si="13"/>
        <v>55.32</v>
      </c>
      <c r="AJ25" s="9">
        <f t="shared" si="3"/>
        <v>65.319999999999993</v>
      </c>
      <c r="AM25" s="21">
        <v>300</v>
      </c>
      <c r="AN25" s="10">
        <v>-10</v>
      </c>
      <c r="AO25" s="10">
        <v>10</v>
      </c>
      <c r="AP25" s="10">
        <f t="shared" si="4"/>
        <v>55.39</v>
      </c>
      <c r="AQ25" s="10">
        <f t="shared" si="5"/>
        <v>65.39</v>
      </c>
      <c r="AT25" s="12">
        <v>300</v>
      </c>
      <c r="AU25" s="78"/>
      <c r="AV25" s="66"/>
      <c r="AW25" s="66"/>
      <c r="AX25" s="66"/>
      <c r="AY25" s="66"/>
      <c r="AZ25" s="66"/>
    </row>
    <row r="26" spans="2:52" ht="16.5">
      <c r="B26" s="12">
        <v>315</v>
      </c>
      <c r="C26" s="70">
        <v>-45.61</v>
      </c>
      <c r="D26" s="70">
        <v>-46.95</v>
      </c>
      <c r="E26" s="70">
        <v>-39.409999999999997</v>
      </c>
      <c r="F26" s="74">
        <v>-51.69</v>
      </c>
      <c r="G26" s="70">
        <v>-49.62</v>
      </c>
      <c r="H26" s="70">
        <v>-49.47</v>
      </c>
      <c r="J26" s="12">
        <v>315</v>
      </c>
      <c r="K26" s="76">
        <v>35.89</v>
      </c>
      <c r="L26">
        <v>35.82</v>
      </c>
      <c r="M26">
        <v>-6.35</v>
      </c>
      <c r="N26">
        <v>-6.45</v>
      </c>
      <c r="Q26" s="19">
        <v>315</v>
      </c>
      <c r="R26" s="8">
        <f t="shared" si="6"/>
        <v>101.5</v>
      </c>
      <c r="S26" s="8">
        <f t="shared" si="7"/>
        <v>102.84</v>
      </c>
      <c r="T26" s="8">
        <f t="shared" si="8"/>
        <v>95.3</v>
      </c>
      <c r="V26" s="19">
        <v>315</v>
      </c>
      <c r="W26" s="8">
        <f t="shared" si="0"/>
        <v>99.88</v>
      </c>
      <c r="X26" s="8">
        <f t="shared" si="9"/>
        <v>55.89</v>
      </c>
      <c r="Y26" s="8">
        <f t="shared" si="1"/>
        <v>65.89</v>
      </c>
      <c r="AB26" s="20">
        <v>315</v>
      </c>
      <c r="AC26" s="9">
        <f t="shared" si="10"/>
        <v>107.50999999999999</v>
      </c>
      <c r="AD26" s="9">
        <f t="shared" si="11"/>
        <v>105.44</v>
      </c>
      <c r="AE26" s="9">
        <f t="shared" si="12"/>
        <v>105.28999999999999</v>
      </c>
      <c r="AG26" s="20">
        <v>315</v>
      </c>
      <c r="AH26" s="9">
        <f t="shared" si="2"/>
        <v>106.08</v>
      </c>
      <c r="AI26" s="9">
        <f t="shared" si="13"/>
        <v>55.82</v>
      </c>
      <c r="AJ26" s="9">
        <f t="shared" si="3"/>
        <v>65.819999999999993</v>
      </c>
      <c r="AM26" s="21">
        <v>315</v>
      </c>
      <c r="AN26" s="10">
        <v>-10</v>
      </c>
      <c r="AP26" s="10">
        <f t="shared" si="4"/>
        <v>55.855000000000004</v>
      </c>
      <c r="AQ26" s="10">
        <f t="shared" si="5"/>
        <v>65.855000000000004</v>
      </c>
      <c r="AT26" s="12">
        <v>315</v>
      </c>
      <c r="AU26" s="78"/>
      <c r="AV26" s="66"/>
      <c r="AW26" s="66"/>
      <c r="AX26" s="66"/>
      <c r="AY26" s="66"/>
      <c r="AZ26" s="66"/>
    </row>
    <row r="27" spans="2:52" ht="16.5">
      <c r="B27" s="12">
        <v>335</v>
      </c>
      <c r="C27" s="70">
        <v>-47.58</v>
      </c>
      <c r="D27" s="70">
        <v>-53.73</v>
      </c>
      <c r="E27" s="70">
        <v>-42.19</v>
      </c>
      <c r="F27" s="74">
        <v>-49.43</v>
      </c>
      <c r="G27" s="70">
        <v>-48.05</v>
      </c>
      <c r="H27" s="70">
        <v>-45.39</v>
      </c>
      <c r="J27" s="12">
        <v>335</v>
      </c>
      <c r="K27" s="76">
        <v>36.49</v>
      </c>
      <c r="L27">
        <v>36.229999999999997</v>
      </c>
      <c r="M27">
        <v>-5.64</v>
      </c>
      <c r="N27">
        <v>-6.34</v>
      </c>
      <c r="Q27" s="19">
        <v>335</v>
      </c>
      <c r="R27" s="8">
        <f t="shared" si="6"/>
        <v>104.07</v>
      </c>
      <c r="S27" s="8">
        <f t="shared" si="7"/>
        <v>110.22</v>
      </c>
      <c r="T27" s="8">
        <f t="shared" si="8"/>
        <v>98.68</v>
      </c>
      <c r="V27" s="19">
        <v>335</v>
      </c>
      <c r="W27" s="8">
        <f t="shared" si="0"/>
        <v>104.32333333333334</v>
      </c>
      <c r="X27" s="8">
        <f t="shared" si="9"/>
        <v>56.49</v>
      </c>
      <c r="Y27" s="8">
        <f t="shared" si="1"/>
        <v>66.490000000000009</v>
      </c>
      <c r="AB27" s="20">
        <v>335</v>
      </c>
      <c r="AC27" s="9">
        <f t="shared" si="10"/>
        <v>105.66</v>
      </c>
      <c r="AD27" s="9">
        <f t="shared" si="11"/>
        <v>104.28</v>
      </c>
      <c r="AE27" s="9">
        <f t="shared" si="12"/>
        <v>101.62</v>
      </c>
      <c r="AG27" s="20">
        <v>335</v>
      </c>
      <c r="AH27" s="9">
        <f t="shared" si="2"/>
        <v>103.85333333333334</v>
      </c>
      <c r="AI27" s="9">
        <f t="shared" si="13"/>
        <v>56.23</v>
      </c>
      <c r="AJ27" s="9">
        <f t="shared" si="3"/>
        <v>66.22999999999999</v>
      </c>
      <c r="AM27" s="21">
        <v>335</v>
      </c>
      <c r="AN27" s="10">
        <v>-10</v>
      </c>
      <c r="AP27" s="10">
        <f t="shared" si="4"/>
        <v>56.36</v>
      </c>
      <c r="AQ27" s="10">
        <f t="shared" si="5"/>
        <v>66.36</v>
      </c>
      <c r="AT27" s="12">
        <v>335</v>
      </c>
      <c r="AU27" s="78"/>
      <c r="AV27" s="66"/>
      <c r="AW27" s="66"/>
      <c r="AX27" s="66"/>
      <c r="AY27" s="66"/>
      <c r="AZ27" s="66"/>
    </row>
    <row r="28" spans="2:52" ht="16.5">
      <c r="B28" s="12">
        <v>355</v>
      </c>
      <c r="C28" s="70">
        <v>-43.99</v>
      </c>
      <c r="D28" s="70">
        <v>-47.95</v>
      </c>
      <c r="E28" s="70">
        <v>-41.28</v>
      </c>
      <c r="F28" s="74">
        <v>-47.61</v>
      </c>
      <c r="G28" s="70">
        <v>-49.84</v>
      </c>
      <c r="H28" s="70">
        <v>-50.21</v>
      </c>
      <c r="J28" s="12">
        <v>355</v>
      </c>
      <c r="K28" s="76">
        <v>36.840000000000003</v>
      </c>
      <c r="L28">
        <v>36.630000000000003</v>
      </c>
      <c r="M28">
        <v>-5.14</v>
      </c>
      <c r="N28">
        <v>-5.88</v>
      </c>
      <c r="Q28" s="19">
        <v>355</v>
      </c>
      <c r="R28" s="8">
        <f t="shared" si="6"/>
        <v>100.83000000000001</v>
      </c>
      <c r="S28" s="8">
        <f t="shared" si="7"/>
        <v>104.79</v>
      </c>
      <c r="T28" s="8">
        <f t="shared" si="8"/>
        <v>98.12</v>
      </c>
      <c r="V28" s="19">
        <v>355</v>
      </c>
      <c r="W28" s="8">
        <f t="shared" si="0"/>
        <v>101.24666666666667</v>
      </c>
      <c r="X28" s="8">
        <f t="shared" si="9"/>
        <v>56.84</v>
      </c>
      <c r="Y28" s="8">
        <f t="shared" si="1"/>
        <v>66.84</v>
      </c>
      <c r="AB28" s="20">
        <v>355</v>
      </c>
      <c r="AC28" s="9">
        <f t="shared" si="10"/>
        <v>104.24000000000001</v>
      </c>
      <c r="AD28" s="9">
        <f t="shared" si="11"/>
        <v>106.47</v>
      </c>
      <c r="AE28" s="9">
        <f t="shared" si="12"/>
        <v>106.84</v>
      </c>
      <c r="AG28" s="20">
        <v>355</v>
      </c>
      <c r="AH28" s="9">
        <f t="shared" si="2"/>
        <v>105.85000000000001</v>
      </c>
      <c r="AI28" s="9">
        <f t="shared" si="13"/>
        <v>56.63</v>
      </c>
      <c r="AJ28" s="9">
        <f t="shared" si="3"/>
        <v>66.63</v>
      </c>
      <c r="AM28" s="21">
        <v>355</v>
      </c>
      <c r="AN28" s="10">
        <v>-10</v>
      </c>
      <c r="AO28" s="10">
        <v>10</v>
      </c>
      <c r="AP28" s="10">
        <f t="shared" si="4"/>
        <v>56.734999999999999</v>
      </c>
      <c r="AQ28" s="10">
        <f t="shared" si="5"/>
        <v>66.734999999999999</v>
      </c>
      <c r="AT28" s="12">
        <v>355</v>
      </c>
      <c r="AU28" s="78"/>
      <c r="AV28" s="66"/>
      <c r="AW28" s="66"/>
      <c r="AX28" s="66"/>
      <c r="AY28" s="66"/>
      <c r="AZ28" s="66"/>
    </row>
    <row r="29" spans="2:52" ht="16.5">
      <c r="B29" s="12">
        <v>375</v>
      </c>
      <c r="C29" s="70">
        <v>-44.83</v>
      </c>
      <c r="D29" s="70">
        <v>-47.8</v>
      </c>
      <c r="E29" s="70">
        <v>-38.81</v>
      </c>
      <c r="F29" s="74">
        <v>-42.32</v>
      </c>
      <c r="G29" s="70">
        <v>-44.43</v>
      </c>
      <c r="H29" s="70">
        <v>-41.23</v>
      </c>
      <c r="J29" s="12">
        <v>375</v>
      </c>
      <c r="K29" s="76">
        <v>37.14</v>
      </c>
      <c r="L29">
        <v>37.01</v>
      </c>
      <c r="M29">
        <v>-4.92</v>
      </c>
      <c r="N29">
        <v>-5.16</v>
      </c>
      <c r="Q29" s="19">
        <v>375</v>
      </c>
      <c r="R29" s="8">
        <f t="shared" si="6"/>
        <v>101.97</v>
      </c>
      <c r="S29" s="8">
        <f t="shared" si="7"/>
        <v>104.94</v>
      </c>
      <c r="T29" s="8">
        <f t="shared" si="8"/>
        <v>95.95</v>
      </c>
      <c r="V29" s="19">
        <v>375</v>
      </c>
      <c r="W29" s="8">
        <f t="shared" si="0"/>
        <v>100.95333333333333</v>
      </c>
      <c r="X29" s="8">
        <f t="shared" si="9"/>
        <v>57.14</v>
      </c>
      <c r="Y29" s="8">
        <f t="shared" si="1"/>
        <v>67.14</v>
      </c>
      <c r="AB29" s="20">
        <v>375</v>
      </c>
      <c r="AC29" s="9">
        <f t="shared" si="10"/>
        <v>99.33</v>
      </c>
      <c r="AD29" s="9">
        <f t="shared" si="11"/>
        <v>101.44</v>
      </c>
      <c r="AE29" s="9">
        <f t="shared" si="12"/>
        <v>98.24</v>
      </c>
      <c r="AG29" s="20">
        <v>375</v>
      </c>
      <c r="AH29" s="9">
        <f t="shared" si="2"/>
        <v>99.67</v>
      </c>
      <c r="AI29" s="9">
        <f t="shared" si="13"/>
        <v>57.01</v>
      </c>
      <c r="AJ29" s="9">
        <f t="shared" si="3"/>
        <v>67.009999999999991</v>
      </c>
      <c r="AM29" s="21">
        <v>375</v>
      </c>
      <c r="AN29" s="10">
        <v>-10</v>
      </c>
      <c r="AP29" s="10">
        <f t="shared" si="4"/>
        <v>57.075000000000003</v>
      </c>
      <c r="AQ29" s="10">
        <f t="shared" si="5"/>
        <v>67.075000000000003</v>
      </c>
      <c r="AT29" s="12">
        <v>375</v>
      </c>
      <c r="AU29" s="78"/>
      <c r="AV29" s="66"/>
      <c r="AW29" s="66"/>
      <c r="AX29" s="66"/>
      <c r="AY29" s="66"/>
      <c r="AZ29" s="66"/>
    </row>
    <row r="30" spans="2:52" ht="16.5">
      <c r="B30" s="61">
        <v>400</v>
      </c>
      <c r="C30" s="70">
        <v>-41.6</v>
      </c>
      <c r="D30" s="70">
        <v>-44.38</v>
      </c>
      <c r="E30" s="70">
        <v>-46.51</v>
      </c>
      <c r="F30" s="74">
        <v>-39.340000000000003</v>
      </c>
      <c r="G30" s="70">
        <v>-42.28</v>
      </c>
      <c r="H30" s="70">
        <v>-40.89</v>
      </c>
      <c r="J30" s="12">
        <v>400</v>
      </c>
      <c r="K30" s="76">
        <v>37.54</v>
      </c>
      <c r="L30">
        <v>37.31</v>
      </c>
      <c r="M30">
        <v>-4.34</v>
      </c>
      <c r="N30">
        <v>-5.57</v>
      </c>
      <c r="Q30" s="19">
        <v>400</v>
      </c>
      <c r="R30" s="8">
        <f t="shared" si="6"/>
        <v>99.14</v>
      </c>
      <c r="S30" s="8">
        <f t="shared" si="7"/>
        <v>101.92</v>
      </c>
      <c r="T30" s="8">
        <f t="shared" si="8"/>
        <v>104.05</v>
      </c>
      <c r="V30" s="19">
        <v>400</v>
      </c>
      <c r="W30" s="8">
        <f t="shared" si="0"/>
        <v>101.70333333333333</v>
      </c>
      <c r="X30" s="8">
        <f t="shared" si="9"/>
        <v>57.54</v>
      </c>
      <c r="Y30" s="8">
        <f t="shared" si="1"/>
        <v>67.539999999999992</v>
      </c>
      <c r="AB30" s="20">
        <v>400</v>
      </c>
      <c r="AC30" s="9">
        <f t="shared" si="10"/>
        <v>96.65</v>
      </c>
      <c r="AD30" s="9">
        <f t="shared" si="11"/>
        <v>99.59</v>
      </c>
      <c r="AE30" s="9">
        <f t="shared" si="12"/>
        <v>98.2</v>
      </c>
      <c r="AG30" s="20">
        <v>400</v>
      </c>
      <c r="AH30" s="9">
        <f t="shared" si="2"/>
        <v>98.146666666666661</v>
      </c>
      <c r="AI30" s="9">
        <f t="shared" si="13"/>
        <v>57.31</v>
      </c>
      <c r="AJ30" s="9">
        <f t="shared" si="3"/>
        <v>67.31</v>
      </c>
      <c r="AM30" s="21">
        <v>400</v>
      </c>
      <c r="AN30" s="10">
        <v>-10</v>
      </c>
      <c r="AP30" s="10">
        <f t="shared" si="4"/>
        <v>57.424999999999997</v>
      </c>
      <c r="AQ30" s="10">
        <f t="shared" si="5"/>
        <v>67.424999999999997</v>
      </c>
      <c r="AT30" s="12">
        <v>400</v>
      </c>
      <c r="AU30" s="78"/>
      <c r="AV30" s="66"/>
      <c r="AW30" s="66"/>
      <c r="AX30" s="66"/>
      <c r="AY30" s="66"/>
      <c r="AZ30" s="66"/>
    </row>
    <row r="31" spans="2:52" ht="16.5">
      <c r="B31" s="61">
        <v>425</v>
      </c>
      <c r="C31" s="70">
        <v>-44.2</v>
      </c>
      <c r="D31" s="70">
        <v>-41.62</v>
      </c>
      <c r="E31" s="70">
        <v>-41.41</v>
      </c>
      <c r="F31" s="74">
        <v>-39.28</v>
      </c>
      <c r="G31" s="70">
        <v>-40.35</v>
      </c>
      <c r="H31" s="70">
        <v>-45.84</v>
      </c>
      <c r="J31" s="12">
        <v>425</v>
      </c>
      <c r="K31" s="76">
        <v>37.76</v>
      </c>
      <c r="L31">
        <v>37.6</v>
      </c>
      <c r="M31">
        <v>-4.42</v>
      </c>
      <c r="N31">
        <v>-5.19</v>
      </c>
      <c r="Q31" s="19">
        <v>425</v>
      </c>
      <c r="R31" s="8">
        <f t="shared" si="6"/>
        <v>101.96000000000001</v>
      </c>
      <c r="S31" s="8">
        <f t="shared" si="7"/>
        <v>99.38</v>
      </c>
      <c r="T31" s="8">
        <f t="shared" si="8"/>
        <v>99.169999999999987</v>
      </c>
      <c r="V31" s="19">
        <v>425</v>
      </c>
      <c r="W31" s="8">
        <f t="shared" si="0"/>
        <v>100.17</v>
      </c>
      <c r="X31" s="8">
        <f t="shared" si="9"/>
        <v>57.76</v>
      </c>
      <c r="Y31" s="8">
        <f t="shared" si="1"/>
        <v>67.759999999999991</v>
      </c>
      <c r="AB31" s="20">
        <v>425</v>
      </c>
      <c r="AC31" s="9">
        <f t="shared" si="10"/>
        <v>96.88</v>
      </c>
      <c r="AD31" s="9">
        <f t="shared" si="11"/>
        <v>97.95</v>
      </c>
      <c r="AE31" s="9">
        <f t="shared" si="12"/>
        <v>103.44</v>
      </c>
      <c r="AG31" s="20">
        <v>425</v>
      </c>
      <c r="AH31" s="9">
        <f t="shared" si="2"/>
        <v>99.423333333333332</v>
      </c>
      <c r="AI31" s="9">
        <f t="shared" si="13"/>
        <v>57.6</v>
      </c>
      <c r="AJ31" s="9">
        <f t="shared" si="3"/>
        <v>67.599999999999994</v>
      </c>
      <c r="AM31" s="21">
        <v>425</v>
      </c>
      <c r="AN31" s="10">
        <v>-10</v>
      </c>
      <c r="AO31" s="10">
        <v>10</v>
      </c>
      <c r="AP31" s="10">
        <f t="shared" si="4"/>
        <v>57.68</v>
      </c>
      <c r="AQ31" s="10">
        <f t="shared" si="5"/>
        <v>67.680000000000007</v>
      </c>
      <c r="AT31" s="12">
        <v>425</v>
      </c>
      <c r="AU31" s="78"/>
      <c r="AV31" s="66"/>
      <c r="AW31" s="66"/>
      <c r="AX31" s="66"/>
      <c r="AY31" s="66"/>
      <c r="AZ31" s="66"/>
    </row>
    <row r="32" spans="2:52" ht="16.5">
      <c r="B32" s="61">
        <v>450</v>
      </c>
      <c r="C32" s="70">
        <v>-43.8</v>
      </c>
      <c r="D32" s="70">
        <v>-43.27</v>
      </c>
      <c r="E32" s="70">
        <v>-44.57</v>
      </c>
      <c r="F32" s="74">
        <v>-37.159999999999997</v>
      </c>
      <c r="G32" s="70">
        <v>-37.46</v>
      </c>
      <c r="H32" s="70">
        <v>-40.64</v>
      </c>
      <c r="J32" s="12">
        <v>450</v>
      </c>
      <c r="K32" s="76">
        <v>38</v>
      </c>
      <c r="L32">
        <v>37.86</v>
      </c>
      <c r="M32">
        <v>-4.18</v>
      </c>
      <c r="N32">
        <v>-4.7699999999999996</v>
      </c>
      <c r="Q32" s="19">
        <v>450</v>
      </c>
      <c r="R32" s="8">
        <f t="shared" si="6"/>
        <v>101.8</v>
      </c>
      <c r="S32" s="8">
        <f t="shared" si="7"/>
        <v>101.27000000000001</v>
      </c>
      <c r="T32" s="8">
        <f t="shared" si="8"/>
        <v>102.57</v>
      </c>
      <c r="V32" s="19">
        <v>450</v>
      </c>
      <c r="W32" s="8">
        <f t="shared" si="0"/>
        <v>101.88</v>
      </c>
      <c r="X32" s="8">
        <f t="shared" si="9"/>
        <v>58</v>
      </c>
      <c r="Y32" s="8">
        <f t="shared" si="1"/>
        <v>68</v>
      </c>
      <c r="AB32" s="20">
        <v>450</v>
      </c>
      <c r="AC32" s="9">
        <f t="shared" si="10"/>
        <v>95.02</v>
      </c>
      <c r="AD32" s="9">
        <f t="shared" si="11"/>
        <v>95.32</v>
      </c>
      <c r="AE32" s="9">
        <f t="shared" si="12"/>
        <v>98.5</v>
      </c>
      <c r="AG32" s="20">
        <v>450</v>
      </c>
      <c r="AH32" s="9">
        <f t="shared" si="2"/>
        <v>96.279999999999987</v>
      </c>
      <c r="AI32" s="9">
        <f t="shared" si="13"/>
        <v>57.86</v>
      </c>
      <c r="AJ32" s="9">
        <f t="shared" si="3"/>
        <v>67.86</v>
      </c>
      <c r="AM32" s="21">
        <v>450</v>
      </c>
      <c r="AN32" s="10">
        <v>-10</v>
      </c>
      <c r="AP32" s="10">
        <f t="shared" si="4"/>
        <v>57.93</v>
      </c>
      <c r="AQ32" s="10">
        <f t="shared" si="5"/>
        <v>67.930000000000007</v>
      </c>
      <c r="AT32" s="12">
        <v>450</v>
      </c>
      <c r="AU32" s="78"/>
      <c r="AV32" s="66"/>
      <c r="AW32" s="66"/>
      <c r="AX32" s="66"/>
      <c r="AY32" s="66"/>
      <c r="AZ32" s="66"/>
    </row>
    <row r="33" spans="2:52" ht="16.5">
      <c r="B33" s="61">
        <v>475</v>
      </c>
      <c r="C33" s="70">
        <v>-43.21</v>
      </c>
      <c r="D33" s="70">
        <v>-45.28</v>
      </c>
      <c r="E33" s="70">
        <v>-39.869999999999997</v>
      </c>
      <c r="F33" s="74">
        <v>-37.340000000000003</v>
      </c>
      <c r="G33" s="70">
        <v>-36.409999999999997</v>
      </c>
      <c r="H33" s="70">
        <v>-38.909999999999997</v>
      </c>
      <c r="J33" s="12">
        <v>475</v>
      </c>
      <c r="K33" s="76">
        <v>38.46</v>
      </c>
      <c r="L33">
        <v>38.090000000000003</v>
      </c>
      <c r="M33">
        <v>-3.82</v>
      </c>
      <c r="N33">
        <v>-4.59</v>
      </c>
      <c r="Q33" s="19">
        <v>475</v>
      </c>
      <c r="R33" s="8">
        <f t="shared" si="6"/>
        <v>101.67</v>
      </c>
      <c r="S33" s="8">
        <f t="shared" si="7"/>
        <v>103.74000000000001</v>
      </c>
      <c r="T33" s="8">
        <f t="shared" si="8"/>
        <v>98.33</v>
      </c>
      <c r="V33" s="19">
        <v>475</v>
      </c>
      <c r="W33" s="8">
        <f t="shared" si="0"/>
        <v>101.24666666666667</v>
      </c>
      <c r="X33" s="8">
        <f t="shared" si="9"/>
        <v>58.46</v>
      </c>
      <c r="Y33" s="8">
        <f t="shared" si="1"/>
        <v>68.460000000000008</v>
      </c>
      <c r="AB33" s="20">
        <v>475</v>
      </c>
      <c r="AC33" s="9">
        <f t="shared" si="10"/>
        <v>95.43</v>
      </c>
      <c r="AD33" s="9">
        <f t="shared" si="11"/>
        <v>94.5</v>
      </c>
      <c r="AE33" s="9">
        <f t="shared" si="12"/>
        <v>97</v>
      </c>
      <c r="AG33" s="20">
        <v>475</v>
      </c>
      <c r="AH33" s="9">
        <f t="shared" si="2"/>
        <v>95.643333333333331</v>
      </c>
      <c r="AI33" s="9">
        <f t="shared" si="13"/>
        <v>58.09</v>
      </c>
      <c r="AJ33" s="9">
        <f t="shared" si="3"/>
        <v>68.09</v>
      </c>
      <c r="AM33" s="21">
        <v>475</v>
      </c>
      <c r="AN33" s="10">
        <v>-10</v>
      </c>
      <c r="AP33" s="10">
        <f t="shared" si="4"/>
        <v>58.275000000000006</v>
      </c>
      <c r="AQ33" s="10">
        <f t="shared" si="5"/>
        <v>68.275000000000006</v>
      </c>
      <c r="AT33" s="12">
        <v>475</v>
      </c>
      <c r="AU33" s="78"/>
      <c r="AV33" s="66"/>
      <c r="AW33" s="66"/>
      <c r="AX33" s="66"/>
      <c r="AY33" s="66"/>
      <c r="AZ33" s="66"/>
    </row>
    <row r="34" spans="2:52" ht="16.5">
      <c r="B34" s="61">
        <v>500</v>
      </c>
      <c r="C34" s="70">
        <v>-41.39</v>
      </c>
      <c r="D34" s="70">
        <v>-45.4</v>
      </c>
      <c r="E34" s="70">
        <v>-40.65</v>
      </c>
      <c r="F34" s="74">
        <v>-35.979999999999997</v>
      </c>
      <c r="G34" s="70">
        <v>-37.049999999999997</v>
      </c>
      <c r="H34" s="70">
        <v>-35.35</v>
      </c>
      <c r="J34" s="12">
        <v>500</v>
      </c>
      <c r="K34" s="76">
        <v>38.69</v>
      </c>
      <c r="L34">
        <v>38.44</v>
      </c>
      <c r="M34">
        <v>-3.82</v>
      </c>
      <c r="N34">
        <v>-4.5</v>
      </c>
      <c r="Q34" s="19">
        <v>500</v>
      </c>
      <c r="R34" s="8">
        <f t="shared" si="6"/>
        <v>100.08</v>
      </c>
      <c r="S34" s="8">
        <f t="shared" si="7"/>
        <v>104.09</v>
      </c>
      <c r="T34" s="8">
        <f t="shared" si="8"/>
        <v>99.34</v>
      </c>
      <c r="V34" s="19">
        <v>500</v>
      </c>
      <c r="W34" s="8">
        <f t="shared" si="0"/>
        <v>101.17</v>
      </c>
      <c r="X34" s="8">
        <f t="shared" si="9"/>
        <v>58.69</v>
      </c>
      <c r="Y34" s="8">
        <f t="shared" si="1"/>
        <v>68.69</v>
      </c>
      <c r="AB34" s="20">
        <v>500</v>
      </c>
      <c r="AC34" s="9">
        <f t="shared" si="10"/>
        <v>94.419999999999987</v>
      </c>
      <c r="AD34" s="9">
        <f t="shared" si="11"/>
        <v>95.49</v>
      </c>
      <c r="AE34" s="9">
        <f t="shared" si="12"/>
        <v>93.789999999999992</v>
      </c>
      <c r="AG34" s="20">
        <v>500</v>
      </c>
      <c r="AH34" s="9">
        <f t="shared" si="2"/>
        <v>94.566666666666649</v>
      </c>
      <c r="AI34" s="9">
        <f t="shared" si="13"/>
        <v>58.44</v>
      </c>
      <c r="AJ34" s="9">
        <f t="shared" si="3"/>
        <v>68.44</v>
      </c>
      <c r="AM34" s="21">
        <v>500</v>
      </c>
      <c r="AN34" s="10">
        <v>-10</v>
      </c>
      <c r="AO34" s="10">
        <v>10</v>
      </c>
      <c r="AP34" s="10">
        <f t="shared" si="4"/>
        <v>58.564999999999998</v>
      </c>
      <c r="AQ34" s="10">
        <f t="shared" si="5"/>
        <v>68.564999999999998</v>
      </c>
      <c r="AT34" s="12">
        <v>500</v>
      </c>
      <c r="AU34" s="78"/>
      <c r="AV34" s="66"/>
      <c r="AW34" s="66"/>
      <c r="AX34" s="66"/>
      <c r="AY34" s="66"/>
      <c r="AZ34" s="66"/>
    </row>
    <row r="35" spans="2:52" ht="16.5">
      <c r="B35" s="61">
        <v>530</v>
      </c>
      <c r="C35" s="70">
        <v>-42.98</v>
      </c>
      <c r="D35" s="70">
        <v>-42.59</v>
      </c>
      <c r="E35" s="70">
        <v>-39.46</v>
      </c>
      <c r="F35" s="74">
        <v>-37.58</v>
      </c>
      <c r="G35" s="70">
        <v>-35.76</v>
      </c>
      <c r="H35" s="70">
        <v>-35.67</v>
      </c>
      <c r="J35" s="12">
        <v>530</v>
      </c>
      <c r="K35" s="76">
        <v>38.700000000000003</v>
      </c>
      <c r="L35">
        <v>38.64</v>
      </c>
      <c r="M35">
        <v>-3.73</v>
      </c>
      <c r="N35">
        <v>-4.7699999999999996</v>
      </c>
      <c r="Q35" s="19">
        <v>530</v>
      </c>
      <c r="R35" s="8">
        <f t="shared" si="6"/>
        <v>101.68</v>
      </c>
      <c r="S35" s="8">
        <f t="shared" si="7"/>
        <v>101.29</v>
      </c>
      <c r="T35" s="8">
        <f t="shared" si="8"/>
        <v>98.16</v>
      </c>
      <c r="V35" s="19">
        <v>530</v>
      </c>
      <c r="W35" s="8">
        <f t="shared" si="0"/>
        <v>100.37666666666667</v>
      </c>
      <c r="X35" s="8">
        <f t="shared" si="9"/>
        <v>58.7</v>
      </c>
      <c r="Y35" s="8">
        <f t="shared" si="1"/>
        <v>68.7</v>
      </c>
      <c r="AB35" s="20">
        <v>530</v>
      </c>
      <c r="AC35" s="9">
        <f t="shared" si="10"/>
        <v>96.22</v>
      </c>
      <c r="AD35" s="9">
        <f t="shared" si="11"/>
        <v>94.4</v>
      </c>
      <c r="AE35" s="9">
        <f t="shared" si="12"/>
        <v>94.31</v>
      </c>
      <c r="AG35" s="20">
        <v>530</v>
      </c>
      <c r="AH35" s="9">
        <f t="shared" si="2"/>
        <v>94.976666666666674</v>
      </c>
      <c r="AI35" s="9">
        <f t="shared" si="13"/>
        <v>58.64</v>
      </c>
      <c r="AJ35" s="9">
        <f t="shared" si="3"/>
        <v>68.64</v>
      </c>
      <c r="AM35" s="21">
        <v>530</v>
      </c>
      <c r="AN35" s="10">
        <v>-10</v>
      </c>
      <c r="AP35" s="10">
        <f t="shared" si="4"/>
        <v>58.67</v>
      </c>
      <c r="AQ35" s="10">
        <f t="shared" si="5"/>
        <v>68.67</v>
      </c>
      <c r="AT35" s="12">
        <v>530</v>
      </c>
      <c r="AU35" s="78"/>
      <c r="AV35" s="66"/>
      <c r="AW35" s="66"/>
      <c r="AX35" s="66"/>
      <c r="AY35" s="66"/>
      <c r="AZ35" s="66"/>
    </row>
    <row r="36" spans="2:52" ht="16.5">
      <c r="B36" s="61">
        <v>560</v>
      </c>
      <c r="C36" s="70">
        <v>-45.84</v>
      </c>
      <c r="D36" s="70">
        <v>-42.9</v>
      </c>
      <c r="E36" s="70">
        <v>-38.65</v>
      </c>
      <c r="F36" s="74">
        <v>-37.24</v>
      </c>
      <c r="G36" s="70">
        <v>-37.619999999999997</v>
      </c>
      <c r="H36" s="70">
        <v>-36.049999999999997</v>
      </c>
      <c r="J36" s="12">
        <v>560</v>
      </c>
      <c r="K36" s="76">
        <v>38.979999999999997</v>
      </c>
      <c r="L36">
        <v>38.700000000000003</v>
      </c>
      <c r="M36">
        <v>-3.65</v>
      </c>
      <c r="N36">
        <v>-4.18</v>
      </c>
      <c r="Q36" s="19">
        <v>560</v>
      </c>
      <c r="R36" s="8">
        <f t="shared" si="6"/>
        <v>104.82</v>
      </c>
      <c r="S36" s="8">
        <f t="shared" si="7"/>
        <v>101.88</v>
      </c>
      <c r="T36" s="8">
        <f t="shared" si="8"/>
        <v>97.63</v>
      </c>
      <c r="V36" s="19">
        <v>560</v>
      </c>
      <c r="W36" s="8">
        <f t="shared" si="0"/>
        <v>101.44333333333333</v>
      </c>
      <c r="X36" s="8">
        <f t="shared" si="9"/>
        <v>58.98</v>
      </c>
      <c r="Y36" s="8">
        <f t="shared" si="1"/>
        <v>68.97999999999999</v>
      </c>
      <c r="AB36" s="20">
        <v>560</v>
      </c>
      <c r="AC36" s="9">
        <f t="shared" si="10"/>
        <v>95.94</v>
      </c>
      <c r="AD36" s="9">
        <f t="shared" si="11"/>
        <v>96.32</v>
      </c>
      <c r="AE36" s="9">
        <f t="shared" si="12"/>
        <v>94.75</v>
      </c>
      <c r="AG36" s="20">
        <v>560</v>
      </c>
      <c r="AH36" s="9">
        <f t="shared" si="2"/>
        <v>95.67</v>
      </c>
      <c r="AI36" s="9">
        <f t="shared" si="13"/>
        <v>58.7</v>
      </c>
      <c r="AJ36" s="9">
        <f t="shared" si="3"/>
        <v>68.7</v>
      </c>
      <c r="AM36" s="21">
        <v>560</v>
      </c>
      <c r="AN36" s="10">
        <v>-10</v>
      </c>
      <c r="AP36" s="10">
        <f t="shared" si="4"/>
        <v>58.84</v>
      </c>
      <c r="AQ36" s="10">
        <f t="shared" si="5"/>
        <v>68.84</v>
      </c>
      <c r="AT36" s="12">
        <v>560</v>
      </c>
      <c r="AU36" s="78"/>
      <c r="AV36" s="66"/>
      <c r="AW36" s="66"/>
      <c r="AX36" s="66"/>
      <c r="AY36" s="66"/>
      <c r="AZ36" s="66"/>
    </row>
    <row r="37" spans="2:52" ht="16.5">
      <c r="B37" s="61">
        <v>600</v>
      </c>
      <c r="C37" s="70">
        <v>-45.67</v>
      </c>
      <c r="D37" s="70">
        <v>-44.31</v>
      </c>
      <c r="E37" s="70">
        <v>-40.6</v>
      </c>
      <c r="F37" s="74">
        <v>-40.409999999999997</v>
      </c>
      <c r="G37" s="70">
        <v>-35.93</v>
      </c>
      <c r="H37" s="70">
        <v>-37.1</v>
      </c>
      <c r="J37" s="12">
        <v>600</v>
      </c>
      <c r="K37" s="76">
        <v>39.21</v>
      </c>
      <c r="L37">
        <v>38.86</v>
      </c>
      <c r="M37">
        <v>-3.55</v>
      </c>
      <c r="N37">
        <v>-4.59</v>
      </c>
      <c r="Q37" s="19">
        <v>600</v>
      </c>
      <c r="R37" s="8">
        <f t="shared" si="6"/>
        <v>104.88</v>
      </c>
      <c r="S37" s="8">
        <f t="shared" si="7"/>
        <v>103.52000000000001</v>
      </c>
      <c r="T37" s="8">
        <f t="shared" si="8"/>
        <v>99.81</v>
      </c>
      <c r="V37" s="19">
        <v>600</v>
      </c>
      <c r="W37" s="8">
        <f t="shared" si="0"/>
        <v>102.73666666666668</v>
      </c>
      <c r="X37" s="8">
        <f t="shared" si="9"/>
        <v>59.21</v>
      </c>
      <c r="Y37" s="8">
        <f t="shared" si="1"/>
        <v>69.210000000000008</v>
      </c>
      <c r="AB37" s="20">
        <v>600</v>
      </c>
      <c r="AC37" s="9">
        <f t="shared" si="10"/>
        <v>99.27</v>
      </c>
      <c r="AD37" s="9">
        <f t="shared" si="11"/>
        <v>94.789999999999992</v>
      </c>
      <c r="AE37" s="9">
        <f t="shared" si="12"/>
        <v>95.960000000000008</v>
      </c>
      <c r="AG37" s="20">
        <v>600</v>
      </c>
      <c r="AH37" s="9">
        <f t="shared" si="2"/>
        <v>96.673333333333332</v>
      </c>
      <c r="AI37" s="9">
        <f t="shared" si="13"/>
        <v>58.86</v>
      </c>
      <c r="AJ37" s="9">
        <f t="shared" si="3"/>
        <v>68.86</v>
      </c>
      <c r="AM37" s="21">
        <v>600</v>
      </c>
      <c r="AN37" s="10">
        <v>-10</v>
      </c>
      <c r="AO37" s="10">
        <v>10</v>
      </c>
      <c r="AP37" s="10">
        <f t="shared" si="4"/>
        <v>59.034999999999997</v>
      </c>
      <c r="AQ37" s="10">
        <f t="shared" si="5"/>
        <v>69.034999999999997</v>
      </c>
      <c r="AT37" s="12">
        <v>600</v>
      </c>
      <c r="AU37" s="78"/>
      <c r="AV37" s="66"/>
      <c r="AW37" s="66"/>
      <c r="AX37" s="66"/>
      <c r="AY37" s="66"/>
      <c r="AZ37" s="66"/>
    </row>
    <row r="38" spans="2:52" ht="16.5">
      <c r="B38" s="61">
        <v>630</v>
      </c>
      <c r="C38" s="70">
        <v>-43.47</v>
      </c>
      <c r="D38" s="70">
        <v>-47.63</v>
      </c>
      <c r="E38" s="70">
        <v>-42.46</v>
      </c>
      <c r="F38" s="74">
        <v>-39.51</v>
      </c>
      <c r="G38" s="70">
        <v>-38.01</v>
      </c>
      <c r="H38" s="70">
        <v>-37.799999999999997</v>
      </c>
      <c r="J38" s="12">
        <v>630</v>
      </c>
      <c r="K38" s="76">
        <v>39.4</v>
      </c>
      <c r="L38">
        <v>39.08</v>
      </c>
      <c r="M38">
        <v>-3.71</v>
      </c>
      <c r="N38">
        <v>-4.53</v>
      </c>
      <c r="Q38" s="19">
        <v>630</v>
      </c>
      <c r="R38" s="8">
        <f t="shared" si="6"/>
        <v>102.87</v>
      </c>
      <c r="S38" s="8">
        <f t="shared" si="7"/>
        <v>107.03</v>
      </c>
      <c r="T38" s="8">
        <f t="shared" si="8"/>
        <v>101.86</v>
      </c>
      <c r="V38" s="19">
        <v>630</v>
      </c>
      <c r="W38" s="8">
        <f t="shared" ref="W38:W69" si="14">+AVERAGE(R38:T38)</f>
        <v>103.92</v>
      </c>
      <c r="X38" s="8">
        <f t="shared" si="9"/>
        <v>59.4</v>
      </c>
      <c r="Y38" s="8">
        <f t="shared" ref="Y38:Y69" si="15">+X38-$AN38</f>
        <v>69.400000000000006</v>
      </c>
      <c r="AB38" s="20">
        <v>630</v>
      </c>
      <c r="AC38" s="9">
        <f t="shared" si="10"/>
        <v>98.59</v>
      </c>
      <c r="AD38" s="9">
        <f t="shared" si="11"/>
        <v>97.09</v>
      </c>
      <c r="AE38" s="9">
        <f t="shared" si="12"/>
        <v>96.88</v>
      </c>
      <c r="AG38" s="20">
        <v>630</v>
      </c>
      <c r="AH38" s="9">
        <f t="shared" ref="AH38:AH69" si="16">+AVERAGE(AC38:AE38)</f>
        <v>97.52</v>
      </c>
      <c r="AI38" s="9">
        <f t="shared" si="13"/>
        <v>59.08</v>
      </c>
      <c r="AJ38" s="9">
        <f t="shared" ref="AJ38:AJ69" si="17">+AI38-$AN38</f>
        <v>69.08</v>
      </c>
      <c r="AM38" s="21">
        <v>630</v>
      </c>
      <c r="AN38" s="10">
        <v>-10</v>
      </c>
      <c r="AP38" s="10">
        <f t="shared" ref="AP38:AP69" si="18">+AVERAGE(AI38,X38)</f>
        <v>59.239999999999995</v>
      </c>
      <c r="AQ38" s="10">
        <f t="shared" ref="AQ38:AQ69" si="19">+AP38-AN38</f>
        <v>69.239999999999995</v>
      </c>
      <c r="AT38" s="12">
        <v>630</v>
      </c>
      <c r="AU38" s="78"/>
      <c r="AV38" s="66"/>
      <c r="AW38" s="66"/>
      <c r="AX38" s="66"/>
      <c r="AY38" s="66"/>
      <c r="AZ38" s="66"/>
    </row>
    <row r="39" spans="2:52" ht="16.5">
      <c r="B39" s="61">
        <v>670</v>
      </c>
      <c r="C39" s="70">
        <v>-46.89</v>
      </c>
      <c r="D39" s="70">
        <v>-43.65</v>
      </c>
      <c r="E39" s="70">
        <v>-45.88</v>
      </c>
      <c r="F39" s="74">
        <v>-37.909999999999997</v>
      </c>
      <c r="G39" s="70">
        <v>-37.61</v>
      </c>
      <c r="H39" s="70">
        <v>-36.950000000000003</v>
      </c>
      <c r="J39" s="12">
        <v>670</v>
      </c>
      <c r="K39" s="76">
        <v>39.94</v>
      </c>
      <c r="L39">
        <v>39.700000000000003</v>
      </c>
      <c r="M39">
        <v>-3.14</v>
      </c>
      <c r="N39">
        <v>-4.03</v>
      </c>
      <c r="Q39" s="19">
        <v>670</v>
      </c>
      <c r="R39" s="8">
        <f t="shared" si="6"/>
        <v>106.83</v>
      </c>
      <c r="S39" s="8">
        <f t="shared" si="7"/>
        <v>103.59</v>
      </c>
      <c r="T39" s="8">
        <f t="shared" si="8"/>
        <v>105.82</v>
      </c>
      <c r="V39" s="19">
        <v>670</v>
      </c>
      <c r="W39" s="8">
        <f t="shared" si="14"/>
        <v>105.41333333333334</v>
      </c>
      <c r="X39" s="8">
        <f t="shared" si="9"/>
        <v>59.94</v>
      </c>
      <c r="Y39" s="8">
        <f t="shared" si="15"/>
        <v>69.94</v>
      </c>
      <c r="AB39" s="20">
        <v>670</v>
      </c>
      <c r="AC39" s="9">
        <f t="shared" si="10"/>
        <v>97.61</v>
      </c>
      <c r="AD39" s="9">
        <f t="shared" si="11"/>
        <v>97.31</v>
      </c>
      <c r="AE39" s="9">
        <f t="shared" si="12"/>
        <v>96.65</v>
      </c>
      <c r="AG39" s="20">
        <v>670</v>
      </c>
      <c r="AH39" s="9">
        <f t="shared" si="16"/>
        <v>97.190000000000012</v>
      </c>
      <c r="AI39" s="9">
        <f t="shared" si="13"/>
        <v>59.7</v>
      </c>
      <c r="AJ39" s="9">
        <f t="shared" si="17"/>
        <v>69.7</v>
      </c>
      <c r="AM39" s="21">
        <v>670</v>
      </c>
      <c r="AN39" s="10">
        <v>-10</v>
      </c>
      <c r="AP39" s="10">
        <f t="shared" si="18"/>
        <v>59.82</v>
      </c>
      <c r="AQ39" s="10">
        <f t="shared" si="19"/>
        <v>69.819999999999993</v>
      </c>
      <c r="AT39" s="12">
        <v>670</v>
      </c>
      <c r="AU39" s="78"/>
      <c r="AV39" s="66"/>
      <c r="AW39" s="66"/>
      <c r="AX39" s="66"/>
      <c r="AY39" s="66"/>
      <c r="AZ39" s="66"/>
    </row>
    <row r="40" spans="2:52" ht="16.5">
      <c r="B40" s="61">
        <v>710</v>
      </c>
      <c r="C40" s="70">
        <v>-43.04</v>
      </c>
      <c r="D40" s="70">
        <v>-41.49</v>
      </c>
      <c r="E40" s="70">
        <v>-45.73</v>
      </c>
      <c r="F40" s="74">
        <v>-36.67</v>
      </c>
      <c r="G40" s="70">
        <v>-35.92</v>
      </c>
      <c r="H40" s="70">
        <v>-37.049999999999997</v>
      </c>
      <c r="J40" s="12">
        <v>710</v>
      </c>
      <c r="K40" s="76">
        <v>40.39</v>
      </c>
      <c r="L40">
        <v>39.97</v>
      </c>
      <c r="M40">
        <v>-2.89</v>
      </c>
      <c r="N40">
        <v>-4.33</v>
      </c>
      <c r="Q40" s="19">
        <v>710</v>
      </c>
      <c r="R40" s="8">
        <f t="shared" si="6"/>
        <v>103.43</v>
      </c>
      <c r="S40" s="8">
        <f t="shared" si="7"/>
        <v>101.88</v>
      </c>
      <c r="T40" s="8">
        <f t="shared" si="8"/>
        <v>106.12</v>
      </c>
      <c r="V40" s="19">
        <v>710</v>
      </c>
      <c r="W40" s="8">
        <f t="shared" si="14"/>
        <v>103.81</v>
      </c>
      <c r="X40" s="8">
        <f t="shared" si="9"/>
        <v>60.39</v>
      </c>
      <c r="Y40" s="8">
        <f t="shared" si="15"/>
        <v>70.39</v>
      </c>
      <c r="AB40" s="20">
        <v>710</v>
      </c>
      <c r="AC40" s="9">
        <f t="shared" si="10"/>
        <v>96.64</v>
      </c>
      <c r="AD40" s="9">
        <f t="shared" si="11"/>
        <v>95.89</v>
      </c>
      <c r="AE40" s="9">
        <f t="shared" si="12"/>
        <v>97.02</v>
      </c>
      <c r="AG40" s="20">
        <v>710</v>
      </c>
      <c r="AH40" s="9">
        <f t="shared" si="16"/>
        <v>96.516666666666666</v>
      </c>
      <c r="AI40" s="9">
        <f t="shared" si="13"/>
        <v>59.97</v>
      </c>
      <c r="AJ40" s="9">
        <f t="shared" si="17"/>
        <v>69.97</v>
      </c>
      <c r="AM40" s="21">
        <v>710</v>
      </c>
      <c r="AN40" s="10">
        <v>-10</v>
      </c>
      <c r="AO40" s="10">
        <v>10</v>
      </c>
      <c r="AP40" s="10">
        <f t="shared" si="18"/>
        <v>60.18</v>
      </c>
      <c r="AQ40" s="10">
        <f t="shared" si="19"/>
        <v>70.180000000000007</v>
      </c>
      <c r="AT40" s="12">
        <v>710</v>
      </c>
      <c r="AU40" s="78"/>
      <c r="AV40" s="66"/>
      <c r="AW40" s="66"/>
      <c r="AX40" s="66"/>
      <c r="AY40" s="66"/>
      <c r="AZ40" s="66"/>
    </row>
    <row r="41" spans="2:52" ht="16.5">
      <c r="B41" s="61">
        <v>750</v>
      </c>
      <c r="C41" s="70">
        <v>-45.31</v>
      </c>
      <c r="D41" s="70">
        <v>-40.450000000000003</v>
      </c>
      <c r="E41" s="70">
        <v>-42.91</v>
      </c>
      <c r="F41" s="74">
        <v>-34.03</v>
      </c>
      <c r="G41" s="70">
        <v>-33.200000000000003</v>
      </c>
      <c r="H41" s="70">
        <v>-34.75</v>
      </c>
      <c r="J41" s="12">
        <v>750</v>
      </c>
      <c r="K41" s="76">
        <v>40.799999999999997</v>
      </c>
      <c r="L41">
        <v>40.36</v>
      </c>
      <c r="M41">
        <v>-3.17</v>
      </c>
      <c r="N41">
        <v>-3.89</v>
      </c>
      <c r="Q41" s="19">
        <v>750</v>
      </c>
      <c r="R41" s="8">
        <f t="shared" si="6"/>
        <v>106.11</v>
      </c>
      <c r="S41" s="8">
        <f t="shared" si="7"/>
        <v>101.25</v>
      </c>
      <c r="T41" s="8">
        <f t="shared" si="8"/>
        <v>103.71</v>
      </c>
      <c r="V41" s="19">
        <v>750</v>
      </c>
      <c r="W41" s="8">
        <f t="shared" si="14"/>
        <v>103.69</v>
      </c>
      <c r="X41" s="8">
        <f t="shared" si="9"/>
        <v>60.8</v>
      </c>
      <c r="Y41" s="8">
        <f t="shared" si="15"/>
        <v>70.8</v>
      </c>
      <c r="AB41" s="20">
        <v>750</v>
      </c>
      <c r="AC41" s="9">
        <f t="shared" si="10"/>
        <v>94.39</v>
      </c>
      <c r="AD41" s="9">
        <f t="shared" si="11"/>
        <v>93.56</v>
      </c>
      <c r="AE41" s="9">
        <f t="shared" si="12"/>
        <v>95.11</v>
      </c>
      <c r="AG41" s="20">
        <v>750</v>
      </c>
      <c r="AH41" s="9">
        <f t="shared" si="16"/>
        <v>94.353333333333339</v>
      </c>
      <c r="AI41" s="9">
        <f t="shared" si="13"/>
        <v>60.36</v>
      </c>
      <c r="AJ41" s="9">
        <f t="shared" si="17"/>
        <v>70.36</v>
      </c>
      <c r="AM41" s="21">
        <v>750</v>
      </c>
      <c r="AN41" s="10">
        <v>-10</v>
      </c>
      <c r="AP41" s="10">
        <f t="shared" si="18"/>
        <v>60.58</v>
      </c>
      <c r="AQ41" s="10">
        <f t="shared" si="19"/>
        <v>70.58</v>
      </c>
      <c r="AT41" s="12">
        <v>750</v>
      </c>
      <c r="AU41" s="78"/>
      <c r="AV41" s="66"/>
      <c r="AW41" s="66"/>
      <c r="AX41" s="66"/>
      <c r="AY41" s="66"/>
      <c r="AZ41" s="66"/>
    </row>
    <row r="42" spans="2:52" ht="16.5">
      <c r="B42" s="61">
        <v>800</v>
      </c>
      <c r="C42" s="70">
        <v>-44.66</v>
      </c>
      <c r="D42" s="70">
        <v>-40.33</v>
      </c>
      <c r="E42" s="70">
        <v>-37.89</v>
      </c>
      <c r="F42" s="74">
        <v>-32.67</v>
      </c>
      <c r="G42" s="70">
        <v>-32.909999999999997</v>
      </c>
      <c r="H42" s="70">
        <v>-31.26</v>
      </c>
      <c r="J42" s="12">
        <v>800</v>
      </c>
      <c r="K42" s="76">
        <v>41.97</v>
      </c>
      <c r="L42">
        <v>41.56</v>
      </c>
      <c r="M42">
        <v>-1.71</v>
      </c>
      <c r="N42">
        <v>-3.22</v>
      </c>
      <c r="Q42" s="19">
        <v>800</v>
      </c>
      <c r="R42" s="8">
        <f t="shared" si="6"/>
        <v>106.63</v>
      </c>
      <c r="S42" s="8">
        <f t="shared" si="7"/>
        <v>102.3</v>
      </c>
      <c r="T42" s="8">
        <f t="shared" si="8"/>
        <v>99.86</v>
      </c>
      <c r="V42" s="19">
        <v>800</v>
      </c>
      <c r="W42" s="8">
        <f t="shared" si="14"/>
        <v>102.93</v>
      </c>
      <c r="X42" s="8">
        <f t="shared" si="9"/>
        <v>61.97</v>
      </c>
      <c r="Y42" s="8">
        <f t="shared" si="15"/>
        <v>71.97</v>
      </c>
      <c r="AB42" s="20">
        <v>800</v>
      </c>
      <c r="AC42" s="9">
        <f t="shared" si="10"/>
        <v>94.23</v>
      </c>
      <c r="AD42" s="9">
        <f t="shared" si="11"/>
        <v>94.47</v>
      </c>
      <c r="AE42" s="9">
        <f t="shared" si="12"/>
        <v>92.820000000000007</v>
      </c>
      <c r="AG42" s="20">
        <v>800</v>
      </c>
      <c r="AH42" s="9">
        <f t="shared" si="16"/>
        <v>93.839999999999989</v>
      </c>
      <c r="AI42" s="9">
        <f t="shared" si="13"/>
        <v>61.56</v>
      </c>
      <c r="AJ42" s="9">
        <f t="shared" si="17"/>
        <v>71.56</v>
      </c>
      <c r="AM42" s="21">
        <v>800</v>
      </c>
      <c r="AN42" s="10">
        <v>-10</v>
      </c>
      <c r="AP42" s="10">
        <f t="shared" si="18"/>
        <v>61.765000000000001</v>
      </c>
      <c r="AQ42" s="10">
        <f t="shared" si="19"/>
        <v>71.765000000000001</v>
      </c>
      <c r="AT42" s="12">
        <v>800</v>
      </c>
      <c r="AU42" s="78"/>
      <c r="AV42" s="66"/>
      <c r="AW42" s="66"/>
      <c r="AX42" s="66"/>
      <c r="AY42" s="66"/>
      <c r="AZ42" s="66"/>
    </row>
    <row r="43" spans="2:52" ht="16.5">
      <c r="B43" s="61">
        <v>850</v>
      </c>
      <c r="C43" s="70">
        <v>-42.01</v>
      </c>
      <c r="D43" s="70">
        <v>-39.799999999999997</v>
      </c>
      <c r="E43" s="70">
        <v>-38.590000000000003</v>
      </c>
      <c r="F43" s="74">
        <v>-31.21</v>
      </c>
      <c r="G43" s="70">
        <v>-32.17</v>
      </c>
      <c r="H43" s="70">
        <v>-29.1</v>
      </c>
      <c r="J43" s="12">
        <v>850</v>
      </c>
      <c r="K43" s="76">
        <v>43.55</v>
      </c>
      <c r="L43">
        <v>43.09</v>
      </c>
      <c r="M43">
        <v>-0.62</v>
      </c>
      <c r="N43">
        <v>-1.87</v>
      </c>
      <c r="Q43" s="19">
        <v>850</v>
      </c>
      <c r="R43" s="8">
        <f t="shared" si="6"/>
        <v>105.56</v>
      </c>
      <c r="S43" s="8">
        <f t="shared" si="7"/>
        <v>103.35</v>
      </c>
      <c r="T43" s="8">
        <f t="shared" si="8"/>
        <v>102.14</v>
      </c>
      <c r="V43" s="19">
        <v>850</v>
      </c>
      <c r="W43" s="8">
        <f t="shared" si="14"/>
        <v>103.68333333333334</v>
      </c>
      <c r="X43" s="8">
        <f t="shared" si="9"/>
        <v>63.55</v>
      </c>
      <c r="Y43" s="8">
        <f t="shared" si="15"/>
        <v>73.55</v>
      </c>
      <c r="AB43" s="20">
        <v>850</v>
      </c>
      <c r="AC43" s="9">
        <f t="shared" si="10"/>
        <v>94.300000000000011</v>
      </c>
      <c r="AD43" s="9">
        <f t="shared" si="11"/>
        <v>95.26</v>
      </c>
      <c r="AE43" s="9">
        <f t="shared" si="12"/>
        <v>92.19</v>
      </c>
      <c r="AG43" s="20">
        <v>850</v>
      </c>
      <c r="AH43" s="9">
        <f t="shared" si="16"/>
        <v>93.916666666666671</v>
      </c>
      <c r="AI43" s="9">
        <f t="shared" si="13"/>
        <v>63.09</v>
      </c>
      <c r="AJ43" s="9">
        <f t="shared" si="17"/>
        <v>73.09</v>
      </c>
      <c r="AM43" s="21">
        <v>850</v>
      </c>
      <c r="AN43" s="10">
        <v>-10</v>
      </c>
      <c r="AO43" s="10">
        <v>10</v>
      </c>
      <c r="AP43" s="10">
        <f t="shared" si="18"/>
        <v>63.32</v>
      </c>
      <c r="AQ43" s="10">
        <f t="shared" si="19"/>
        <v>73.319999999999993</v>
      </c>
      <c r="AT43" s="12">
        <v>850</v>
      </c>
      <c r="AU43" s="78"/>
      <c r="AV43" s="66"/>
      <c r="AW43" s="66"/>
      <c r="AX43" s="66"/>
      <c r="AY43" s="66"/>
      <c r="AZ43" s="66"/>
    </row>
    <row r="44" spans="2:52" ht="16.5">
      <c r="B44" s="61">
        <v>900</v>
      </c>
      <c r="C44" s="70">
        <v>-46.16</v>
      </c>
      <c r="D44" s="70">
        <v>-39.47</v>
      </c>
      <c r="E44" s="70">
        <v>-37.94</v>
      </c>
      <c r="F44" s="74">
        <v>-29.23</v>
      </c>
      <c r="G44" s="70">
        <v>-30.82</v>
      </c>
      <c r="H44" s="70">
        <v>-27.15</v>
      </c>
      <c r="J44" s="12">
        <v>900</v>
      </c>
      <c r="K44" s="76">
        <v>45.1</v>
      </c>
      <c r="L44">
        <v>44.74</v>
      </c>
      <c r="M44">
        <v>0.49</v>
      </c>
      <c r="N44">
        <v>-0.09</v>
      </c>
      <c r="Q44" s="19">
        <v>900</v>
      </c>
      <c r="R44" s="8">
        <f t="shared" si="6"/>
        <v>111.25999999999999</v>
      </c>
      <c r="S44" s="8">
        <f t="shared" si="7"/>
        <v>104.57</v>
      </c>
      <c r="T44" s="8">
        <f t="shared" si="8"/>
        <v>103.03999999999999</v>
      </c>
      <c r="V44" s="19">
        <v>900</v>
      </c>
      <c r="W44" s="8">
        <f t="shared" si="14"/>
        <v>106.29</v>
      </c>
      <c r="X44" s="8">
        <f t="shared" si="9"/>
        <v>65.099999999999994</v>
      </c>
      <c r="Y44" s="8">
        <f t="shared" si="15"/>
        <v>75.099999999999994</v>
      </c>
      <c r="AB44" s="20">
        <v>900</v>
      </c>
      <c r="AC44" s="9">
        <f t="shared" si="10"/>
        <v>93.970000000000013</v>
      </c>
      <c r="AD44" s="9">
        <f t="shared" si="11"/>
        <v>95.56</v>
      </c>
      <c r="AE44" s="9">
        <f t="shared" si="12"/>
        <v>91.890000000000015</v>
      </c>
      <c r="AG44" s="20">
        <v>900</v>
      </c>
      <c r="AH44" s="9">
        <f t="shared" si="16"/>
        <v>93.806666666666686</v>
      </c>
      <c r="AI44" s="9">
        <f t="shared" si="13"/>
        <v>64.740000000000009</v>
      </c>
      <c r="AJ44" s="9">
        <f t="shared" si="17"/>
        <v>74.740000000000009</v>
      </c>
      <c r="AM44" s="21">
        <v>900</v>
      </c>
      <c r="AN44" s="10">
        <v>-10</v>
      </c>
      <c r="AP44" s="10">
        <f t="shared" si="18"/>
        <v>64.92</v>
      </c>
      <c r="AQ44" s="10">
        <f t="shared" si="19"/>
        <v>74.92</v>
      </c>
      <c r="AT44" s="12">
        <v>900</v>
      </c>
      <c r="AU44" s="78"/>
      <c r="AV44" s="66"/>
      <c r="AW44" s="66"/>
      <c r="AX44" s="66"/>
      <c r="AY44" s="66"/>
      <c r="AZ44" s="66"/>
    </row>
    <row r="45" spans="2:52" ht="16.5">
      <c r="B45" s="61">
        <v>950</v>
      </c>
      <c r="C45" s="70">
        <v>-49.05</v>
      </c>
      <c r="D45" s="70">
        <v>-41</v>
      </c>
      <c r="E45" s="70">
        <v>-36.86</v>
      </c>
      <c r="F45" s="74">
        <v>-27.48</v>
      </c>
      <c r="G45" s="70">
        <v>-28.42</v>
      </c>
      <c r="H45" s="70">
        <v>-25.37</v>
      </c>
      <c r="J45" s="12">
        <v>950</v>
      </c>
      <c r="K45" s="76">
        <v>46.62</v>
      </c>
      <c r="L45">
        <v>46.18</v>
      </c>
      <c r="M45">
        <v>2.2400000000000002</v>
      </c>
      <c r="N45">
        <v>0.64</v>
      </c>
      <c r="Q45" s="19">
        <v>950</v>
      </c>
      <c r="R45" s="8">
        <f t="shared" si="6"/>
        <v>115.67</v>
      </c>
      <c r="S45" s="8">
        <f t="shared" si="7"/>
        <v>107.62</v>
      </c>
      <c r="T45" s="8">
        <f t="shared" si="8"/>
        <v>103.48</v>
      </c>
      <c r="V45" s="19">
        <v>950</v>
      </c>
      <c r="W45" s="8">
        <f t="shared" si="14"/>
        <v>108.92333333333335</v>
      </c>
      <c r="X45" s="8">
        <f t="shared" si="9"/>
        <v>66.62</v>
      </c>
      <c r="Y45" s="8">
        <f t="shared" si="15"/>
        <v>76.62</v>
      </c>
      <c r="AB45" s="20">
        <v>950</v>
      </c>
      <c r="AC45" s="9">
        <f t="shared" si="10"/>
        <v>93.660000000000011</v>
      </c>
      <c r="AD45" s="9">
        <f t="shared" si="11"/>
        <v>94.600000000000009</v>
      </c>
      <c r="AE45" s="9">
        <f t="shared" si="12"/>
        <v>91.550000000000011</v>
      </c>
      <c r="AG45" s="20">
        <v>950</v>
      </c>
      <c r="AH45" s="9">
        <f t="shared" si="16"/>
        <v>93.270000000000024</v>
      </c>
      <c r="AI45" s="9">
        <f t="shared" si="13"/>
        <v>66.180000000000007</v>
      </c>
      <c r="AJ45" s="9">
        <f t="shared" si="17"/>
        <v>76.180000000000007</v>
      </c>
      <c r="AM45" s="21">
        <v>950</v>
      </c>
      <c r="AN45" s="10">
        <v>-10</v>
      </c>
      <c r="AP45" s="10">
        <f t="shared" si="18"/>
        <v>66.400000000000006</v>
      </c>
      <c r="AQ45" s="10">
        <f t="shared" si="19"/>
        <v>76.400000000000006</v>
      </c>
      <c r="AT45" s="12">
        <v>950</v>
      </c>
      <c r="AU45" s="78"/>
      <c r="AV45" s="66"/>
      <c r="AW45" s="66"/>
      <c r="AX45" s="66"/>
      <c r="AY45" s="66"/>
      <c r="AZ45" s="66"/>
    </row>
    <row r="46" spans="2:52" ht="16.5">
      <c r="B46" s="61">
        <v>1000</v>
      </c>
      <c r="C46" s="70">
        <v>-48.19</v>
      </c>
      <c r="D46" s="70">
        <v>-44.44</v>
      </c>
      <c r="E46" s="70">
        <v>-33.200000000000003</v>
      </c>
      <c r="F46" s="74">
        <v>-26.21</v>
      </c>
      <c r="G46" s="70">
        <v>-26.92</v>
      </c>
      <c r="H46" s="70">
        <v>-23.47</v>
      </c>
      <c r="J46" s="12">
        <v>1000</v>
      </c>
      <c r="K46" s="76">
        <v>47.42</v>
      </c>
      <c r="L46">
        <v>46.92</v>
      </c>
      <c r="M46">
        <v>2.33</v>
      </c>
      <c r="N46">
        <v>2.2000000000000002</v>
      </c>
      <c r="Q46" s="19">
        <v>1000</v>
      </c>
      <c r="R46" s="8">
        <f t="shared" si="6"/>
        <v>115.61</v>
      </c>
      <c r="S46" s="8">
        <f t="shared" si="7"/>
        <v>111.86</v>
      </c>
      <c r="T46" s="8">
        <f t="shared" si="8"/>
        <v>100.62</v>
      </c>
      <c r="V46" s="19">
        <v>1000</v>
      </c>
      <c r="W46" s="8">
        <f t="shared" si="14"/>
        <v>109.36333333333334</v>
      </c>
      <c r="X46" s="8">
        <f t="shared" si="9"/>
        <v>67.42</v>
      </c>
      <c r="Y46" s="8">
        <f t="shared" si="15"/>
        <v>77.42</v>
      </c>
      <c r="AB46" s="20">
        <v>1000</v>
      </c>
      <c r="AC46" s="9">
        <f t="shared" si="10"/>
        <v>93.13</v>
      </c>
      <c r="AD46" s="9">
        <f t="shared" si="11"/>
        <v>93.84</v>
      </c>
      <c r="AE46" s="9">
        <f t="shared" si="12"/>
        <v>90.39</v>
      </c>
      <c r="AG46" s="20">
        <v>1000</v>
      </c>
      <c r="AH46" s="9">
        <f t="shared" si="16"/>
        <v>92.453333333333333</v>
      </c>
      <c r="AI46" s="9">
        <f t="shared" si="13"/>
        <v>66.92</v>
      </c>
      <c r="AJ46" s="9">
        <f t="shared" si="17"/>
        <v>76.92</v>
      </c>
      <c r="AM46" s="21">
        <v>1000</v>
      </c>
      <c r="AN46" s="10">
        <v>-10</v>
      </c>
      <c r="AO46" s="10">
        <v>10</v>
      </c>
      <c r="AP46" s="10">
        <f t="shared" si="18"/>
        <v>67.17</v>
      </c>
      <c r="AQ46" s="10">
        <f t="shared" si="19"/>
        <v>77.17</v>
      </c>
      <c r="AT46" s="12">
        <v>1000</v>
      </c>
      <c r="AU46" s="78"/>
      <c r="AV46" s="66"/>
      <c r="AW46" s="66"/>
      <c r="AX46" s="66"/>
      <c r="AY46" s="66"/>
      <c r="AZ46" s="66"/>
    </row>
    <row r="47" spans="2:52" ht="16.5">
      <c r="B47" s="61">
        <v>1060</v>
      </c>
      <c r="C47" s="70">
        <v>-44.19</v>
      </c>
      <c r="D47" s="70">
        <v>-46.04</v>
      </c>
      <c r="E47" s="70">
        <v>-31.39</v>
      </c>
      <c r="F47" s="74">
        <v>-25.67</v>
      </c>
      <c r="G47" s="70">
        <v>-26.93</v>
      </c>
      <c r="H47" s="70">
        <v>-22.3</v>
      </c>
      <c r="J47" s="12">
        <v>1060</v>
      </c>
      <c r="K47" s="76">
        <v>47.67</v>
      </c>
      <c r="L47">
        <v>47.13</v>
      </c>
      <c r="M47">
        <v>1.78</v>
      </c>
      <c r="N47">
        <v>1.75</v>
      </c>
      <c r="Q47" s="19">
        <v>1060</v>
      </c>
      <c r="R47" s="8">
        <f t="shared" si="6"/>
        <v>111.86</v>
      </c>
      <c r="S47" s="8">
        <f t="shared" si="7"/>
        <v>113.71000000000001</v>
      </c>
      <c r="T47" s="8">
        <f t="shared" si="8"/>
        <v>99.06</v>
      </c>
      <c r="V47" s="19">
        <v>1060</v>
      </c>
      <c r="W47" s="8">
        <f t="shared" si="14"/>
        <v>108.21</v>
      </c>
      <c r="X47" s="8">
        <f t="shared" si="9"/>
        <v>67.67</v>
      </c>
      <c r="Y47" s="8">
        <f t="shared" si="15"/>
        <v>77.67</v>
      </c>
      <c r="AB47" s="20">
        <v>1060</v>
      </c>
      <c r="AC47" s="9">
        <f t="shared" si="10"/>
        <v>92.8</v>
      </c>
      <c r="AD47" s="9">
        <f t="shared" si="11"/>
        <v>94.06</v>
      </c>
      <c r="AE47" s="9">
        <f t="shared" si="12"/>
        <v>89.429999999999993</v>
      </c>
      <c r="AG47" s="20">
        <v>1060</v>
      </c>
      <c r="AH47" s="9">
        <f t="shared" si="16"/>
        <v>92.096666666666678</v>
      </c>
      <c r="AI47" s="9">
        <f t="shared" si="13"/>
        <v>67.13</v>
      </c>
      <c r="AJ47" s="9">
        <f t="shared" si="17"/>
        <v>77.13</v>
      </c>
      <c r="AM47" s="21">
        <v>1060</v>
      </c>
      <c r="AN47" s="10">
        <v>-10</v>
      </c>
      <c r="AP47" s="10">
        <f t="shared" si="18"/>
        <v>67.400000000000006</v>
      </c>
      <c r="AQ47" s="10">
        <f t="shared" si="19"/>
        <v>77.400000000000006</v>
      </c>
      <c r="AT47" s="12">
        <v>1060</v>
      </c>
      <c r="AU47" s="78"/>
      <c r="AV47" s="66"/>
      <c r="AW47" s="66"/>
      <c r="AX47" s="66"/>
      <c r="AY47" s="66"/>
      <c r="AZ47" s="66"/>
    </row>
    <row r="48" spans="2:52" ht="16.5">
      <c r="B48" s="61">
        <v>1120</v>
      </c>
      <c r="C48" s="70">
        <v>-44.96</v>
      </c>
      <c r="D48" s="70">
        <v>-47.12</v>
      </c>
      <c r="E48" s="70">
        <v>-31.86</v>
      </c>
      <c r="F48" s="74">
        <v>-26.36</v>
      </c>
      <c r="G48" s="70">
        <v>-28.14</v>
      </c>
      <c r="H48" s="70">
        <v>-23.05</v>
      </c>
      <c r="J48" s="12">
        <v>1120</v>
      </c>
      <c r="K48" s="76">
        <v>47.25</v>
      </c>
      <c r="L48">
        <v>46.86</v>
      </c>
      <c r="M48">
        <v>2.0299999999999998</v>
      </c>
      <c r="N48">
        <v>0.37</v>
      </c>
      <c r="Q48" s="19">
        <v>1120</v>
      </c>
      <c r="R48" s="8">
        <f t="shared" si="6"/>
        <v>112.21000000000001</v>
      </c>
      <c r="S48" s="8">
        <f t="shared" si="7"/>
        <v>114.37</v>
      </c>
      <c r="T48" s="8">
        <f t="shared" si="8"/>
        <v>99.11</v>
      </c>
      <c r="V48" s="19">
        <v>1120</v>
      </c>
      <c r="W48" s="8">
        <f t="shared" si="14"/>
        <v>108.56333333333333</v>
      </c>
      <c r="X48" s="8">
        <f t="shared" si="9"/>
        <v>67.25</v>
      </c>
      <c r="Y48" s="8">
        <f t="shared" si="15"/>
        <v>77.25</v>
      </c>
      <c r="AB48" s="20">
        <v>1120</v>
      </c>
      <c r="AC48" s="9">
        <f t="shared" si="10"/>
        <v>93.22</v>
      </c>
      <c r="AD48" s="9">
        <f t="shared" si="11"/>
        <v>95</v>
      </c>
      <c r="AE48" s="9">
        <f t="shared" si="12"/>
        <v>89.91</v>
      </c>
      <c r="AG48" s="20">
        <v>1120</v>
      </c>
      <c r="AH48" s="9">
        <f t="shared" si="16"/>
        <v>92.71</v>
      </c>
      <c r="AI48" s="9">
        <f t="shared" si="13"/>
        <v>66.86</v>
      </c>
      <c r="AJ48" s="9">
        <f t="shared" si="17"/>
        <v>76.86</v>
      </c>
      <c r="AM48" s="21">
        <v>1120</v>
      </c>
      <c r="AN48" s="10">
        <v>-10</v>
      </c>
      <c r="AP48" s="10">
        <f t="shared" si="18"/>
        <v>67.055000000000007</v>
      </c>
      <c r="AQ48" s="10">
        <f t="shared" si="19"/>
        <v>77.055000000000007</v>
      </c>
      <c r="AT48" s="12">
        <v>1120</v>
      </c>
      <c r="AU48" s="78"/>
      <c r="AV48" s="66"/>
      <c r="AW48" s="66"/>
      <c r="AX48" s="66"/>
      <c r="AY48" s="66"/>
      <c r="AZ48" s="66"/>
    </row>
    <row r="49" spans="2:52" ht="16.5">
      <c r="B49" s="61">
        <v>1180</v>
      </c>
      <c r="C49" s="70">
        <v>-45.02</v>
      </c>
      <c r="D49" s="70">
        <v>-55.93</v>
      </c>
      <c r="E49" s="70">
        <v>-32.08</v>
      </c>
      <c r="F49" s="74">
        <v>-26.86</v>
      </c>
      <c r="G49" s="70">
        <v>-29.42</v>
      </c>
      <c r="H49" s="70">
        <v>-23.87</v>
      </c>
      <c r="J49" s="12">
        <v>1180</v>
      </c>
      <c r="K49" s="76">
        <v>46.66</v>
      </c>
      <c r="L49">
        <v>46.04</v>
      </c>
      <c r="M49">
        <v>0.39</v>
      </c>
      <c r="N49">
        <v>-0.25</v>
      </c>
      <c r="Q49" s="19">
        <v>1180</v>
      </c>
      <c r="R49" s="8">
        <f t="shared" si="6"/>
        <v>111.68</v>
      </c>
      <c r="S49" s="8">
        <f t="shared" si="7"/>
        <v>122.59</v>
      </c>
      <c r="T49" s="8">
        <f t="shared" si="8"/>
        <v>98.74</v>
      </c>
      <c r="V49" s="19">
        <v>1180</v>
      </c>
      <c r="W49" s="8">
        <f t="shared" si="14"/>
        <v>111.00333333333333</v>
      </c>
      <c r="X49" s="8">
        <f t="shared" si="9"/>
        <v>66.66</v>
      </c>
      <c r="Y49" s="8">
        <f t="shared" si="15"/>
        <v>76.66</v>
      </c>
      <c r="AB49" s="20">
        <v>1180</v>
      </c>
      <c r="AC49" s="9">
        <f t="shared" si="10"/>
        <v>92.899999999999991</v>
      </c>
      <c r="AD49" s="9">
        <f t="shared" si="11"/>
        <v>95.46</v>
      </c>
      <c r="AE49" s="9">
        <f t="shared" si="12"/>
        <v>89.91</v>
      </c>
      <c r="AG49" s="20">
        <v>1180</v>
      </c>
      <c r="AH49" s="9">
        <f t="shared" si="16"/>
        <v>92.756666666666661</v>
      </c>
      <c r="AI49" s="9">
        <f t="shared" si="13"/>
        <v>66.039999999999992</v>
      </c>
      <c r="AJ49" s="9">
        <f t="shared" si="17"/>
        <v>76.039999999999992</v>
      </c>
      <c r="AM49" s="21">
        <v>1180</v>
      </c>
      <c r="AN49" s="10">
        <v>-10</v>
      </c>
      <c r="AO49" s="10">
        <v>10</v>
      </c>
      <c r="AP49" s="10">
        <f t="shared" si="18"/>
        <v>66.349999999999994</v>
      </c>
      <c r="AQ49" s="10">
        <f t="shared" si="19"/>
        <v>76.349999999999994</v>
      </c>
      <c r="AT49" s="12">
        <v>1180</v>
      </c>
      <c r="AU49" s="78"/>
      <c r="AV49" s="66"/>
      <c r="AW49" s="66"/>
      <c r="AX49" s="66"/>
      <c r="AY49" s="66"/>
      <c r="AZ49" s="66"/>
    </row>
    <row r="50" spans="2:52" ht="16.5">
      <c r="B50" s="61">
        <v>1250</v>
      </c>
      <c r="C50" s="70">
        <v>-44.91</v>
      </c>
      <c r="D50" s="70">
        <v>-49</v>
      </c>
      <c r="E50" s="70">
        <v>-32.880000000000003</v>
      </c>
      <c r="F50" s="74">
        <v>-27.29</v>
      </c>
      <c r="G50" s="70">
        <v>-30.27</v>
      </c>
      <c r="H50" s="70">
        <v>-24.89</v>
      </c>
      <c r="J50" s="12">
        <v>1250</v>
      </c>
      <c r="K50" s="76">
        <v>46.26</v>
      </c>
      <c r="L50">
        <v>45.75</v>
      </c>
      <c r="M50">
        <v>1.2</v>
      </c>
      <c r="N50">
        <v>-0.56999999999999995</v>
      </c>
      <c r="Q50" s="19">
        <v>1250</v>
      </c>
      <c r="R50" s="8">
        <f t="shared" si="6"/>
        <v>111.16999999999999</v>
      </c>
      <c r="S50" s="8">
        <f t="shared" si="7"/>
        <v>115.25999999999999</v>
      </c>
      <c r="T50" s="8">
        <f t="shared" si="8"/>
        <v>99.139999999999986</v>
      </c>
      <c r="V50" s="19">
        <v>1250</v>
      </c>
      <c r="W50" s="8">
        <f t="shared" si="14"/>
        <v>108.52333333333331</v>
      </c>
      <c r="X50" s="8">
        <f t="shared" si="9"/>
        <v>66.259999999999991</v>
      </c>
      <c r="Y50" s="8">
        <f t="shared" si="15"/>
        <v>76.259999999999991</v>
      </c>
      <c r="AB50" s="20">
        <v>1250</v>
      </c>
      <c r="AC50" s="9">
        <f t="shared" si="10"/>
        <v>93.039999999999992</v>
      </c>
      <c r="AD50" s="9">
        <f t="shared" si="11"/>
        <v>96.02</v>
      </c>
      <c r="AE50" s="9">
        <f t="shared" si="12"/>
        <v>90.64</v>
      </c>
      <c r="AG50" s="20">
        <v>1250</v>
      </c>
      <c r="AH50" s="9">
        <f t="shared" si="16"/>
        <v>93.233333333333334</v>
      </c>
      <c r="AI50" s="9">
        <f t="shared" si="13"/>
        <v>65.75</v>
      </c>
      <c r="AJ50" s="9">
        <f t="shared" si="17"/>
        <v>75.75</v>
      </c>
      <c r="AM50" s="21">
        <v>1250</v>
      </c>
      <c r="AN50" s="10">
        <v>-10</v>
      </c>
      <c r="AP50" s="10">
        <f t="shared" si="18"/>
        <v>66.004999999999995</v>
      </c>
      <c r="AQ50" s="10">
        <f t="shared" si="19"/>
        <v>76.004999999999995</v>
      </c>
      <c r="AT50" s="12">
        <v>1250</v>
      </c>
      <c r="AU50" s="78"/>
      <c r="AV50" s="66"/>
      <c r="AW50" s="66"/>
      <c r="AX50" s="66"/>
      <c r="AY50" s="66"/>
      <c r="AZ50" s="66"/>
    </row>
    <row r="51" spans="2:52" ht="16.5">
      <c r="B51" s="61">
        <v>1320</v>
      </c>
      <c r="C51" s="70">
        <v>-41.42</v>
      </c>
      <c r="D51" s="70">
        <v>-47.73</v>
      </c>
      <c r="E51" s="70">
        <v>-34</v>
      </c>
      <c r="F51" s="74">
        <v>-28.05</v>
      </c>
      <c r="G51" s="70">
        <v>-30.98</v>
      </c>
      <c r="H51" s="70">
        <v>-25.59</v>
      </c>
      <c r="J51" s="12">
        <v>1320</v>
      </c>
      <c r="K51" s="76">
        <v>46.28</v>
      </c>
      <c r="L51">
        <v>45.56</v>
      </c>
      <c r="M51">
        <v>0.54</v>
      </c>
      <c r="N51">
        <v>-0.82</v>
      </c>
      <c r="Q51" s="19">
        <v>1320</v>
      </c>
      <c r="R51" s="8">
        <f t="shared" si="6"/>
        <v>107.7</v>
      </c>
      <c r="S51" s="8">
        <f t="shared" si="7"/>
        <v>114.00999999999999</v>
      </c>
      <c r="T51" s="8">
        <f t="shared" si="8"/>
        <v>100.28</v>
      </c>
      <c r="V51" s="19">
        <v>1320</v>
      </c>
      <c r="W51" s="8">
        <f t="shared" si="14"/>
        <v>107.33</v>
      </c>
      <c r="X51" s="8">
        <f t="shared" si="9"/>
        <v>66.28</v>
      </c>
      <c r="Y51" s="8">
        <f t="shared" si="15"/>
        <v>76.28</v>
      </c>
      <c r="AB51" s="20">
        <v>1320</v>
      </c>
      <c r="AC51" s="9">
        <f t="shared" si="10"/>
        <v>93.61</v>
      </c>
      <c r="AD51" s="9">
        <f t="shared" si="11"/>
        <v>96.54</v>
      </c>
      <c r="AE51" s="9">
        <f t="shared" si="12"/>
        <v>91.15</v>
      </c>
      <c r="AG51" s="20">
        <v>1320</v>
      </c>
      <c r="AH51" s="9">
        <f t="shared" si="16"/>
        <v>93.766666666666666</v>
      </c>
      <c r="AI51" s="9">
        <f t="shared" si="13"/>
        <v>65.56</v>
      </c>
      <c r="AJ51" s="9">
        <f t="shared" si="17"/>
        <v>75.56</v>
      </c>
      <c r="AM51" s="21">
        <v>1320</v>
      </c>
      <c r="AN51" s="10">
        <v>-10</v>
      </c>
      <c r="AP51" s="10">
        <f t="shared" si="18"/>
        <v>65.92</v>
      </c>
      <c r="AQ51" s="10">
        <f t="shared" si="19"/>
        <v>75.92</v>
      </c>
      <c r="AT51" s="12">
        <v>1320</v>
      </c>
      <c r="AU51" s="78"/>
      <c r="AV51" s="66"/>
      <c r="AW51" s="66"/>
      <c r="AX51" s="66"/>
      <c r="AY51" s="66"/>
      <c r="AZ51" s="66"/>
    </row>
    <row r="52" spans="2:52" ht="16.5">
      <c r="B52" s="61">
        <v>1400</v>
      </c>
      <c r="C52" s="70">
        <v>-41.7</v>
      </c>
      <c r="D52" s="70">
        <v>-57.51</v>
      </c>
      <c r="E52" s="70">
        <v>-35.33</v>
      </c>
      <c r="F52" s="74">
        <v>-29.51</v>
      </c>
      <c r="G52" s="70">
        <v>-30.92</v>
      </c>
      <c r="H52" s="70">
        <v>-26.23</v>
      </c>
      <c r="J52" s="12">
        <v>1400</v>
      </c>
      <c r="K52" s="76">
        <v>45.63</v>
      </c>
      <c r="L52">
        <v>45.15</v>
      </c>
      <c r="M52">
        <v>1.02</v>
      </c>
      <c r="N52">
        <v>-0.76</v>
      </c>
      <c r="Q52" s="19">
        <v>1400</v>
      </c>
      <c r="R52" s="8">
        <f t="shared" si="6"/>
        <v>107.33</v>
      </c>
      <c r="S52" s="8">
        <f t="shared" si="7"/>
        <v>123.13999999999999</v>
      </c>
      <c r="T52" s="8">
        <f t="shared" si="8"/>
        <v>100.96</v>
      </c>
      <c r="V52" s="19">
        <v>1400</v>
      </c>
      <c r="W52" s="8">
        <f t="shared" si="14"/>
        <v>110.47666666666665</v>
      </c>
      <c r="X52" s="8">
        <f t="shared" si="9"/>
        <v>65.63</v>
      </c>
      <c r="Y52" s="8">
        <f t="shared" si="15"/>
        <v>75.63</v>
      </c>
      <c r="AB52" s="20">
        <v>1400</v>
      </c>
      <c r="AC52" s="9">
        <f t="shared" si="10"/>
        <v>94.660000000000011</v>
      </c>
      <c r="AD52" s="9">
        <f t="shared" si="11"/>
        <v>96.070000000000007</v>
      </c>
      <c r="AE52" s="9">
        <f t="shared" si="12"/>
        <v>91.38000000000001</v>
      </c>
      <c r="AG52" s="20">
        <v>1400</v>
      </c>
      <c r="AH52" s="9">
        <f t="shared" si="16"/>
        <v>94.036666666666676</v>
      </c>
      <c r="AI52" s="9">
        <f t="shared" si="13"/>
        <v>65.150000000000006</v>
      </c>
      <c r="AJ52" s="9">
        <f t="shared" si="17"/>
        <v>75.150000000000006</v>
      </c>
      <c r="AM52" s="21">
        <v>1400</v>
      </c>
      <c r="AN52" s="10">
        <v>-10</v>
      </c>
      <c r="AO52" s="10">
        <v>10</v>
      </c>
      <c r="AP52" s="10">
        <f t="shared" si="18"/>
        <v>65.39</v>
      </c>
      <c r="AQ52" s="10">
        <f t="shared" si="19"/>
        <v>75.39</v>
      </c>
      <c r="AT52" s="12">
        <v>1400</v>
      </c>
      <c r="AU52" s="78"/>
      <c r="AV52" s="66"/>
      <c r="AW52" s="66"/>
      <c r="AX52" s="66"/>
      <c r="AY52" s="66"/>
      <c r="AZ52" s="66"/>
    </row>
    <row r="53" spans="2:52" ht="16.5">
      <c r="B53" s="61">
        <v>1500</v>
      </c>
      <c r="C53" s="70">
        <v>-45.29</v>
      </c>
      <c r="D53" s="70">
        <v>-54.04</v>
      </c>
      <c r="E53" s="70">
        <v>-34.909999999999997</v>
      </c>
      <c r="F53" s="74">
        <v>-31.13</v>
      </c>
      <c r="G53" s="70">
        <v>-28.91</v>
      </c>
      <c r="H53" s="70">
        <v>-26.68</v>
      </c>
      <c r="J53" s="12">
        <v>1500</v>
      </c>
      <c r="K53" s="76">
        <v>45.02</v>
      </c>
      <c r="L53">
        <v>44.38</v>
      </c>
      <c r="M53">
        <v>1.06</v>
      </c>
      <c r="N53">
        <v>-0.26</v>
      </c>
      <c r="Q53" s="19">
        <v>1500</v>
      </c>
      <c r="R53" s="8">
        <f t="shared" si="6"/>
        <v>110.31</v>
      </c>
      <c r="S53" s="8">
        <f t="shared" si="7"/>
        <v>119.06</v>
      </c>
      <c r="T53" s="8">
        <f t="shared" si="8"/>
        <v>99.93</v>
      </c>
      <c r="V53" s="19">
        <v>1500</v>
      </c>
      <c r="W53" s="8">
        <f t="shared" si="14"/>
        <v>109.76666666666667</v>
      </c>
      <c r="X53" s="8">
        <f t="shared" si="9"/>
        <v>65.02000000000001</v>
      </c>
      <c r="Y53" s="8">
        <f t="shared" si="15"/>
        <v>75.02000000000001</v>
      </c>
      <c r="AB53" s="20">
        <v>1500</v>
      </c>
      <c r="AC53" s="9">
        <f t="shared" si="10"/>
        <v>95.509999999999991</v>
      </c>
      <c r="AD53" s="9">
        <f t="shared" si="11"/>
        <v>93.289999999999992</v>
      </c>
      <c r="AE53" s="9">
        <f t="shared" si="12"/>
        <v>91.06</v>
      </c>
      <c r="AG53" s="20">
        <v>1500</v>
      </c>
      <c r="AH53" s="9">
        <f t="shared" si="16"/>
        <v>93.286666666666676</v>
      </c>
      <c r="AI53" s="9">
        <f t="shared" si="13"/>
        <v>64.38</v>
      </c>
      <c r="AJ53" s="9">
        <f t="shared" si="17"/>
        <v>74.38</v>
      </c>
      <c r="AM53" s="21">
        <v>1500</v>
      </c>
      <c r="AN53" s="10">
        <v>-10</v>
      </c>
      <c r="AP53" s="10">
        <f t="shared" si="18"/>
        <v>64.7</v>
      </c>
      <c r="AQ53" s="10">
        <f t="shared" si="19"/>
        <v>74.7</v>
      </c>
      <c r="AT53" s="12">
        <v>1500</v>
      </c>
      <c r="AU53" s="78"/>
      <c r="AV53" s="66"/>
      <c r="AW53" s="66"/>
      <c r="AX53" s="66"/>
      <c r="AY53" s="66"/>
      <c r="AZ53" s="66"/>
    </row>
    <row r="54" spans="2:52" ht="16.5">
      <c r="B54" s="61">
        <v>1600</v>
      </c>
      <c r="C54" s="70">
        <v>-47.42</v>
      </c>
      <c r="D54" s="70">
        <v>-50.75</v>
      </c>
      <c r="E54" s="70">
        <v>-34.57</v>
      </c>
      <c r="F54" s="74">
        <v>-32.1</v>
      </c>
      <c r="G54" s="70">
        <v>-27.33</v>
      </c>
      <c r="H54" s="70">
        <v>-28</v>
      </c>
      <c r="J54" s="12">
        <v>1600</v>
      </c>
      <c r="K54" s="76">
        <v>44.82</v>
      </c>
      <c r="L54">
        <v>44.23</v>
      </c>
      <c r="M54">
        <v>1.89</v>
      </c>
      <c r="N54">
        <v>-0.41</v>
      </c>
      <c r="Q54" s="19">
        <v>1600</v>
      </c>
      <c r="R54" s="8">
        <f t="shared" si="6"/>
        <v>112.24</v>
      </c>
      <c r="S54" s="8">
        <f t="shared" si="7"/>
        <v>115.57</v>
      </c>
      <c r="T54" s="8">
        <f t="shared" si="8"/>
        <v>99.389999999999986</v>
      </c>
      <c r="V54" s="19">
        <v>1600</v>
      </c>
      <c r="W54" s="8">
        <f t="shared" si="14"/>
        <v>109.06666666666666</v>
      </c>
      <c r="X54" s="8">
        <f t="shared" si="9"/>
        <v>64.819999999999993</v>
      </c>
      <c r="Y54" s="8">
        <f t="shared" si="15"/>
        <v>74.819999999999993</v>
      </c>
      <c r="AB54" s="20">
        <v>1600</v>
      </c>
      <c r="AC54" s="9">
        <f t="shared" si="10"/>
        <v>96.329999999999984</v>
      </c>
      <c r="AD54" s="9">
        <f t="shared" si="11"/>
        <v>91.559999999999988</v>
      </c>
      <c r="AE54" s="9">
        <f t="shared" si="12"/>
        <v>92.22999999999999</v>
      </c>
      <c r="AG54" s="20">
        <v>1600</v>
      </c>
      <c r="AH54" s="9">
        <f t="shared" si="16"/>
        <v>93.373333333333335</v>
      </c>
      <c r="AI54" s="9">
        <f t="shared" si="13"/>
        <v>64.22999999999999</v>
      </c>
      <c r="AJ54" s="9">
        <f t="shared" si="17"/>
        <v>74.22999999999999</v>
      </c>
      <c r="AM54" s="21">
        <v>1600</v>
      </c>
      <c r="AN54" s="10">
        <v>-10</v>
      </c>
      <c r="AP54" s="10">
        <f t="shared" si="18"/>
        <v>64.524999999999991</v>
      </c>
      <c r="AQ54" s="10">
        <f t="shared" si="19"/>
        <v>74.524999999999991</v>
      </c>
      <c r="AT54" s="12">
        <v>1600</v>
      </c>
      <c r="AU54" s="78"/>
      <c r="AV54" s="66"/>
      <c r="AW54" s="66"/>
      <c r="AX54" s="66"/>
      <c r="AY54" s="66"/>
      <c r="AZ54" s="66"/>
    </row>
    <row r="55" spans="2:52" ht="16.5">
      <c r="B55" s="61">
        <v>1700</v>
      </c>
      <c r="C55" s="70">
        <v>-42.57</v>
      </c>
      <c r="D55" s="70">
        <v>-46.07</v>
      </c>
      <c r="E55" s="70">
        <v>-33.880000000000003</v>
      </c>
      <c r="F55" s="74">
        <v>-32.24</v>
      </c>
      <c r="G55" s="70">
        <v>-26.09</v>
      </c>
      <c r="H55" s="70">
        <v>-29.12</v>
      </c>
      <c r="J55" s="12">
        <v>1700</v>
      </c>
      <c r="K55" s="76">
        <v>44.95</v>
      </c>
      <c r="L55">
        <v>44.26</v>
      </c>
      <c r="M55">
        <v>1.61</v>
      </c>
      <c r="N55">
        <v>0.19</v>
      </c>
      <c r="Q55" s="19">
        <v>1700</v>
      </c>
      <c r="R55" s="8">
        <f t="shared" si="6"/>
        <v>107.52000000000001</v>
      </c>
      <c r="S55" s="8">
        <f t="shared" si="7"/>
        <v>111.02000000000001</v>
      </c>
      <c r="T55" s="8">
        <f t="shared" si="8"/>
        <v>98.830000000000013</v>
      </c>
      <c r="V55" s="19">
        <v>1700</v>
      </c>
      <c r="W55" s="8">
        <f t="shared" si="14"/>
        <v>105.79</v>
      </c>
      <c r="X55" s="8">
        <f t="shared" si="9"/>
        <v>64.95</v>
      </c>
      <c r="Y55" s="8">
        <f t="shared" si="15"/>
        <v>74.95</v>
      </c>
      <c r="AB55" s="20">
        <v>1700</v>
      </c>
      <c r="AC55" s="9">
        <f t="shared" si="10"/>
        <v>96.5</v>
      </c>
      <c r="AD55" s="9">
        <f t="shared" si="11"/>
        <v>90.35</v>
      </c>
      <c r="AE55" s="9">
        <f t="shared" si="12"/>
        <v>93.38</v>
      </c>
      <c r="AG55" s="20">
        <v>1700</v>
      </c>
      <c r="AH55" s="9">
        <f t="shared" si="16"/>
        <v>93.410000000000011</v>
      </c>
      <c r="AI55" s="9">
        <f t="shared" si="13"/>
        <v>64.259999999999991</v>
      </c>
      <c r="AJ55" s="9">
        <f t="shared" si="17"/>
        <v>74.259999999999991</v>
      </c>
      <c r="AM55" s="21">
        <v>1700</v>
      </c>
      <c r="AN55" s="10">
        <v>-10</v>
      </c>
      <c r="AO55" s="10">
        <v>10</v>
      </c>
      <c r="AP55" s="10">
        <f t="shared" si="18"/>
        <v>64.60499999999999</v>
      </c>
      <c r="AQ55" s="10">
        <f t="shared" si="19"/>
        <v>74.60499999999999</v>
      </c>
      <c r="AT55" s="12">
        <v>1700</v>
      </c>
      <c r="AU55" s="78"/>
      <c r="AV55" s="66"/>
      <c r="AW55" s="66"/>
      <c r="AX55" s="66"/>
      <c r="AY55" s="66"/>
      <c r="AZ55" s="66"/>
    </row>
    <row r="56" spans="2:52" ht="16.5">
      <c r="B56" s="61">
        <v>1800</v>
      </c>
      <c r="C56" s="70">
        <v>-36.64</v>
      </c>
      <c r="D56" s="70">
        <v>-43.3</v>
      </c>
      <c r="E56" s="70">
        <v>-32.57</v>
      </c>
      <c r="F56" s="74">
        <v>-30.82</v>
      </c>
      <c r="G56" s="70">
        <v>-25.88</v>
      </c>
      <c r="H56" s="70">
        <v>-30.04</v>
      </c>
      <c r="J56" s="12">
        <v>1800</v>
      </c>
      <c r="K56" s="76">
        <v>45.47</v>
      </c>
      <c r="L56">
        <v>44.62</v>
      </c>
      <c r="M56">
        <v>2.81</v>
      </c>
      <c r="N56">
        <v>1.21</v>
      </c>
      <c r="Q56" s="19">
        <v>1800</v>
      </c>
      <c r="R56" s="8">
        <f t="shared" si="6"/>
        <v>102.11</v>
      </c>
      <c r="S56" s="8">
        <f t="shared" si="7"/>
        <v>108.77</v>
      </c>
      <c r="T56" s="8">
        <f t="shared" si="8"/>
        <v>98.039999999999992</v>
      </c>
      <c r="V56" s="19">
        <v>1800</v>
      </c>
      <c r="W56" s="8">
        <f t="shared" si="14"/>
        <v>102.97333333333331</v>
      </c>
      <c r="X56" s="8">
        <f t="shared" si="9"/>
        <v>65.47</v>
      </c>
      <c r="Y56" s="8">
        <f t="shared" si="15"/>
        <v>75.47</v>
      </c>
      <c r="AB56" s="20">
        <v>1800</v>
      </c>
      <c r="AC56" s="9">
        <f t="shared" si="10"/>
        <v>95.44</v>
      </c>
      <c r="AD56" s="9">
        <f t="shared" si="11"/>
        <v>90.5</v>
      </c>
      <c r="AE56" s="9">
        <f t="shared" si="12"/>
        <v>94.66</v>
      </c>
      <c r="AG56" s="20">
        <v>1800</v>
      </c>
      <c r="AH56" s="9">
        <f t="shared" si="16"/>
        <v>93.533333333333346</v>
      </c>
      <c r="AI56" s="9">
        <f t="shared" si="13"/>
        <v>64.62</v>
      </c>
      <c r="AJ56" s="9">
        <f t="shared" si="17"/>
        <v>74.62</v>
      </c>
      <c r="AM56" s="21">
        <v>1800</v>
      </c>
      <c r="AN56" s="10">
        <v>-10</v>
      </c>
      <c r="AP56" s="10">
        <f t="shared" si="18"/>
        <v>65.045000000000002</v>
      </c>
      <c r="AQ56" s="10">
        <f t="shared" si="19"/>
        <v>75.045000000000002</v>
      </c>
      <c r="AT56" s="12">
        <v>1800</v>
      </c>
      <c r="AU56" s="78"/>
      <c r="AV56" s="66"/>
      <c r="AW56" s="66"/>
      <c r="AX56" s="66"/>
      <c r="AY56" s="66"/>
      <c r="AZ56" s="66"/>
    </row>
    <row r="57" spans="2:52" ht="16.5">
      <c r="B57" s="61">
        <v>1900</v>
      </c>
      <c r="C57" s="70">
        <v>-32.450000000000003</v>
      </c>
      <c r="D57" s="70">
        <v>-42.64</v>
      </c>
      <c r="E57" s="70">
        <v>-30.44</v>
      </c>
      <c r="F57" s="74">
        <v>-27.85</v>
      </c>
      <c r="G57" s="70">
        <v>-25.52</v>
      </c>
      <c r="H57" s="70">
        <v>-31.8</v>
      </c>
      <c r="J57" s="12">
        <v>1900</v>
      </c>
      <c r="K57" s="76">
        <v>46.92</v>
      </c>
      <c r="L57">
        <v>45.88</v>
      </c>
      <c r="M57">
        <v>4.82</v>
      </c>
      <c r="N57">
        <v>2.73</v>
      </c>
      <c r="Q57" s="19">
        <v>1900</v>
      </c>
      <c r="R57" s="8">
        <f t="shared" si="6"/>
        <v>99.37</v>
      </c>
      <c r="S57" s="8">
        <f t="shared" si="7"/>
        <v>109.56</v>
      </c>
      <c r="T57" s="8">
        <f t="shared" si="8"/>
        <v>97.36</v>
      </c>
      <c r="V57" s="19">
        <v>1900</v>
      </c>
      <c r="W57" s="8">
        <f t="shared" si="14"/>
        <v>102.09666666666668</v>
      </c>
      <c r="X57" s="8">
        <f t="shared" si="9"/>
        <v>66.92</v>
      </c>
      <c r="Y57" s="8">
        <f t="shared" si="15"/>
        <v>76.92</v>
      </c>
      <c r="AB57" s="20">
        <v>1900</v>
      </c>
      <c r="AC57" s="9">
        <f t="shared" si="10"/>
        <v>93.72999999999999</v>
      </c>
      <c r="AD57" s="9">
        <f t="shared" si="11"/>
        <v>91.399999999999991</v>
      </c>
      <c r="AE57" s="9">
        <f t="shared" si="12"/>
        <v>97.679999999999993</v>
      </c>
      <c r="AG57" s="20">
        <v>1900</v>
      </c>
      <c r="AH57" s="9">
        <f t="shared" si="16"/>
        <v>94.27</v>
      </c>
      <c r="AI57" s="9">
        <f t="shared" si="13"/>
        <v>65.88</v>
      </c>
      <c r="AJ57" s="9">
        <f t="shared" si="17"/>
        <v>75.88</v>
      </c>
      <c r="AM57" s="21">
        <v>1900</v>
      </c>
      <c r="AN57" s="10">
        <v>-10</v>
      </c>
      <c r="AP57" s="10">
        <f t="shared" si="18"/>
        <v>66.400000000000006</v>
      </c>
      <c r="AQ57" s="10">
        <f t="shared" si="19"/>
        <v>76.400000000000006</v>
      </c>
      <c r="AT57" s="12">
        <v>1900</v>
      </c>
      <c r="AU57" s="78"/>
      <c r="AV57" s="66"/>
      <c r="AW57" s="66"/>
      <c r="AX57" s="66"/>
      <c r="AY57" s="66"/>
      <c r="AZ57" s="66"/>
    </row>
    <row r="58" spans="2:52" ht="16.5">
      <c r="B58" s="61">
        <v>2000</v>
      </c>
      <c r="C58" s="70">
        <v>-29.43</v>
      </c>
      <c r="D58" s="70">
        <v>-37.72</v>
      </c>
      <c r="E58" s="70">
        <v>-27.97</v>
      </c>
      <c r="F58" s="74">
        <v>-25.23</v>
      </c>
      <c r="G58" s="70">
        <v>-24.41</v>
      </c>
      <c r="H58" s="70">
        <v>-33.35</v>
      </c>
      <c r="J58" s="12">
        <v>2000</v>
      </c>
      <c r="K58" s="76">
        <v>48.62</v>
      </c>
      <c r="L58">
        <v>47.99</v>
      </c>
      <c r="M58">
        <v>7.36</v>
      </c>
      <c r="N58">
        <v>5.7</v>
      </c>
      <c r="Q58" s="19">
        <v>2000</v>
      </c>
      <c r="R58" s="8">
        <f t="shared" si="6"/>
        <v>98.050000000000011</v>
      </c>
      <c r="S58" s="8">
        <f t="shared" si="7"/>
        <v>106.34</v>
      </c>
      <c r="T58" s="8">
        <f t="shared" si="8"/>
        <v>96.59</v>
      </c>
      <c r="V58" s="19">
        <v>2000</v>
      </c>
      <c r="W58" s="8">
        <f t="shared" si="14"/>
        <v>100.32666666666667</v>
      </c>
      <c r="X58" s="8">
        <f t="shared" si="9"/>
        <v>68.62</v>
      </c>
      <c r="Y58" s="8">
        <f t="shared" si="15"/>
        <v>78.62</v>
      </c>
      <c r="AB58" s="20">
        <v>2000</v>
      </c>
      <c r="AC58" s="9">
        <f t="shared" si="10"/>
        <v>93.220000000000013</v>
      </c>
      <c r="AD58" s="9">
        <f t="shared" si="11"/>
        <v>92.4</v>
      </c>
      <c r="AE58" s="9">
        <f t="shared" si="12"/>
        <v>101.34</v>
      </c>
      <c r="AG58" s="20">
        <v>2000</v>
      </c>
      <c r="AH58" s="9">
        <f t="shared" si="16"/>
        <v>95.65333333333335</v>
      </c>
      <c r="AI58" s="9">
        <f t="shared" si="13"/>
        <v>67.990000000000009</v>
      </c>
      <c r="AJ58" s="9">
        <f t="shared" si="17"/>
        <v>77.990000000000009</v>
      </c>
      <c r="AM58" s="21">
        <v>2000</v>
      </c>
      <c r="AN58" s="10">
        <v>-10</v>
      </c>
      <c r="AO58" s="10">
        <v>10</v>
      </c>
      <c r="AP58" s="10">
        <f t="shared" si="18"/>
        <v>68.305000000000007</v>
      </c>
      <c r="AQ58" s="10">
        <f t="shared" si="19"/>
        <v>78.305000000000007</v>
      </c>
      <c r="AT58" s="12">
        <v>2000</v>
      </c>
      <c r="AU58" s="78"/>
      <c r="AV58" s="66"/>
      <c r="AW58" s="66"/>
      <c r="AX58" s="66"/>
      <c r="AY58" s="66"/>
      <c r="AZ58" s="66"/>
    </row>
    <row r="59" spans="2:52" ht="16.5">
      <c r="B59" s="62">
        <v>2120</v>
      </c>
      <c r="C59" s="70">
        <v>-26.13</v>
      </c>
      <c r="D59" s="70">
        <v>-31.63</v>
      </c>
      <c r="E59" s="70">
        <v>-24.9</v>
      </c>
      <c r="F59" s="74">
        <v>-23.86</v>
      </c>
      <c r="G59" s="70">
        <v>-23.1</v>
      </c>
      <c r="H59" s="70">
        <v>-35.24</v>
      </c>
      <c r="J59" s="12">
        <v>2120</v>
      </c>
      <c r="K59" s="76">
        <v>52.2</v>
      </c>
      <c r="L59">
        <v>51.19</v>
      </c>
      <c r="M59">
        <v>11.37</v>
      </c>
      <c r="N59">
        <v>9.49</v>
      </c>
      <c r="Q59" s="19">
        <v>2120</v>
      </c>
      <c r="R59" s="8">
        <f t="shared" si="6"/>
        <v>98.33</v>
      </c>
      <c r="S59" s="8">
        <f t="shared" si="7"/>
        <v>103.83</v>
      </c>
      <c r="T59" s="8">
        <f t="shared" si="8"/>
        <v>97.1</v>
      </c>
      <c r="V59" s="19">
        <v>2120</v>
      </c>
      <c r="W59" s="8">
        <f t="shared" si="14"/>
        <v>99.75333333333333</v>
      </c>
      <c r="X59" s="8">
        <f t="shared" si="9"/>
        <v>72.2</v>
      </c>
      <c r="Y59" s="8">
        <f t="shared" si="15"/>
        <v>82.2</v>
      </c>
      <c r="AB59" s="20">
        <v>2120</v>
      </c>
      <c r="AC59" s="9">
        <f t="shared" si="10"/>
        <v>95.05</v>
      </c>
      <c r="AD59" s="9">
        <f t="shared" si="11"/>
        <v>94.289999999999992</v>
      </c>
      <c r="AE59" s="9">
        <f t="shared" si="12"/>
        <v>106.43</v>
      </c>
      <c r="AG59" s="20">
        <v>2120</v>
      </c>
      <c r="AH59" s="9">
        <f t="shared" si="16"/>
        <v>98.589999999999989</v>
      </c>
      <c r="AI59" s="9">
        <f t="shared" si="13"/>
        <v>71.19</v>
      </c>
      <c r="AJ59" s="9">
        <f t="shared" si="17"/>
        <v>81.19</v>
      </c>
      <c r="AM59" s="21">
        <v>2120</v>
      </c>
      <c r="AN59" s="10">
        <v>-10</v>
      </c>
      <c r="AP59" s="10">
        <f t="shared" si="18"/>
        <v>71.694999999999993</v>
      </c>
      <c r="AQ59" s="10">
        <f t="shared" si="19"/>
        <v>81.694999999999993</v>
      </c>
      <c r="AT59" s="12">
        <v>2120</v>
      </c>
      <c r="AU59" s="78"/>
      <c r="AV59" s="66"/>
      <c r="AW59" s="66"/>
      <c r="AX59" s="66"/>
      <c r="AY59" s="66"/>
      <c r="AZ59" s="66"/>
    </row>
    <row r="60" spans="2:52" ht="16.5">
      <c r="B60" s="62">
        <v>2240</v>
      </c>
      <c r="C60" s="70">
        <v>-22.81</v>
      </c>
      <c r="D60" s="70">
        <v>-26.52</v>
      </c>
      <c r="E60" s="70">
        <v>-20.87</v>
      </c>
      <c r="F60" s="74">
        <v>-24.01</v>
      </c>
      <c r="G60" s="70">
        <v>-22.12</v>
      </c>
      <c r="H60" s="70">
        <v>-25.82</v>
      </c>
      <c r="J60" s="12">
        <v>2240</v>
      </c>
      <c r="K60" s="76">
        <v>55.44</v>
      </c>
      <c r="L60">
        <v>54.16</v>
      </c>
      <c r="M60">
        <v>15.09</v>
      </c>
      <c r="N60">
        <v>13.2</v>
      </c>
      <c r="Q60" s="19">
        <v>2240</v>
      </c>
      <c r="R60" s="8">
        <f t="shared" si="6"/>
        <v>98.25</v>
      </c>
      <c r="S60" s="8">
        <f t="shared" si="7"/>
        <v>101.96</v>
      </c>
      <c r="T60" s="8">
        <f t="shared" si="8"/>
        <v>96.31</v>
      </c>
      <c r="V60" s="19">
        <v>2240</v>
      </c>
      <c r="W60" s="8">
        <f t="shared" si="14"/>
        <v>98.839999999999989</v>
      </c>
      <c r="X60" s="8">
        <f t="shared" si="9"/>
        <v>75.44</v>
      </c>
      <c r="Y60" s="8">
        <f t="shared" si="15"/>
        <v>85.44</v>
      </c>
      <c r="AB60" s="20">
        <v>2240</v>
      </c>
      <c r="AC60" s="9">
        <f t="shared" si="10"/>
        <v>98.17</v>
      </c>
      <c r="AD60" s="9">
        <f t="shared" si="11"/>
        <v>96.28</v>
      </c>
      <c r="AE60" s="9">
        <f t="shared" si="12"/>
        <v>99.97999999999999</v>
      </c>
      <c r="AG60" s="20">
        <v>2240</v>
      </c>
      <c r="AH60" s="9">
        <f t="shared" si="16"/>
        <v>98.143333333333317</v>
      </c>
      <c r="AI60" s="9">
        <f t="shared" si="13"/>
        <v>74.16</v>
      </c>
      <c r="AJ60" s="9">
        <f t="shared" si="17"/>
        <v>84.16</v>
      </c>
      <c r="AM60" s="21">
        <v>2240</v>
      </c>
      <c r="AN60" s="10">
        <v>-10</v>
      </c>
      <c r="AP60" s="10">
        <f t="shared" si="18"/>
        <v>74.8</v>
      </c>
      <c r="AQ60" s="10">
        <f t="shared" si="19"/>
        <v>84.8</v>
      </c>
      <c r="AT60" s="12">
        <v>2240</v>
      </c>
      <c r="AU60" s="78"/>
      <c r="AV60" s="66"/>
      <c r="AW60" s="66"/>
      <c r="AX60" s="66"/>
      <c r="AY60" s="66"/>
      <c r="AZ60" s="66"/>
    </row>
    <row r="61" spans="2:52" ht="16.5">
      <c r="B61" s="62">
        <v>2360</v>
      </c>
      <c r="C61" s="70">
        <v>-22.56</v>
      </c>
      <c r="D61" s="70">
        <v>-24.77</v>
      </c>
      <c r="E61" s="70">
        <v>-20.84</v>
      </c>
      <c r="F61" s="74">
        <v>-20.94</v>
      </c>
      <c r="G61" s="70">
        <v>-19.25</v>
      </c>
      <c r="H61" s="70">
        <v>-20.28</v>
      </c>
      <c r="J61" s="12">
        <v>2360</v>
      </c>
      <c r="K61" s="76">
        <v>55.19</v>
      </c>
      <c r="L61">
        <v>54.21</v>
      </c>
      <c r="M61">
        <v>15.71</v>
      </c>
      <c r="N61">
        <v>13.38</v>
      </c>
      <c r="Q61" s="19">
        <v>2360</v>
      </c>
      <c r="R61" s="8">
        <f t="shared" si="6"/>
        <v>97.75</v>
      </c>
      <c r="S61" s="8">
        <f t="shared" si="7"/>
        <v>99.96</v>
      </c>
      <c r="T61" s="8">
        <f t="shared" si="8"/>
        <v>96.03</v>
      </c>
      <c r="V61" s="19">
        <v>2360</v>
      </c>
      <c r="W61" s="8">
        <f t="shared" si="14"/>
        <v>97.913333333333341</v>
      </c>
      <c r="X61" s="8">
        <f t="shared" si="9"/>
        <v>75.19</v>
      </c>
      <c r="Y61" s="8">
        <f t="shared" si="15"/>
        <v>85.19</v>
      </c>
      <c r="AB61" s="20">
        <v>2360</v>
      </c>
      <c r="AC61" s="9">
        <f t="shared" si="10"/>
        <v>95.15</v>
      </c>
      <c r="AD61" s="9">
        <f t="shared" si="11"/>
        <v>93.460000000000008</v>
      </c>
      <c r="AE61" s="9">
        <f t="shared" si="12"/>
        <v>94.490000000000009</v>
      </c>
      <c r="AG61" s="20">
        <v>2360</v>
      </c>
      <c r="AH61" s="9">
        <f t="shared" si="16"/>
        <v>94.366666666666674</v>
      </c>
      <c r="AI61" s="9">
        <f t="shared" si="13"/>
        <v>74.210000000000008</v>
      </c>
      <c r="AJ61" s="9">
        <f t="shared" si="17"/>
        <v>84.210000000000008</v>
      </c>
      <c r="AM61" s="21">
        <v>2360</v>
      </c>
      <c r="AN61" s="10">
        <v>-10</v>
      </c>
      <c r="AO61" s="10">
        <v>10</v>
      </c>
      <c r="AP61" s="10">
        <f t="shared" si="18"/>
        <v>74.7</v>
      </c>
      <c r="AQ61" s="10">
        <f t="shared" si="19"/>
        <v>84.7</v>
      </c>
      <c r="AT61" s="12">
        <v>2360</v>
      </c>
      <c r="AU61" s="78"/>
      <c r="AV61" s="66"/>
      <c r="AW61" s="66"/>
      <c r="AX61" s="66"/>
      <c r="AY61" s="66"/>
      <c r="AZ61" s="66"/>
    </row>
    <row r="62" spans="2:52" ht="16.5">
      <c r="B62" s="62">
        <v>2500</v>
      </c>
      <c r="C62" s="70">
        <v>-24.53</v>
      </c>
      <c r="D62" s="70">
        <v>-24.52</v>
      </c>
      <c r="E62" s="70">
        <v>-23.02</v>
      </c>
      <c r="F62" s="74">
        <v>-18.350000000000001</v>
      </c>
      <c r="G62" s="70">
        <v>-17.53</v>
      </c>
      <c r="H62" s="70">
        <v>-18.64</v>
      </c>
      <c r="J62" s="12">
        <v>2500</v>
      </c>
      <c r="K62" s="76">
        <v>52.32</v>
      </c>
      <c r="L62">
        <v>51.23</v>
      </c>
      <c r="M62">
        <v>13.57</v>
      </c>
      <c r="N62">
        <v>11.42</v>
      </c>
      <c r="Q62" s="19">
        <v>2500</v>
      </c>
      <c r="R62" s="8">
        <f t="shared" si="6"/>
        <v>96.85</v>
      </c>
      <c r="S62" s="8">
        <f t="shared" si="7"/>
        <v>96.839999999999989</v>
      </c>
      <c r="T62" s="8">
        <f t="shared" si="8"/>
        <v>95.339999999999989</v>
      </c>
      <c r="V62" s="19">
        <v>2500</v>
      </c>
      <c r="W62" s="8">
        <f t="shared" si="14"/>
        <v>96.34333333333332</v>
      </c>
      <c r="X62" s="8">
        <f t="shared" si="9"/>
        <v>72.319999999999993</v>
      </c>
      <c r="Y62" s="8">
        <f t="shared" si="15"/>
        <v>82.32</v>
      </c>
      <c r="AB62" s="20">
        <v>2500</v>
      </c>
      <c r="AC62" s="9">
        <f t="shared" si="10"/>
        <v>89.579999999999984</v>
      </c>
      <c r="AD62" s="9">
        <f t="shared" si="11"/>
        <v>88.759999999999991</v>
      </c>
      <c r="AE62" s="9">
        <f t="shared" si="12"/>
        <v>89.86999999999999</v>
      </c>
      <c r="AG62" s="20">
        <v>2500</v>
      </c>
      <c r="AH62" s="9">
        <f t="shared" si="16"/>
        <v>89.403333333333322</v>
      </c>
      <c r="AI62" s="9">
        <f t="shared" si="13"/>
        <v>71.22999999999999</v>
      </c>
      <c r="AJ62" s="9">
        <f t="shared" si="17"/>
        <v>81.22999999999999</v>
      </c>
      <c r="AM62" s="21">
        <v>2500</v>
      </c>
      <c r="AN62" s="10">
        <v>-10</v>
      </c>
      <c r="AP62" s="10">
        <f t="shared" si="18"/>
        <v>71.774999999999991</v>
      </c>
      <c r="AQ62" s="10">
        <f t="shared" si="19"/>
        <v>81.774999999999991</v>
      </c>
      <c r="AT62" s="12">
        <v>2500</v>
      </c>
      <c r="AU62" s="78"/>
      <c r="AV62" s="66"/>
      <c r="AW62" s="66"/>
      <c r="AX62" s="66"/>
      <c r="AY62" s="66"/>
      <c r="AZ62" s="66"/>
    </row>
    <row r="63" spans="2:52" ht="16.5">
      <c r="B63" s="62">
        <v>2650</v>
      </c>
      <c r="C63" s="70">
        <v>-25.17</v>
      </c>
      <c r="D63" s="70">
        <v>-23.99</v>
      </c>
      <c r="E63" s="70">
        <v>-25.29</v>
      </c>
      <c r="F63" s="74">
        <v>-17.02</v>
      </c>
      <c r="G63" s="70">
        <v>-16.920000000000002</v>
      </c>
      <c r="H63" s="70">
        <v>-18.18</v>
      </c>
      <c r="J63" s="12">
        <v>2650</v>
      </c>
      <c r="K63" s="76">
        <v>50.04</v>
      </c>
      <c r="L63">
        <v>48.94</v>
      </c>
      <c r="M63">
        <v>11.72</v>
      </c>
      <c r="N63">
        <v>9.48</v>
      </c>
      <c r="Q63" s="19">
        <v>2650</v>
      </c>
      <c r="R63" s="8">
        <f t="shared" si="6"/>
        <v>95.21</v>
      </c>
      <c r="S63" s="8">
        <f t="shared" si="7"/>
        <v>94.029999999999987</v>
      </c>
      <c r="T63" s="8">
        <f t="shared" si="8"/>
        <v>95.329999999999984</v>
      </c>
      <c r="V63" s="19">
        <v>2650</v>
      </c>
      <c r="W63" s="8">
        <f t="shared" si="14"/>
        <v>94.856666666666641</v>
      </c>
      <c r="X63" s="8">
        <f t="shared" si="9"/>
        <v>70.039999999999992</v>
      </c>
      <c r="Y63" s="8">
        <f t="shared" si="15"/>
        <v>80.039999999999992</v>
      </c>
      <c r="AB63" s="20">
        <v>2650</v>
      </c>
      <c r="AC63" s="9">
        <f t="shared" si="10"/>
        <v>85.96</v>
      </c>
      <c r="AD63" s="9">
        <f t="shared" si="11"/>
        <v>85.86</v>
      </c>
      <c r="AE63" s="9">
        <f t="shared" si="12"/>
        <v>87.12</v>
      </c>
      <c r="AG63" s="20">
        <v>2650</v>
      </c>
      <c r="AH63" s="9">
        <f t="shared" si="16"/>
        <v>86.313333333333333</v>
      </c>
      <c r="AI63" s="9">
        <f t="shared" si="13"/>
        <v>68.94</v>
      </c>
      <c r="AJ63" s="9">
        <f t="shared" si="17"/>
        <v>78.94</v>
      </c>
      <c r="AM63" s="21">
        <v>2650</v>
      </c>
      <c r="AN63" s="10">
        <v>-10</v>
      </c>
      <c r="AP63" s="10">
        <f t="shared" si="18"/>
        <v>69.489999999999995</v>
      </c>
      <c r="AQ63" s="10">
        <f t="shared" si="19"/>
        <v>79.489999999999995</v>
      </c>
      <c r="AT63" s="12">
        <v>2650</v>
      </c>
      <c r="AU63" s="78"/>
      <c r="AV63" s="66"/>
      <c r="AW63" s="66"/>
      <c r="AX63" s="66"/>
      <c r="AY63" s="66"/>
      <c r="AZ63" s="66"/>
    </row>
    <row r="64" spans="2:52" ht="16.5">
      <c r="B64" s="62">
        <v>2800</v>
      </c>
      <c r="C64" s="70">
        <v>-23.95</v>
      </c>
      <c r="D64" s="70">
        <v>-23.16</v>
      </c>
      <c r="E64" s="70">
        <v>-24.67</v>
      </c>
      <c r="F64" s="74">
        <v>-16.190000000000001</v>
      </c>
      <c r="G64" s="70">
        <v>-15.92</v>
      </c>
      <c r="H64" s="70">
        <v>-18.14</v>
      </c>
      <c r="J64" s="12">
        <v>2800</v>
      </c>
      <c r="K64" s="76">
        <v>48.27</v>
      </c>
      <c r="L64">
        <v>47.64</v>
      </c>
      <c r="M64">
        <v>10.32</v>
      </c>
      <c r="N64">
        <v>8.51</v>
      </c>
      <c r="Q64" s="19">
        <v>2800</v>
      </c>
      <c r="R64" s="8">
        <f t="shared" si="6"/>
        <v>92.220000000000013</v>
      </c>
      <c r="S64" s="8">
        <f t="shared" si="7"/>
        <v>91.43</v>
      </c>
      <c r="T64" s="8">
        <f t="shared" si="8"/>
        <v>92.940000000000012</v>
      </c>
      <c r="V64" s="19">
        <v>2800</v>
      </c>
      <c r="W64" s="8">
        <f t="shared" si="14"/>
        <v>92.196666666666673</v>
      </c>
      <c r="X64" s="8">
        <f t="shared" si="9"/>
        <v>68.27000000000001</v>
      </c>
      <c r="Y64" s="8">
        <f t="shared" si="15"/>
        <v>78.27000000000001</v>
      </c>
      <c r="AB64" s="20">
        <v>2800</v>
      </c>
      <c r="AC64" s="9">
        <f t="shared" si="10"/>
        <v>83.83</v>
      </c>
      <c r="AD64" s="9">
        <f t="shared" si="11"/>
        <v>83.56</v>
      </c>
      <c r="AE64" s="9">
        <f t="shared" si="12"/>
        <v>85.78</v>
      </c>
      <c r="AG64" s="20">
        <v>2800</v>
      </c>
      <c r="AH64" s="9">
        <f t="shared" si="16"/>
        <v>84.39</v>
      </c>
      <c r="AI64" s="9">
        <f t="shared" si="13"/>
        <v>67.64</v>
      </c>
      <c r="AJ64" s="9">
        <f t="shared" si="17"/>
        <v>77.64</v>
      </c>
      <c r="AM64" s="21">
        <v>2800</v>
      </c>
      <c r="AN64" s="10">
        <v>-10</v>
      </c>
      <c r="AO64" s="10">
        <v>10</v>
      </c>
      <c r="AP64" s="10">
        <f t="shared" si="18"/>
        <v>67.955000000000013</v>
      </c>
      <c r="AQ64" s="10">
        <f t="shared" si="19"/>
        <v>77.955000000000013</v>
      </c>
      <c r="AT64" s="12">
        <v>2800</v>
      </c>
      <c r="AU64" s="78"/>
      <c r="AV64" s="66"/>
      <c r="AW64" s="66"/>
      <c r="AX64" s="66"/>
      <c r="AY64" s="66"/>
      <c r="AZ64" s="66"/>
    </row>
    <row r="65" spans="2:52" ht="16.5">
      <c r="B65" s="62">
        <v>3000</v>
      </c>
      <c r="C65" s="70">
        <v>-21.69</v>
      </c>
      <c r="D65" s="70">
        <v>-20.68</v>
      </c>
      <c r="E65" s="70">
        <v>-21.31</v>
      </c>
      <c r="F65" s="74">
        <v>-15.57</v>
      </c>
      <c r="G65" s="70">
        <v>-14.59</v>
      </c>
      <c r="H65" s="70">
        <v>-17.21</v>
      </c>
      <c r="J65" s="12">
        <v>3000</v>
      </c>
      <c r="K65" s="76">
        <v>47.23</v>
      </c>
      <c r="L65">
        <v>46.43</v>
      </c>
      <c r="M65">
        <v>9.91</v>
      </c>
      <c r="N65">
        <v>7.97</v>
      </c>
      <c r="Q65" s="19">
        <v>3000</v>
      </c>
      <c r="R65" s="8">
        <f t="shared" si="6"/>
        <v>88.919999999999987</v>
      </c>
      <c r="S65" s="8">
        <f t="shared" si="7"/>
        <v>87.91</v>
      </c>
      <c r="T65" s="8">
        <f t="shared" si="8"/>
        <v>88.539999999999992</v>
      </c>
      <c r="V65" s="19">
        <v>3000</v>
      </c>
      <c r="W65" s="8">
        <f t="shared" si="14"/>
        <v>88.456666666666663</v>
      </c>
      <c r="X65" s="8">
        <f t="shared" si="9"/>
        <v>67.22999999999999</v>
      </c>
      <c r="Y65" s="8">
        <f t="shared" si="15"/>
        <v>77.22999999999999</v>
      </c>
      <c r="AB65" s="20">
        <v>3000</v>
      </c>
      <c r="AC65" s="9">
        <f t="shared" si="10"/>
        <v>82</v>
      </c>
      <c r="AD65" s="9">
        <f t="shared" si="11"/>
        <v>81.02000000000001</v>
      </c>
      <c r="AE65" s="9">
        <f t="shared" si="12"/>
        <v>83.640000000000015</v>
      </c>
      <c r="AG65" s="20">
        <v>3000</v>
      </c>
      <c r="AH65" s="9">
        <f t="shared" si="16"/>
        <v>82.220000000000013</v>
      </c>
      <c r="AI65" s="9">
        <f t="shared" si="13"/>
        <v>66.430000000000007</v>
      </c>
      <c r="AJ65" s="9">
        <f t="shared" si="17"/>
        <v>76.430000000000007</v>
      </c>
      <c r="AM65" s="21">
        <v>3000</v>
      </c>
      <c r="AN65" s="10">
        <v>-10</v>
      </c>
      <c r="AP65" s="10">
        <f t="shared" si="18"/>
        <v>66.83</v>
      </c>
      <c r="AQ65" s="10">
        <f t="shared" si="19"/>
        <v>76.83</v>
      </c>
      <c r="AT65" s="12">
        <v>3000</v>
      </c>
      <c r="AU65" s="78"/>
      <c r="AV65" s="66"/>
      <c r="AW65" s="66"/>
      <c r="AX65" s="66"/>
      <c r="AY65" s="66"/>
      <c r="AZ65" s="66"/>
    </row>
    <row r="66" spans="2:52" ht="16.5">
      <c r="B66" s="62">
        <v>3150</v>
      </c>
      <c r="C66" s="70">
        <v>-19.5</v>
      </c>
      <c r="D66" s="70">
        <v>-17.850000000000001</v>
      </c>
      <c r="E66" s="70">
        <v>-17.95</v>
      </c>
      <c r="F66" s="74">
        <v>-14.62</v>
      </c>
      <c r="G66" s="70">
        <v>-13.58</v>
      </c>
      <c r="H66" s="70">
        <v>-16.84</v>
      </c>
      <c r="J66" s="12">
        <v>3150</v>
      </c>
      <c r="K66" s="76">
        <v>47.04</v>
      </c>
      <c r="L66">
        <v>46.12</v>
      </c>
      <c r="M66">
        <v>10.33</v>
      </c>
      <c r="N66">
        <v>8.43</v>
      </c>
      <c r="Q66" s="19">
        <v>3150</v>
      </c>
      <c r="R66" s="8">
        <f t="shared" si="6"/>
        <v>86.539999999999992</v>
      </c>
      <c r="S66" s="8">
        <f t="shared" si="7"/>
        <v>84.889999999999986</v>
      </c>
      <c r="T66" s="8">
        <f t="shared" si="8"/>
        <v>84.99</v>
      </c>
      <c r="V66" s="19">
        <v>3150</v>
      </c>
      <c r="W66" s="8">
        <f t="shared" si="14"/>
        <v>85.473333333333315</v>
      </c>
      <c r="X66" s="8">
        <f t="shared" si="9"/>
        <v>67.039999999999992</v>
      </c>
      <c r="Y66" s="8">
        <f t="shared" si="15"/>
        <v>77.039999999999992</v>
      </c>
      <c r="AB66" s="20">
        <v>3150</v>
      </c>
      <c r="AC66" s="9">
        <f t="shared" si="10"/>
        <v>80.740000000000009</v>
      </c>
      <c r="AD66" s="9">
        <f t="shared" si="11"/>
        <v>79.7</v>
      </c>
      <c r="AE66" s="9">
        <f t="shared" si="12"/>
        <v>82.960000000000008</v>
      </c>
      <c r="AG66" s="20">
        <v>3150</v>
      </c>
      <c r="AH66" s="9">
        <f t="shared" si="16"/>
        <v>81.13333333333334</v>
      </c>
      <c r="AI66" s="9">
        <f t="shared" si="13"/>
        <v>66.12</v>
      </c>
      <c r="AJ66" s="9">
        <f t="shared" si="17"/>
        <v>76.12</v>
      </c>
      <c r="AM66" s="21">
        <v>3150</v>
      </c>
      <c r="AN66" s="10">
        <v>-10</v>
      </c>
      <c r="AP66" s="10">
        <f t="shared" si="18"/>
        <v>66.58</v>
      </c>
      <c r="AQ66" s="10">
        <f t="shared" si="19"/>
        <v>76.58</v>
      </c>
      <c r="AT66" s="12">
        <v>3150</v>
      </c>
      <c r="AU66" s="78"/>
      <c r="AV66" s="66"/>
      <c r="AW66" s="66"/>
      <c r="AX66" s="66"/>
      <c r="AY66" s="66"/>
      <c r="AZ66" s="66"/>
    </row>
    <row r="67" spans="2:52" ht="16.5">
      <c r="B67" s="62">
        <v>3350</v>
      </c>
      <c r="C67" s="70">
        <v>-15.2</v>
      </c>
      <c r="D67" s="70">
        <v>-12.54</v>
      </c>
      <c r="E67" s="70">
        <v>-15.57</v>
      </c>
      <c r="F67" s="74">
        <v>-12.87</v>
      </c>
      <c r="G67" s="70">
        <v>-11.2</v>
      </c>
      <c r="H67" s="70">
        <v>-14.03</v>
      </c>
      <c r="J67" s="12">
        <v>3350</v>
      </c>
      <c r="K67" s="76">
        <v>47.97</v>
      </c>
      <c r="L67">
        <v>47.17</v>
      </c>
      <c r="M67">
        <v>11.97</v>
      </c>
      <c r="N67">
        <v>10.06</v>
      </c>
      <c r="Q67" s="19">
        <v>3350</v>
      </c>
      <c r="R67" s="8">
        <f t="shared" si="6"/>
        <v>83.17</v>
      </c>
      <c r="S67" s="8">
        <f t="shared" si="7"/>
        <v>80.509999999999991</v>
      </c>
      <c r="T67" s="8">
        <f t="shared" si="8"/>
        <v>83.539999999999992</v>
      </c>
      <c r="V67" s="19">
        <v>3350</v>
      </c>
      <c r="W67" s="8">
        <f t="shared" si="14"/>
        <v>82.406666666666666</v>
      </c>
      <c r="X67" s="8">
        <f t="shared" si="9"/>
        <v>67.97</v>
      </c>
      <c r="Y67" s="8">
        <f t="shared" si="15"/>
        <v>77.97</v>
      </c>
      <c r="AB67" s="20">
        <v>3350</v>
      </c>
      <c r="AC67" s="9">
        <f t="shared" si="10"/>
        <v>80.040000000000006</v>
      </c>
      <c r="AD67" s="9">
        <f t="shared" si="11"/>
        <v>78.37</v>
      </c>
      <c r="AE67" s="9">
        <f t="shared" si="12"/>
        <v>81.2</v>
      </c>
      <c r="AG67" s="20">
        <v>3350</v>
      </c>
      <c r="AH67" s="9">
        <f t="shared" si="16"/>
        <v>79.87</v>
      </c>
      <c r="AI67" s="9">
        <f t="shared" si="13"/>
        <v>67.17</v>
      </c>
      <c r="AJ67" s="9">
        <f t="shared" si="17"/>
        <v>77.17</v>
      </c>
      <c r="AM67" s="21">
        <v>3350</v>
      </c>
      <c r="AN67" s="10">
        <v>-10</v>
      </c>
      <c r="AO67" s="10">
        <v>10</v>
      </c>
      <c r="AP67" s="10">
        <f t="shared" si="18"/>
        <v>67.569999999999993</v>
      </c>
      <c r="AQ67" s="10">
        <f t="shared" si="19"/>
        <v>77.569999999999993</v>
      </c>
      <c r="AT67" s="12">
        <v>3350</v>
      </c>
      <c r="AU67" s="78"/>
      <c r="AV67" s="66"/>
      <c r="AW67" s="66"/>
      <c r="AX67" s="66"/>
      <c r="AY67" s="66"/>
      <c r="AZ67" s="66"/>
    </row>
    <row r="68" spans="2:52" ht="16.5">
      <c r="B68" s="62">
        <v>3550</v>
      </c>
      <c r="C68" s="70">
        <v>-10.62</v>
      </c>
      <c r="D68" s="70">
        <v>-7.59</v>
      </c>
      <c r="E68" s="70">
        <v>-12.25</v>
      </c>
      <c r="F68" s="74">
        <v>-10.68</v>
      </c>
      <c r="G68" s="70">
        <v>-9.67</v>
      </c>
      <c r="H68" s="70">
        <v>-9.9700000000000006</v>
      </c>
      <c r="J68" s="12">
        <v>3550</v>
      </c>
      <c r="K68" s="76">
        <v>50.48</v>
      </c>
      <c r="L68">
        <v>49.54</v>
      </c>
      <c r="M68">
        <v>15.32</v>
      </c>
      <c r="N68">
        <v>12.92</v>
      </c>
      <c r="Q68" s="19">
        <v>3550</v>
      </c>
      <c r="R68" s="8">
        <f t="shared" si="6"/>
        <v>81.099999999999994</v>
      </c>
      <c r="S68" s="8">
        <f t="shared" si="7"/>
        <v>78.069999999999993</v>
      </c>
      <c r="T68" s="8">
        <f t="shared" si="8"/>
        <v>82.72999999999999</v>
      </c>
      <c r="V68" s="19">
        <v>3550</v>
      </c>
      <c r="W68" s="8">
        <f t="shared" si="14"/>
        <v>80.633333333333326</v>
      </c>
      <c r="X68" s="8">
        <f t="shared" si="9"/>
        <v>70.47999999999999</v>
      </c>
      <c r="Y68" s="8">
        <f t="shared" si="15"/>
        <v>80.47999999999999</v>
      </c>
      <c r="AB68" s="20">
        <v>3550</v>
      </c>
      <c r="AC68" s="9">
        <f t="shared" si="10"/>
        <v>80.22</v>
      </c>
      <c r="AD68" s="9">
        <f t="shared" si="11"/>
        <v>79.209999999999994</v>
      </c>
      <c r="AE68" s="9">
        <f t="shared" si="12"/>
        <v>79.509999999999991</v>
      </c>
      <c r="AG68" s="20">
        <v>3550</v>
      </c>
      <c r="AH68" s="9">
        <f t="shared" si="16"/>
        <v>79.646666666666661</v>
      </c>
      <c r="AI68" s="9">
        <f t="shared" si="13"/>
        <v>69.539999999999992</v>
      </c>
      <c r="AJ68" s="9">
        <f t="shared" si="17"/>
        <v>79.539999999999992</v>
      </c>
      <c r="AM68" s="21">
        <v>3550</v>
      </c>
      <c r="AN68" s="10">
        <v>-10</v>
      </c>
      <c r="AP68" s="10">
        <f t="shared" si="18"/>
        <v>70.009999999999991</v>
      </c>
      <c r="AQ68" s="10">
        <f t="shared" si="19"/>
        <v>80.009999999999991</v>
      </c>
      <c r="AT68" s="12">
        <v>3550</v>
      </c>
      <c r="AU68" s="78"/>
      <c r="AV68" s="66"/>
      <c r="AW68" s="66"/>
      <c r="AX68" s="66"/>
      <c r="AY68" s="66"/>
      <c r="AZ68" s="66"/>
    </row>
    <row r="69" spans="2:52" ht="16.5">
      <c r="B69" s="62">
        <v>3750</v>
      </c>
      <c r="C69" s="70">
        <v>-8.08</v>
      </c>
      <c r="D69" s="70">
        <v>-8.2200000000000006</v>
      </c>
      <c r="E69" s="70">
        <v>-13.56</v>
      </c>
      <c r="F69" s="74">
        <v>-12.63</v>
      </c>
      <c r="G69" s="70">
        <v>-11.74</v>
      </c>
      <c r="H69" s="70">
        <v>-9.67</v>
      </c>
      <c r="J69" s="12">
        <v>3750</v>
      </c>
      <c r="K69" s="76">
        <v>50.61</v>
      </c>
      <c r="L69">
        <v>49.91</v>
      </c>
      <c r="M69">
        <v>16.350000000000001</v>
      </c>
      <c r="N69">
        <v>14.01</v>
      </c>
      <c r="Q69" s="19">
        <v>3750</v>
      </c>
      <c r="R69" s="8">
        <f t="shared" si="6"/>
        <v>78.69</v>
      </c>
      <c r="S69" s="8">
        <f t="shared" si="7"/>
        <v>78.83</v>
      </c>
      <c r="T69" s="8">
        <f t="shared" si="8"/>
        <v>84.17</v>
      </c>
      <c r="V69" s="19">
        <v>3750</v>
      </c>
      <c r="W69" s="8">
        <f t="shared" si="14"/>
        <v>80.563333333333333</v>
      </c>
      <c r="X69" s="8">
        <f t="shared" si="9"/>
        <v>70.61</v>
      </c>
      <c r="Y69" s="8">
        <f t="shared" si="15"/>
        <v>80.61</v>
      </c>
      <c r="AB69" s="20">
        <v>3750</v>
      </c>
      <c r="AC69" s="9">
        <f t="shared" si="10"/>
        <v>82.539999999999992</v>
      </c>
      <c r="AD69" s="9">
        <f t="shared" si="11"/>
        <v>81.649999999999991</v>
      </c>
      <c r="AE69" s="9">
        <f t="shared" si="12"/>
        <v>79.58</v>
      </c>
      <c r="AG69" s="20">
        <v>3750</v>
      </c>
      <c r="AH69" s="9">
        <f t="shared" si="16"/>
        <v>81.256666666666661</v>
      </c>
      <c r="AI69" s="9">
        <f t="shared" si="13"/>
        <v>69.91</v>
      </c>
      <c r="AJ69" s="9">
        <f t="shared" si="17"/>
        <v>79.91</v>
      </c>
      <c r="AM69" s="21">
        <v>3750</v>
      </c>
      <c r="AN69" s="10">
        <v>-10</v>
      </c>
      <c r="AP69" s="10">
        <f t="shared" si="18"/>
        <v>70.259999999999991</v>
      </c>
      <c r="AQ69" s="10">
        <f t="shared" si="19"/>
        <v>80.259999999999991</v>
      </c>
      <c r="AT69" s="12">
        <v>3750</v>
      </c>
      <c r="AU69" s="78"/>
      <c r="AV69" s="66"/>
      <c r="AW69" s="66"/>
      <c r="AX69" s="66"/>
      <c r="AY69" s="66"/>
      <c r="AZ69" s="66"/>
    </row>
    <row r="70" spans="2:52" ht="16.5">
      <c r="B70" s="62">
        <v>4000</v>
      </c>
      <c r="C70" s="70">
        <v>-15.08</v>
      </c>
      <c r="D70" s="70">
        <v>-13.43</v>
      </c>
      <c r="E70" s="70">
        <v>-16.86</v>
      </c>
      <c r="F70" s="74">
        <v>-17.03</v>
      </c>
      <c r="G70" s="70">
        <v>-17.37</v>
      </c>
      <c r="H70" s="70">
        <v>-16.149999999999999</v>
      </c>
      <c r="J70" s="12">
        <v>4000</v>
      </c>
      <c r="K70" s="76">
        <v>45.93</v>
      </c>
      <c r="L70">
        <v>45.38</v>
      </c>
      <c r="M70">
        <v>12.43</v>
      </c>
      <c r="N70">
        <v>10.35</v>
      </c>
      <c r="Q70" s="19">
        <v>4000</v>
      </c>
      <c r="R70" s="8">
        <f t="shared" si="6"/>
        <v>81.010000000000005</v>
      </c>
      <c r="S70" s="8">
        <f t="shared" si="7"/>
        <v>79.360000000000014</v>
      </c>
      <c r="T70" s="8">
        <f t="shared" si="8"/>
        <v>82.79</v>
      </c>
      <c r="V70" s="19">
        <v>4000</v>
      </c>
      <c r="W70" s="8">
        <f t="shared" ref="W70:W86" si="20">+AVERAGE(R70:T70)</f>
        <v>81.053333333333342</v>
      </c>
      <c r="X70" s="8">
        <f t="shared" si="9"/>
        <v>65.930000000000007</v>
      </c>
      <c r="Y70" s="8">
        <f t="shared" ref="Y70:Y86" si="21">+X70-$AN70</f>
        <v>75.930000000000007</v>
      </c>
      <c r="AB70" s="20">
        <v>4000</v>
      </c>
      <c r="AC70" s="9">
        <f t="shared" si="10"/>
        <v>82.41</v>
      </c>
      <c r="AD70" s="9">
        <f t="shared" si="11"/>
        <v>82.75</v>
      </c>
      <c r="AE70" s="9">
        <f t="shared" si="12"/>
        <v>81.53</v>
      </c>
      <c r="AG70" s="20">
        <v>4000</v>
      </c>
      <c r="AH70" s="9">
        <f t="shared" ref="AH70:AH86" si="22">+AVERAGE(AC70:AE70)</f>
        <v>82.23</v>
      </c>
      <c r="AI70" s="9">
        <f t="shared" si="13"/>
        <v>65.38</v>
      </c>
      <c r="AJ70" s="9">
        <f t="shared" ref="AJ70:AJ86" si="23">+AI70-$AN70</f>
        <v>75.38</v>
      </c>
      <c r="AM70" s="21">
        <v>4000</v>
      </c>
      <c r="AN70" s="10">
        <v>-10</v>
      </c>
      <c r="AO70" s="10">
        <v>10</v>
      </c>
      <c r="AP70" s="10">
        <f t="shared" ref="AP70:AP86" si="24">+AVERAGE(AI70,X70)</f>
        <v>65.655000000000001</v>
      </c>
      <c r="AQ70" s="10">
        <f t="shared" ref="AQ70:AQ86" si="25">+AP70-AN70</f>
        <v>75.655000000000001</v>
      </c>
      <c r="AT70" s="12">
        <v>4000</v>
      </c>
      <c r="AU70" s="78"/>
      <c r="AV70" s="66"/>
      <c r="AW70" s="66"/>
      <c r="AX70" s="66"/>
      <c r="AY70" s="66"/>
      <c r="AZ70" s="66"/>
    </row>
    <row r="71" spans="2:52" ht="16.5">
      <c r="B71" s="62">
        <v>4250</v>
      </c>
      <c r="C71" s="70">
        <v>-16.37</v>
      </c>
      <c r="D71" s="70">
        <v>-13.37</v>
      </c>
      <c r="E71" s="70">
        <v>-14.22</v>
      </c>
      <c r="F71" s="74">
        <v>-17.27</v>
      </c>
      <c r="G71" s="70">
        <v>-15.2</v>
      </c>
      <c r="H71" s="70">
        <v>-24.6</v>
      </c>
      <c r="J71" s="12">
        <v>4250</v>
      </c>
      <c r="K71" s="76">
        <v>44.04</v>
      </c>
      <c r="L71">
        <v>43.8</v>
      </c>
      <c r="M71">
        <v>10.82</v>
      </c>
      <c r="N71">
        <v>9.48</v>
      </c>
      <c r="Q71" s="19">
        <v>4250</v>
      </c>
      <c r="R71" s="8">
        <f t="shared" ref="R71:R86" si="26">+$K71+20-C71</f>
        <v>80.41</v>
      </c>
      <c r="S71" s="8">
        <f t="shared" ref="S71:S86" si="27">+$K71+20-D71</f>
        <v>77.41</v>
      </c>
      <c r="T71" s="8">
        <f t="shared" ref="T71:T86" si="28">+$K71+20-E71</f>
        <v>78.259999999999991</v>
      </c>
      <c r="V71" s="19">
        <v>4250</v>
      </c>
      <c r="W71" s="8">
        <f t="shared" si="20"/>
        <v>78.693333333333328</v>
      </c>
      <c r="X71" s="8">
        <f t="shared" ref="X71:X86" si="29">+K71+20</f>
        <v>64.039999999999992</v>
      </c>
      <c r="Y71" s="8">
        <f t="shared" si="21"/>
        <v>74.039999999999992</v>
      </c>
      <c r="AB71" s="20">
        <v>4250</v>
      </c>
      <c r="AC71" s="9">
        <f t="shared" ref="AC71:AC86" si="30">+$L71+20-F71</f>
        <v>81.069999999999993</v>
      </c>
      <c r="AD71" s="9">
        <f t="shared" ref="AD71:AD86" si="31">+$L71+20-G71</f>
        <v>79</v>
      </c>
      <c r="AE71" s="9">
        <f t="shared" ref="AE71:AE86" si="32">+$L71+20-H71</f>
        <v>88.4</v>
      </c>
      <c r="AG71" s="20">
        <v>4250</v>
      </c>
      <c r="AH71" s="9">
        <f t="shared" si="22"/>
        <v>82.823333333333338</v>
      </c>
      <c r="AI71" s="9">
        <f t="shared" ref="AI71:AI86" si="33">+L71+20</f>
        <v>63.8</v>
      </c>
      <c r="AJ71" s="9">
        <f t="shared" si="23"/>
        <v>73.8</v>
      </c>
      <c r="AM71" s="21">
        <v>4250</v>
      </c>
      <c r="AN71" s="10">
        <v>-10</v>
      </c>
      <c r="AP71" s="10">
        <f t="shared" si="24"/>
        <v>63.919999999999995</v>
      </c>
      <c r="AQ71" s="10">
        <f t="shared" si="25"/>
        <v>73.919999999999987</v>
      </c>
      <c r="AT71" s="12">
        <v>4250</v>
      </c>
      <c r="AU71" s="78"/>
      <c r="AV71" s="66"/>
      <c r="AW71" s="66"/>
      <c r="AX71" s="66"/>
      <c r="AY71" s="66"/>
      <c r="AZ71" s="66"/>
    </row>
    <row r="72" spans="2:52" ht="16.5">
      <c r="B72" s="62">
        <v>4500</v>
      </c>
      <c r="C72" s="70">
        <v>-15.27</v>
      </c>
      <c r="D72" s="70">
        <v>-13.11</v>
      </c>
      <c r="E72" s="70">
        <v>-14.42</v>
      </c>
      <c r="F72" s="74">
        <v>-24.2</v>
      </c>
      <c r="G72" s="70">
        <v>-19.32</v>
      </c>
      <c r="H72" s="70">
        <v>-21.26</v>
      </c>
      <c r="J72" s="12">
        <v>4500</v>
      </c>
      <c r="K72" s="76">
        <v>45.29</v>
      </c>
      <c r="L72">
        <v>45.44</v>
      </c>
      <c r="M72">
        <v>12.76</v>
      </c>
      <c r="N72">
        <v>11.58</v>
      </c>
      <c r="Q72" s="19">
        <v>4500</v>
      </c>
      <c r="R72" s="8">
        <f t="shared" si="26"/>
        <v>80.559999999999988</v>
      </c>
      <c r="S72" s="8">
        <f t="shared" si="27"/>
        <v>78.399999999999991</v>
      </c>
      <c r="T72" s="8">
        <f t="shared" si="28"/>
        <v>79.709999999999994</v>
      </c>
      <c r="V72" s="19">
        <v>4500</v>
      </c>
      <c r="W72" s="8">
        <f t="shared" si="20"/>
        <v>79.556666666666658</v>
      </c>
      <c r="X72" s="8">
        <f t="shared" si="29"/>
        <v>65.289999999999992</v>
      </c>
      <c r="Y72" s="8">
        <f t="shared" si="21"/>
        <v>75.289999999999992</v>
      </c>
      <c r="AB72" s="20">
        <v>4500</v>
      </c>
      <c r="AC72" s="9">
        <f t="shared" si="30"/>
        <v>89.64</v>
      </c>
      <c r="AD72" s="9">
        <f t="shared" si="31"/>
        <v>84.759999999999991</v>
      </c>
      <c r="AE72" s="9">
        <f t="shared" si="32"/>
        <v>86.7</v>
      </c>
      <c r="AG72" s="20">
        <v>4500</v>
      </c>
      <c r="AH72" s="9">
        <f t="shared" si="22"/>
        <v>87.033333333333317</v>
      </c>
      <c r="AI72" s="9">
        <f t="shared" si="33"/>
        <v>65.44</v>
      </c>
      <c r="AJ72" s="9">
        <f t="shared" si="23"/>
        <v>75.44</v>
      </c>
      <c r="AM72" s="21">
        <v>4500</v>
      </c>
      <c r="AN72" s="10">
        <v>-10</v>
      </c>
      <c r="AP72" s="10">
        <f t="shared" si="24"/>
        <v>65.364999999999995</v>
      </c>
      <c r="AQ72" s="10">
        <f t="shared" si="25"/>
        <v>75.364999999999995</v>
      </c>
      <c r="AT72" s="12">
        <v>4500</v>
      </c>
      <c r="AU72" s="78"/>
      <c r="AV72" s="66"/>
      <c r="AW72" s="66"/>
      <c r="AX72" s="66"/>
      <c r="AY72" s="66"/>
      <c r="AZ72" s="66"/>
    </row>
    <row r="73" spans="2:52" ht="16.5">
      <c r="B73" s="62">
        <v>4750</v>
      </c>
      <c r="C73" s="70">
        <v>-11.89</v>
      </c>
      <c r="D73" s="70">
        <v>-11.02</v>
      </c>
      <c r="E73" s="70">
        <v>-13.95</v>
      </c>
      <c r="F73" s="74">
        <v>-21.42</v>
      </c>
      <c r="G73" s="70">
        <v>-28.57</v>
      </c>
      <c r="H73" s="70">
        <v>-28.47</v>
      </c>
      <c r="J73" s="12">
        <v>4750</v>
      </c>
      <c r="K73" s="76">
        <v>47.39</v>
      </c>
      <c r="L73">
        <v>47.46</v>
      </c>
      <c r="M73">
        <v>14.97</v>
      </c>
      <c r="N73">
        <v>14.41</v>
      </c>
      <c r="Q73" s="19">
        <v>4750</v>
      </c>
      <c r="R73" s="8">
        <f t="shared" si="26"/>
        <v>79.28</v>
      </c>
      <c r="S73" s="8">
        <f t="shared" si="27"/>
        <v>78.41</v>
      </c>
      <c r="T73" s="8">
        <f t="shared" si="28"/>
        <v>81.34</v>
      </c>
      <c r="V73" s="19">
        <v>4750</v>
      </c>
      <c r="W73" s="8">
        <f t="shared" si="20"/>
        <v>79.676666666666662</v>
      </c>
      <c r="X73" s="8">
        <f t="shared" si="29"/>
        <v>67.39</v>
      </c>
      <c r="Y73" s="8">
        <f t="shared" si="21"/>
        <v>77.39</v>
      </c>
      <c r="AB73" s="20">
        <v>4750</v>
      </c>
      <c r="AC73" s="9">
        <f t="shared" si="30"/>
        <v>88.88000000000001</v>
      </c>
      <c r="AD73" s="9">
        <f t="shared" si="31"/>
        <v>96.03</v>
      </c>
      <c r="AE73" s="9">
        <f t="shared" si="32"/>
        <v>95.93</v>
      </c>
      <c r="AG73" s="20">
        <v>4750</v>
      </c>
      <c r="AH73" s="9">
        <f t="shared" si="22"/>
        <v>93.613333333333344</v>
      </c>
      <c r="AI73" s="9">
        <f t="shared" si="33"/>
        <v>67.460000000000008</v>
      </c>
      <c r="AJ73" s="9">
        <f t="shared" si="23"/>
        <v>77.460000000000008</v>
      </c>
      <c r="AM73" s="21">
        <v>4750</v>
      </c>
      <c r="AN73" s="10">
        <v>-10</v>
      </c>
      <c r="AO73" s="10">
        <v>10</v>
      </c>
      <c r="AP73" s="10">
        <f t="shared" si="24"/>
        <v>67.425000000000011</v>
      </c>
      <c r="AQ73" s="10">
        <f t="shared" si="25"/>
        <v>77.425000000000011</v>
      </c>
      <c r="AT73" s="12">
        <v>4750</v>
      </c>
      <c r="AU73" s="78"/>
      <c r="AV73" s="66"/>
      <c r="AW73" s="66"/>
      <c r="AX73" s="66"/>
      <c r="AY73" s="66"/>
      <c r="AZ73" s="66"/>
    </row>
    <row r="74" spans="2:52" ht="16.5">
      <c r="B74" s="62">
        <v>5000</v>
      </c>
      <c r="C74" s="70">
        <v>-16.850000000000001</v>
      </c>
      <c r="D74" s="70">
        <v>-15.33</v>
      </c>
      <c r="E74" s="70">
        <v>-18.809999999999999</v>
      </c>
      <c r="F74" s="74">
        <v>-25.97</v>
      </c>
      <c r="G74" s="70">
        <v>-25.79</v>
      </c>
      <c r="H74" s="70">
        <v>-26.73</v>
      </c>
      <c r="J74" s="12">
        <v>5000</v>
      </c>
      <c r="K74" s="76">
        <v>42.65</v>
      </c>
      <c r="L74">
        <v>42.88</v>
      </c>
      <c r="M74">
        <v>10.61</v>
      </c>
      <c r="N74">
        <v>10.119999999999999</v>
      </c>
      <c r="Q74" s="19">
        <v>5000</v>
      </c>
      <c r="R74" s="8">
        <f t="shared" si="26"/>
        <v>79.5</v>
      </c>
      <c r="S74" s="8">
        <f t="shared" si="27"/>
        <v>77.98</v>
      </c>
      <c r="T74" s="8">
        <f t="shared" si="28"/>
        <v>81.459999999999994</v>
      </c>
      <c r="V74" s="19">
        <v>5000</v>
      </c>
      <c r="W74" s="8">
        <f t="shared" si="20"/>
        <v>79.646666666666661</v>
      </c>
      <c r="X74" s="8">
        <f t="shared" si="29"/>
        <v>62.65</v>
      </c>
      <c r="Y74" s="8">
        <f t="shared" si="21"/>
        <v>72.650000000000006</v>
      </c>
      <c r="AB74" s="20">
        <v>5000</v>
      </c>
      <c r="AC74" s="9">
        <f t="shared" si="30"/>
        <v>88.85</v>
      </c>
      <c r="AD74" s="9">
        <f t="shared" si="31"/>
        <v>88.67</v>
      </c>
      <c r="AE74" s="9">
        <f t="shared" si="32"/>
        <v>89.61</v>
      </c>
      <c r="AG74" s="20">
        <v>5000</v>
      </c>
      <c r="AH74" s="9">
        <f t="shared" si="22"/>
        <v>89.043333333333337</v>
      </c>
      <c r="AI74" s="9">
        <f t="shared" si="33"/>
        <v>62.88</v>
      </c>
      <c r="AJ74" s="9">
        <f t="shared" si="23"/>
        <v>72.88</v>
      </c>
      <c r="AM74" s="21">
        <v>5000</v>
      </c>
      <c r="AN74" s="10">
        <v>-10</v>
      </c>
      <c r="AP74" s="10">
        <f t="shared" si="24"/>
        <v>62.765000000000001</v>
      </c>
      <c r="AQ74" s="10">
        <f t="shared" si="25"/>
        <v>72.765000000000001</v>
      </c>
      <c r="AT74" s="12">
        <v>5000</v>
      </c>
      <c r="AU74" s="78"/>
      <c r="AV74" s="66"/>
      <c r="AW74" s="66"/>
      <c r="AX74" s="66"/>
      <c r="AY74" s="66"/>
      <c r="AZ74" s="66"/>
    </row>
    <row r="75" spans="2:52" ht="16.5">
      <c r="B75" s="62">
        <v>5300</v>
      </c>
      <c r="C75" s="70">
        <v>-22.4</v>
      </c>
      <c r="D75" s="70">
        <v>-20.71</v>
      </c>
      <c r="E75" s="70">
        <v>-21.94</v>
      </c>
      <c r="F75" s="74">
        <v>-22.57</v>
      </c>
      <c r="G75" s="70">
        <v>-23.4</v>
      </c>
      <c r="H75" s="70">
        <v>-24.15</v>
      </c>
      <c r="J75" s="12">
        <v>5300</v>
      </c>
      <c r="K75" s="76">
        <v>39.07</v>
      </c>
      <c r="L75">
        <v>39.119999999999997</v>
      </c>
      <c r="M75">
        <v>6.66</v>
      </c>
      <c r="N75">
        <v>6.69</v>
      </c>
      <c r="Q75" s="19">
        <v>5300</v>
      </c>
      <c r="R75" s="8">
        <f t="shared" si="26"/>
        <v>81.47</v>
      </c>
      <c r="S75" s="8">
        <f t="shared" si="27"/>
        <v>79.78</v>
      </c>
      <c r="T75" s="8">
        <f t="shared" si="28"/>
        <v>81.010000000000005</v>
      </c>
      <c r="V75" s="19">
        <v>5300</v>
      </c>
      <c r="W75" s="8">
        <f t="shared" si="20"/>
        <v>80.75333333333333</v>
      </c>
      <c r="X75" s="8">
        <f t="shared" si="29"/>
        <v>59.07</v>
      </c>
      <c r="Y75" s="8">
        <f t="shared" si="21"/>
        <v>69.069999999999993</v>
      </c>
      <c r="AB75" s="20">
        <v>5300</v>
      </c>
      <c r="AC75" s="9">
        <f t="shared" si="30"/>
        <v>81.69</v>
      </c>
      <c r="AD75" s="9">
        <f t="shared" si="31"/>
        <v>82.52</v>
      </c>
      <c r="AE75" s="9">
        <f t="shared" si="32"/>
        <v>83.27</v>
      </c>
      <c r="AG75" s="20">
        <v>5300</v>
      </c>
      <c r="AH75" s="9">
        <f t="shared" si="22"/>
        <v>82.493333333333325</v>
      </c>
      <c r="AI75" s="9">
        <f t="shared" si="33"/>
        <v>59.12</v>
      </c>
      <c r="AJ75" s="9">
        <f t="shared" si="23"/>
        <v>69.12</v>
      </c>
      <c r="AM75" s="21">
        <v>5300</v>
      </c>
      <c r="AN75" s="10">
        <v>-10</v>
      </c>
      <c r="AP75" s="10">
        <f t="shared" si="24"/>
        <v>59.094999999999999</v>
      </c>
      <c r="AQ75" s="10">
        <f t="shared" si="25"/>
        <v>69.094999999999999</v>
      </c>
      <c r="AT75" s="12">
        <v>5300</v>
      </c>
      <c r="AU75" s="78"/>
      <c r="AV75" s="66"/>
      <c r="AW75" s="66"/>
      <c r="AX75" s="66"/>
      <c r="AY75" s="66"/>
      <c r="AZ75" s="66"/>
    </row>
    <row r="76" spans="2:52" ht="16.5">
      <c r="B76" s="62">
        <v>5600</v>
      </c>
      <c r="C76" s="70">
        <v>-24.1</v>
      </c>
      <c r="D76" s="70">
        <v>-21.19</v>
      </c>
      <c r="E76" s="70">
        <v>-22.14</v>
      </c>
      <c r="F76" s="74">
        <v>-19.28</v>
      </c>
      <c r="G76" s="70">
        <v>-19.45</v>
      </c>
      <c r="H76" s="70">
        <v>-21.59</v>
      </c>
      <c r="J76" s="12">
        <v>5600</v>
      </c>
      <c r="K76" s="76">
        <v>39.18</v>
      </c>
      <c r="L76">
        <v>39.22</v>
      </c>
      <c r="M76">
        <v>6.84</v>
      </c>
      <c r="N76">
        <v>6.95</v>
      </c>
      <c r="Q76" s="19">
        <v>5600</v>
      </c>
      <c r="R76" s="8">
        <f t="shared" si="26"/>
        <v>83.28</v>
      </c>
      <c r="S76" s="8">
        <f t="shared" si="27"/>
        <v>80.37</v>
      </c>
      <c r="T76" s="8">
        <f t="shared" si="28"/>
        <v>81.319999999999993</v>
      </c>
      <c r="V76" s="19">
        <v>5600</v>
      </c>
      <c r="W76" s="8">
        <f t="shared" si="20"/>
        <v>81.656666666666666</v>
      </c>
      <c r="X76" s="8">
        <f t="shared" si="29"/>
        <v>59.18</v>
      </c>
      <c r="Y76" s="8">
        <f t="shared" si="21"/>
        <v>69.180000000000007</v>
      </c>
      <c r="AB76" s="20">
        <v>5600</v>
      </c>
      <c r="AC76" s="9">
        <f t="shared" si="30"/>
        <v>78.5</v>
      </c>
      <c r="AD76" s="9">
        <f t="shared" si="31"/>
        <v>78.67</v>
      </c>
      <c r="AE76" s="9">
        <f t="shared" si="32"/>
        <v>80.81</v>
      </c>
      <c r="AG76" s="20">
        <v>5600</v>
      </c>
      <c r="AH76" s="9">
        <f t="shared" si="22"/>
        <v>79.326666666666668</v>
      </c>
      <c r="AI76" s="9">
        <f t="shared" si="33"/>
        <v>59.22</v>
      </c>
      <c r="AJ76" s="9">
        <f t="shared" si="23"/>
        <v>69.22</v>
      </c>
      <c r="AM76" s="21">
        <v>5600</v>
      </c>
      <c r="AN76" s="10">
        <v>-10</v>
      </c>
      <c r="AO76" s="10">
        <v>10</v>
      </c>
      <c r="AP76" s="10">
        <f t="shared" si="24"/>
        <v>59.2</v>
      </c>
      <c r="AQ76" s="10">
        <f t="shared" si="25"/>
        <v>69.2</v>
      </c>
      <c r="AT76" s="12">
        <v>5600</v>
      </c>
      <c r="AU76" s="78"/>
      <c r="AV76" s="66"/>
      <c r="AW76" s="66"/>
      <c r="AX76" s="66"/>
      <c r="AY76" s="66"/>
      <c r="AZ76" s="66"/>
    </row>
    <row r="77" spans="2:52" ht="16.5">
      <c r="B77" s="62">
        <v>6000</v>
      </c>
      <c r="C77" s="70">
        <v>-16.72</v>
      </c>
      <c r="D77" s="70">
        <v>-16.170000000000002</v>
      </c>
      <c r="E77" s="70">
        <v>-16.72</v>
      </c>
      <c r="F77" s="74">
        <v>-13.81</v>
      </c>
      <c r="G77" s="70">
        <v>-13.29</v>
      </c>
      <c r="H77" s="70">
        <v>-14.37</v>
      </c>
      <c r="J77" s="12">
        <v>6000</v>
      </c>
      <c r="K77" s="76">
        <v>44.48</v>
      </c>
      <c r="L77">
        <v>44.47</v>
      </c>
      <c r="M77">
        <v>11.87</v>
      </c>
      <c r="N77">
        <v>11.81</v>
      </c>
      <c r="Q77" s="19">
        <v>6000</v>
      </c>
      <c r="R77" s="8">
        <f t="shared" si="26"/>
        <v>81.199999999999989</v>
      </c>
      <c r="S77" s="8">
        <f t="shared" si="27"/>
        <v>80.649999999999991</v>
      </c>
      <c r="T77" s="8">
        <f t="shared" si="28"/>
        <v>81.199999999999989</v>
      </c>
      <c r="V77" s="19">
        <v>6000</v>
      </c>
      <c r="W77" s="8">
        <f t="shared" si="20"/>
        <v>81.016666666666652</v>
      </c>
      <c r="X77" s="8">
        <f t="shared" si="29"/>
        <v>64.47999999999999</v>
      </c>
      <c r="Y77" s="8">
        <f t="shared" si="21"/>
        <v>74.47999999999999</v>
      </c>
      <c r="AB77" s="20">
        <v>6000</v>
      </c>
      <c r="AC77" s="9">
        <f t="shared" si="30"/>
        <v>78.28</v>
      </c>
      <c r="AD77" s="9">
        <f t="shared" si="31"/>
        <v>77.759999999999991</v>
      </c>
      <c r="AE77" s="9">
        <f t="shared" si="32"/>
        <v>78.84</v>
      </c>
      <c r="AG77" s="20">
        <v>6000</v>
      </c>
      <c r="AH77" s="9">
        <f t="shared" si="22"/>
        <v>78.293333333333337</v>
      </c>
      <c r="AI77" s="9">
        <f t="shared" si="33"/>
        <v>64.47</v>
      </c>
      <c r="AJ77" s="9">
        <f t="shared" si="23"/>
        <v>74.47</v>
      </c>
      <c r="AM77" s="21">
        <v>6000</v>
      </c>
      <c r="AN77" s="10">
        <v>-10</v>
      </c>
      <c r="AP77" s="10">
        <f t="shared" si="24"/>
        <v>64.474999999999994</v>
      </c>
      <c r="AQ77" s="10">
        <f t="shared" si="25"/>
        <v>74.474999999999994</v>
      </c>
      <c r="AT77" s="12">
        <v>6000</v>
      </c>
      <c r="AU77" s="78"/>
      <c r="AV77" s="66"/>
      <c r="AW77" s="66"/>
      <c r="AX77" s="66"/>
      <c r="AY77" s="66"/>
      <c r="AZ77" s="66"/>
    </row>
    <row r="78" spans="2:52" ht="16.5">
      <c r="B78" s="12">
        <v>6300</v>
      </c>
      <c r="C78" s="70">
        <v>-24.3</v>
      </c>
      <c r="D78" s="70">
        <v>-23.94</v>
      </c>
      <c r="E78" s="70">
        <v>-24.93</v>
      </c>
      <c r="F78" s="74">
        <v>-20.46</v>
      </c>
      <c r="G78" s="70">
        <v>-21.24</v>
      </c>
      <c r="H78" s="70">
        <v>-20.260000000000002</v>
      </c>
      <c r="J78" s="12">
        <v>6300</v>
      </c>
      <c r="K78" s="76">
        <v>36.840000000000003</v>
      </c>
      <c r="L78">
        <v>36.58</v>
      </c>
      <c r="M78">
        <v>3.96</v>
      </c>
      <c r="N78">
        <v>3.54</v>
      </c>
      <c r="Q78" s="19">
        <v>6300</v>
      </c>
      <c r="R78" s="8">
        <f t="shared" si="26"/>
        <v>81.14</v>
      </c>
      <c r="S78" s="8">
        <f t="shared" si="27"/>
        <v>80.78</v>
      </c>
      <c r="T78" s="8">
        <f t="shared" si="28"/>
        <v>81.77000000000001</v>
      </c>
      <c r="V78" s="19">
        <v>6300</v>
      </c>
      <c r="W78" s="8">
        <f t="shared" si="20"/>
        <v>81.23</v>
      </c>
      <c r="X78" s="8">
        <f t="shared" si="29"/>
        <v>56.84</v>
      </c>
      <c r="Y78" s="8">
        <f t="shared" si="21"/>
        <v>66.84</v>
      </c>
      <c r="AB78" s="20">
        <v>6300</v>
      </c>
      <c r="AC78" s="9">
        <f t="shared" si="30"/>
        <v>77.039999999999992</v>
      </c>
      <c r="AD78" s="9">
        <f t="shared" si="31"/>
        <v>77.819999999999993</v>
      </c>
      <c r="AE78" s="9">
        <f t="shared" si="32"/>
        <v>76.84</v>
      </c>
      <c r="AG78" s="20">
        <v>6300</v>
      </c>
      <c r="AH78" s="9">
        <f t="shared" si="22"/>
        <v>77.233333333333334</v>
      </c>
      <c r="AI78" s="9">
        <f t="shared" si="33"/>
        <v>56.58</v>
      </c>
      <c r="AJ78" s="9">
        <f t="shared" si="23"/>
        <v>66.58</v>
      </c>
      <c r="AM78" s="21">
        <v>6300</v>
      </c>
      <c r="AN78" s="10">
        <v>-10</v>
      </c>
      <c r="AP78" s="10">
        <f t="shared" si="24"/>
        <v>56.71</v>
      </c>
      <c r="AQ78" s="10">
        <f t="shared" si="25"/>
        <v>66.710000000000008</v>
      </c>
      <c r="AT78" s="12">
        <v>6300</v>
      </c>
      <c r="AU78" s="78"/>
      <c r="AV78" s="66"/>
      <c r="AW78" s="66"/>
      <c r="AX78" s="66"/>
      <c r="AY78" s="66"/>
      <c r="AZ78" s="66"/>
    </row>
    <row r="79" spans="2:52" ht="16.5">
      <c r="B79" s="12">
        <v>6700</v>
      </c>
      <c r="C79" s="70">
        <v>-28.57</v>
      </c>
      <c r="D79" s="70">
        <v>-28.04</v>
      </c>
      <c r="E79" s="70">
        <v>-28.8</v>
      </c>
      <c r="F79" s="74">
        <v>-32.46</v>
      </c>
      <c r="G79" s="70">
        <v>-33.119999999999997</v>
      </c>
      <c r="H79" s="70">
        <v>-32.119999999999997</v>
      </c>
      <c r="J79" s="12">
        <v>6700</v>
      </c>
      <c r="K79" s="76">
        <v>30.62</v>
      </c>
      <c r="L79">
        <v>30.03</v>
      </c>
      <c r="M79">
        <v>-3.37</v>
      </c>
      <c r="N79">
        <v>-3.8</v>
      </c>
      <c r="Q79" s="19">
        <v>6700</v>
      </c>
      <c r="R79" s="8">
        <f t="shared" si="26"/>
        <v>79.19</v>
      </c>
      <c r="S79" s="8">
        <f t="shared" si="27"/>
        <v>78.66</v>
      </c>
      <c r="T79" s="8">
        <f t="shared" si="28"/>
        <v>79.42</v>
      </c>
      <c r="V79" s="19">
        <v>6700</v>
      </c>
      <c r="W79" s="8">
        <f t="shared" si="20"/>
        <v>79.089999999999989</v>
      </c>
      <c r="X79" s="8">
        <f t="shared" si="29"/>
        <v>50.620000000000005</v>
      </c>
      <c r="Y79" s="8">
        <f t="shared" si="21"/>
        <v>60.620000000000005</v>
      </c>
      <c r="AB79" s="20">
        <v>6700</v>
      </c>
      <c r="AC79" s="9">
        <f t="shared" si="30"/>
        <v>82.490000000000009</v>
      </c>
      <c r="AD79" s="9">
        <f t="shared" si="31"/>
        <v>83.15</v>
      </c>
      <c r="AE79" s="9">
        <f t="shared" si="32"/>
        <v>82.15</v>
      </c>
      <c r="AG79" s="20">
        <v>6700</v>
      </c>
      <c r="AH79" s="9">
        <f t="shared" si="22"/>
        <v>82.596666666666678</v>
      </c>
      <c r="AI79" s="9">
        <f t="shared" si="33"/>
        <v>50.03</v>
      </c>
      <c r="AJ79" s="9">
        <f t="shared" si="23"/>
        <v>60.03</v>
      </c>
      <c r="AM79" s="21">
        <v>6700</v>
      </c>
      <c r="AN79" s="10">
        <v>-10</v>
      </c>
      <c r="AO79" s="10">
        <v>10</v>
      </c>
      <c r="AP79" s="10">
        <f t="shared" si="24"/>
        <v>50.325000000000003</v>
      </c>
      <c r="AQ79" s="10">
        <f t="shared" si="25"/>
        <v>60.325000000000003</v>
      </c>
      <c r="AT79" s="12">
        <v>6700</v>
      </c>
      <c r="AU79" s="78"/>
      <c r="AV79" s="66"/>
      <c r="AW79" s="66"/>
      <c r="AX79" s="66"/>
      <c r="AY79" s="66"/>
      <c r="AZ79" s="66"/>
    </row>
    <row r="80" spans="2:52" ht="16.5">
      <c r="B80" s="12">
        <v>7100</v>
      </c>
      <c r="C80" s="70">
        <v>-29.29</v>
      </c>
      <c r="D80" s="70">
        <v>-28.74</v>
      </c>
      <c r="E80" s="70">
        <v>-29.66</v>
      </c>
      <c r="F80" s="74">
        <v>-43.09</v>
      </c>
      <c r="G80" s="70">
        <v>-45.17</v>
      </c>
      <c r="H80" s="70">
        <v>-42.39</v>
      </c>
      <c r="J80" s="12">
        <v>7100</v>
      </c>
      <c r="K80" s="76">
        <v>24.11</v>
      </c>
      <c r="L80">
        <v>22.44</v>
      </c>
      <c r="M80">
        <v>-10.039999999999999</v>
      </c>
      <c r="N80">
        <v>-11.03</v>
      </c>
      <c r="Q80" s="19">
        <v>7100</v>
      </c>
      <c r="R80" s="8">
        <f t="shared" si="26"/>
        <v>73.400000000000006</v>
      </c>
      <c r="S80" s="8">
        <f t="shared" si="27"/>
        <v>72.849999999999994</v>
      </c>
      <c r="T80" s="8">
        <f t="shared" si="28"/>
        <v>73.77</v>
      </c>
      <c r="V80" s="19">
        <v>7100</v>
      </c>
      <c r="W80" s="8">
        <f t="shared" si="20"/>
        <v>73.339999999999989</v>
      </c>
      <c r="X80" s="8">
        <f t="shared" si="29"/>
        <v>44.11</v>
      </c>
      <c r="Y80" s="8">
        <f t="shared" si="21"/>
        <v>54.11</v>
      </c>
      <c r="AB80" s="20">
        <v>7100</v>
      </c>
      <c r="AC80" s="9">
        <f t="shared" si="30"/>
        <v>85.53</v>
      </c>
      <c r="AD80" s="9">
        <f t="shared" si="31"/>
        <v>87.61</v>
      </c>
      <c r="AE80" s="9">
        <f t="shared" si="32"/>
        <v>84.83</v>
      </c>
      <c r="AG80" s="20">
        <v>7100</v>
      </c>
      <c r="AH80" s="9">
        <f t="shared" si="22"/>
        <v>85.99</v>
      </c>
      <c r="AI80" s="9">
        <f t="shared" si="33"/>
        <v>42.44</v>
      </c>
      <c r="AJ80" s="9">
        <f t="shared" si="23"/>
        <v>52.44</v>
      </c>
      <c r="AM80" s="21">
        <v>7100</v>
      </c>
      <c r="AN80" s="10">
        <v>-10</v>
      </c>
      <c r="AP80" s="10">
        <f t="shared" si="24"/>
        <v>43.274999999999999</v>
      </c>
      <c r="AQ80" s="10">
        <f t="shared" si="25"/>
        <v>53.274999999999999</v>
      </c>
      <c r="AT80" s="12">
        <v>7100</v>
      </c>
      <c r="AU80" s="78"/>
      <c r="AV80" s="66"/>
      <c r="AW80" s="66"/>
      <c r="AX80" s="66"/>
      <c r="AY80" s="66"/>
      <c r="AZ80" s="66"/>
    </row>
    <row r="81" spans="2:52" ht="16.5">
      <c r="B81" s="12">
        <v>7500</v>
      </c>
      <c r="C81" s="70">
        <v>-79.290000000000006</v>
      </c>
      <c r="D81" s="70">
        <v>-74.66</v>
      </c>
      <c r="E81" s="70">
        <v>-76.69</v>
      </c>
      <c r="F81" s="74">
        <v>-73.069999999999993</v>
      </c>
      <c r="G81" s="70">
        <v>-71.52</v>
      </c>
      <c r="H81" s="70">
        <v>-86.79</v>
      </c>
      <c r="J81" s="12">
        <v>7500</v>
      </c>
      <c r="K81" s="76">
        <v>-33.340000000000003</v>
      </c>
      <c r="L81">
        <v>-32.75</v>
      </c>
      <c r="M81">
        <v>-36.159999999999997</v>
      </c>
      <c r="N81">
        <v>-37.35</v>
      </c>
      <c r="Q81" s="19">
        <v>7500</v>
      </c>
      <c r="R81" s="8">
        <f t="shared" si="26"/>
        <v>65.95</v>
      </c>
      <c r="S81" s="8">
        <f t="shared" si="27"/>
        <v>61.319999999999993</v>
      </c>
      <c r="T81" s="8">
        <f t="shared" si="28"/>
        <v>63.349999999999994</v>
      </c>
      <c r="V81" s="19">
        <v>7500</v>
      </c>
      <c r="W81" s="8">
        <f t="shared" si="20"/>
        <v>63.54</v>
      </c>
      <c r="X81" s="8">
        <f t="shared" si="29"/>
        <v>-13.340000000000003</v>
      </c>
      <c r="Y81" s="8">
        <f t="shared" si="21"/>
        <v>-3.3400000000000034</v>
      </c>
      <c r="AB81" s="20">
        <v>7500</v>
      </c>
      <c r="AC81" s="9">
        <f t="shared" si="30"/>
        <v>60.319999999999993</v>
      </c>
      <c r="AD81" s="9">
        <f t="shared" si="31"/>
        <v>58.769999999999996</v>
      </c>
      <c r="AE81" s="9">
        <f t="shared" si="32"/>
        <v>74.040000000000006</v>
      </c>
      <c r="AG81" s="20">
        <v>7500</v>
      </c>
      <c r="AH81" s="9">
        <f t="shared" si="22"/>
        <v>64.376666666666665</v>
      </c>
      <c r="AI81" s="9">
        <f t="shared" si="33"/>
        <v>-12.75</v>
      </c>
      <c r="AJ81" s="9">
        <f t="shared" si="23"/>
        <v>-2.75</v>
      </c>
      <c r="AM81" s="21">
        <v>7500</v>
      </c>
      <c r="AN81" s="10">
        <v>-10</v>
      </c>
      <c r="AP81" s="10">
        <f t="shared" si="24"/>
        <v>-13.045000000000002</v>
      </c>
      <c r="AQ81" s="10">
        <f t="shared" si="25"/>
        <v>-3.0450000000000017</v>
      </c>
      <c r="AT81" s="12">
        <v>7500</v>
      </c>
      <c r="AU81" s="78"/>
      <c r="AV81" s="66"/>
      <c r="AW81" s="66"/>
      <c r="AX81" s="66"/>
      <c r="AY81" s="66"/>
      <c r="AZ81" s="66"/>
    </row>
    <row r="82" spans="2:52" ht="16.5">
      <c r="B82" s="12">
        <v>8000</v>
      </c>
      <c r="C82" s="70">
        <v>-96.35</v>
      </c>
      <c r="D82" s="70">
        <v>-75.599999999999994</v>
      </c>
      <c r="E82" s="70">
        <v>-87.23</v>
      </c>
      <c r="F82" s="74">
        <v>-73.22</v>
      </c>
      <c r="G82" s="70">
        <v>-78.52</v>
      </c>
      <c r="H82" s="70">
        <v>-85.74</v>
      </c>
      <c r="J82" s="12">
        <v>8000</v>
      </c>
      <c r="K82" s="76">
        <v>-35.869999999999997</v>
      </c>
      <c r="L82">
        <v>-31.76</v>
      </c>
      <c r="M82">
        <v>-38.42</v>
      </c>
      <c r="N82">
        <v>-41.71</v>
      </c>
      <c r="Q82" s="19">
        <v>8000</v>
      </c>
      <c r="R82" s="8">
        <f t="shared" si="26"/>
        <v>80.47999999999999</v>
      </c>
      <c r="S82" s="8">
        <f t="shared" si="27"/>
        <v>59.73</v>
      </c>
      <c r="T82" s="8">
        <f t="shared" si="28"/>
        <v>71.360000000000014</v>
      </c>
      <c r="V82" s="19">
        <v>8000</v>
      </c>
      <c r="W82" s="8">
        <f t="shared" si="20"/>
        <v>70.523333333333326</v>
      </c>
      <c r="X82" s="8">
        <f t="shared" si="29"/>
        <v>-15.869999999999997</v>
      </c>
      <c r="Y82" s="8">
        <f t="shared" si="21"/>
        <v>-5.8699999999999974</v>
      </c>
      <c r="AB82" s="20">
        <v>8000</v>
      </c>
      <c r="AC82" s="9">
        <f t="shared" si="30"/>
        <v>61.459999999999994</v>
      </c>
      <c r="AD82" s="9">
        <f t="shared" si="31"/>
        <v>66.759999999999991</v>
      </c>
      <c r="AE82" s="9">
        <f t="shared" si="32"/>
        <v>73.97999999999999</v>
      </c>
      <c r="AG82" s="20">
        <v>8000</v>
      </c>
      <c r="AH82" s="9">
        <f t="shared" si="22"/>
        <v>67.399999999999991</v>
      </c>
      <c r="AI82" s="9">
        <f t="shared" si="33"/>
        <v>-11.760000000000002</v>
      </c>
      <c r="AJ82" s="9">
        <f t="shared" si="23"/>
        <v>-1.7600000000000016</v>
      </c>
      <c r="AM82" s="21">
        <v>8000</v>
      </c>
      <c r="AN82" s="10">
        <v>-10</v>
      </c>
      <c r="AO82" s="10">
        <v>10</v>
      </c>
      <c r="AP82" s="10">
        <f t="shared" si="24"/>
        <v>-13.815</v>
      </c>
      <c r="AQ82" s="10">
        <f t="shared" si="25"/>
        <v>-3.8149999999999995</v>
      </c>
      <c r="AT82" s="12">
        <v>8000</v>
      </c>
      <c r="AU82" s="78"/>
      <c r="AV82" s="66"/>
      <c r="AW82" s="66"/>
      <c r="AX82" s="66"/>
      <c r="AY82" s="66"/>
      <c r="AZ82" s="66"/>
    </row>
    <row r="83" spans="2:52" ht="16.5">
      <c r="B83" s="12">
        <v>8500</v>
      </c>
      <c r="C83" s="70">
        <v>-106.08</v>
      </c>
      <c r="D83" s="70">
        <v>-75.62</v>
      </c>
      <c r="E83" s="70">
        <v>-97.66</v>
      </c>
      <c r="F83" s="74">
        <v>-78.17</v>
      </c>
      <c r="G83" s="70">
        <v>-81.319999999999993</v>
      </c>
      <c r="H83" s="70">
        <v>-94.71</v>
      </c>
      <c r="J83" s="12">
        <v>8500</v>
      </c>
      <c r="K83" s="76">
        <v>-37.369999999999997</v>
      </c>
      <c r="L83">
        <v>-49.58</v>
      </c>
      <c r="M83">
        <v>-33.22</v>
      </c>
      <c r="N83">
        <v>-35.49</v>
      </c>
      <c r="Q83" s="19">
        <v>8500</v>
      </c>
      <c r="R83" s="8">
        <f t="shared" si="26"/>
        <v>88.710000000000008</v>
      </c>
      <c r="S83" s="8">
        <f t="shared" si="27"/>
        <v>58.250000000000007</v>
      </c>
      <c r="T83" s="8">
        <f t="shared" si="28"/>
        <v>80.289999999999992</v>
      </c>
      <c r="V83" s="19">
        <v>8500</v>
      </c>
      <c r="W83" s="8">
        <f t="shared" si="20"/>
        <v>75.75</v>
      </c>
      <c r="X83" s="8">
        <f t="shared" si="29"/>
        <v>-17.369999999999997</v>
      </c>
      <c r="Y83" s="8">
        <f t="shared" si="21"/>
        <v>-7.3699999999999974</v>
      </c>
      <c r="AB83" s="20">
        <v>8500</v>
      </c>
      <c r="AC83" s="9">
        <f t="shared" si="30"/>
        <v>48.59</v>
      </c>
      <c r="AD83" s="9">
        <f t="shared" si="31"/>
        <v>51.739999999999995</v>
      </c>
      <c r="AE83" s="9">
        <f t="shared" si="32"/>
        <v>65.13</v>
      </c>
      <c r="AG83" s="20">
        <v>8500</v>
      </c>
      <c r="AH83" s="9">
        <f t="shared" si="22"/>
        <v>55.153333333333329</v>
      </c>
      <c r="AI83" s="9">
        <f t="shared" si="33"/>
        <v>-29.58</v>
      </c>
      <c r="AJ83" s="9">
        <f t="shared" si="23"/>
        <v>-19.579999999999998</v>
      </c>
      <c r="AM83" s="21">
        <v>8500</v>
      </c>
      <c r="AN83" s="10">
        <v>-10</v>
      </c>
      <c r="AP83" s="10">
        <f t="shared" si="24"/>
        <v>-23.474999999999998</v>
      </c>
      <c r="AQ83" s="10">
        <f t="shared" si="25"/>
        <v>-13.474999999999998</v>
      </c>
      <c r="AT83" s="12">
        <v>8500</v>
      </c>
      <c r="AU83" s="78"/>
      <c r="AV83" s="66"/>
      <c r="AW83" s="66"/>
      <c r="AX83" s="66"/>
      <c r="AY83" s="66"/>
      <c r="AZ83" s="66"/>
    </row>
    <row r="84" spans="2:52" ht="16.5">
      <c r="B84" s="12">
        <v>9000</v>
      </c>
      <c r="C84" s="70">
        <v>-103.84</v>
      </c>
      <c r="D84" s="70">
        <v>-72</v>
      </c>
      <c r="E84" s="70">
        <v>-88.89</v>
      </c>
      <c r="F84" s="74">
        <v>-79.150000000000006</v>
      </c>
      <c r="G84" s="70">
        <v>-80.25</v>
      </c>
      <c r="H84" s="70">
        <v>-83.15</v>
      </c>
      <c r="J84" s="12">
        <v>9000</v>
      </c>
      <c r="K84" s="76">
        <v>-43.27</v>
      </c>
      <c r="L84">
        <v>-49.46</v>
      </c>
      <c r="M84">
        <v>-37.61</v>
      </c>
      <c r="N84">
        <v>-40.61</v>
      </c>
      <c r="Q84" s="19">
        <v>9000</v>
      </c>
      <c r="R84" s="8">
        <f t="shared" si="26"/>
        <v>80.569999999999993</v>
      </c>
      <c r="S84" s="8">
        <f t="shared" si="27"/>
        <v>48.73</v>
      </c>
      <c r="T84" s="8">
        <f t="shared" si="28"/>
        <v>65.62</v>
      </c>
      <c r="V84" s="19">
        <v>9000</v>
      </c>
      <c r="W84" s="8">
        <f t="shared" si="20"/>
        <v>64.973333333333329</v>
      </c>
      <c r="X84" s="8">
        <f t="shared" si="29"/>
        <v>-23.270000000000003</v>
      </c>
      <c r="Y84" s="8">
        <f t="shared" si="21"/>
        <v>-13.270000000000003</v>
      </c>
      <c r="AB84" s="20">
        <v>9000</v>
      </c>
      <c r="AC84" s="9">
        <f t="shared" si="30"/>
        <v>49.690000000000005</v>
      </c>
      <c r="AD84" s="9">
        <f t="shared" si="31"/>
        <v>50.79</v>
      </c>
      <c r="AE84" s="9">
        <f t="shared" si="32"/>
        <v>53.690000000000005</v>
      </c>
      <c r="AG84" s="20">
        <v>9000</v>
      </c>
      <c r="AH84" s="9">
        <f t="shared" si="22"/>
        <v>51.390000000000008</v>
      </c>
      <c r="AI84" s="9">
        <f t="shared" si="33"/>
        <v>-29.46</v>
      </c>
      <c r="AJ84" s="9">
        <f t="shared" si="23"/>
        <v>-19.46</v>
      </c>
      <c r="AM84" s="21">
        <v>9000</v>
      </c>
      <c r="AN84" s="10">
        <v>-10</v>
      </c>
      <c r="AP84" s="10">
        <f t="shared" si="24"/>
        <v>-26.365000000000002</v>
      </c>
      <c r="AQ84" s="10">
        <f t="shared" si="25"/>
        <v>-16.365000000000002</v>
      </c>
      <c r="AT84" s="12">
        <v>9000</v>
      </c>
      <c r="AU84" s="78"/>
      <c r="AV84" s="66"/>
      <c r="AW84" s="66"/>
      <c r="AX84" s="66"/>
      <c r="AY84" s="66"/>
      <c r="AZ84" s="66"/>
    </row>
    <row r="85" spans="2:52" ht="16.5">
      <c r="B85" s="12">
        <v>9500</v>
      </c>
      <c r="C85" s="70">
        <v>-84.23</v>
      </c>
      <c r="D85" s="70">
        <v>-72.66</v>
      </c>
      <c r="E85" s="70">
        <v>-91.39</v>
      </c>
      <c r="F85" s="74">
        <v>-72.92</v>
      </c>
      <c r="G85" s="70">
        <v>-73.61</v>
      </c>
      <c r="H85" s="70">
        <v>-88.81</v>
      </c>
      <c r="J85" s="12">
        <v>9500</v>
      </c>
      <c r="K85" s="76">
        <v>-48.43</v>
      </c>
      <c r="L85">
        <v>-38.76</v>
      </c>
      <c r="M85">
        <v>-33.29</v>
      </c>
      <c r="N85">
        <v>-46.67</v>
      </c>
      <c r="Q85" s="19">
        <v>9500</v>
      </c>
      <c r="R85" s="8">
        <f t="shared" si="26"/>
        <v>55.800000000000004</v>
      </c>
      <c r="S85" s="8">
        <f t="shared" si="27"/>
        <v>44.23</v>
      </c>
      <c r="T85" s="8">
        <f t="shared" si="28"/>
        <v>62.96</v>
      </c>
      <c r="V85" s="19">
        <v>9500</v>
      </c>
      <c r="W85" s="8">
        <f t="shared" si="20"/>
        <v>54.330000000000005</v>
      </c>
      <c r="X85" s="8">
        <f t="shared" si="29"/>
        <v>-28.43</v>
      </c>
      <c r="Y85" s="8">
        <f t="shared" si="21"/>
        <v>-18.43</v>
      </c>
      <c r="AB85" s="20">
        <v>9500</v>
      </c>
      <c r="AC85" s="9">
        <f t="shared" si="30"/>
        <v>54.160000000000004</v>
      </c>
      <c r="AD85" s="9">
        <f t="shared" si="31"/>
        <v>54.85</v>
      </c>
      <c r="AE85" s="9">
        <f t="shared" si="32"/>
        <v>70.050000000000011</v>
      </c>
      <c r="AG85" s="20">
        <v>9500</v>
      </c>
      <c r="AH85" s="9">
        <f t="shared" si="22"/>
        <v>59.686666666666667</v>
      </c>
      <c r="AI85" s="9">
        <f t="shared" si="33"/>
        <v>-18.759999999999998</v>
      </c>
      <c r="AJ85" s="9">
        <f t="shared" si="23"/>
        <v>-8.759999999999998</v>
      </c>
      <c r="AM85" s="21">
        <v>9500</v>
      </c>
      <c r="AN85" s="10">
        <v>-10</v>
      </c>
      <c r="AO85" s="10">
        <v>10</v>
      </c>
      <c r="AP85" s="10">
        <f t="shared" si="24"/>
        <v>-23.594999999999999</v>
      </c>
      <c r="AQ85" s="10">
        <f t="shared" si="25"/>
        <v>-13.594999999999999</v>
      </c>
      <c r="AT85" s="12">
        <v>9500</v>
      </c>
      <c r="AU85" s="78"/>
      <c r="AV85" s="66"/>
      <c r="AW85" s="66"/>
      <c r="AX85" s="66"/>
      <c r="AY85" s="66"/>
      <c r="AZ85" s="66"/>
    </row>
    <row r="86" spans="2:52" ht="16.5">
      <c r="B86" s="12">
        <v>10000</v>
      </c>
      <c r="C86" s="70">
        <v>-92.78</v>
      </c>
      <c r="D86" s="70">
        <v>-78.2</v>
      </c>
      <c r="E86" s="70">
        <v>-98.73</v>
      </c>
      <c r="F86" s="74">
        <v>-82.67</v>
      </c>
      <c r="G86" s="70">
        <v>-67.680000000000007</v>
      </c>
      <c r="H86" s="70">
        <v>-87.77</v>
      </c>
      <c r="J86" s="12">
        <v>10000</v>
      </c>
      <c r="K86" s="76">
        <v>-33.99</v>
      </c>
      <c r="L86">
        <v>-35.630000000000003</v>
      </c>
      <c r="M86">
        <v>-44.6</v>
      </c>
      <c r="N86">
        <v>-56.22</v>
      </c>
      <c r="Q86" s="19">
        <v>10000</v>
      </c>
      <c r="R86" s="8">
        <f t="shared" si="26"/>
        <v>78.789999999999992</v>
      </c>
      <c r="S86" s="8">
        <f t="shared" si="27"/>
        <v>64.210000000000008</v>
      </c>
      <c r="T86" s="8">
        <f t="shared" si="28"/>
        <v>84.740000000000009</v>
      </c>
      <c r="V86" s="19">
        <v>10000</v>
      </c>
      <c r="W86" s="8">
        <f t="shared" si="20"/>
        <v>75.913333333333341</v>
      </c>
      <c r="X86" s="8">
        <f t="shared" si="29"/>
        <v>-13.990000000000002</v>
      </c>
      <c r="Y86" s="8">
        <f t="shared" si="21"/>
        <v>-3.990000000000002</v>
      </c>
      <c r="AB86" s="20">
        <v>10000</v>
      </c>
      <c r="AC86" s="9">
        <f t="shared" si="30"/>
        <v>67.039999999999992</v>
      </c>
      <c r="AD86" s="9">
        <f t="shared" si="31"/>
        <v>52.050000000000004</v>
      </c>
      <c r="AE86" s="9">
        <f t="shared" si="32"/>
        <v>72.139999999999986</v>
      </c>
      <c r="AG86" s="20">
        <v>10000</v>
      </c>
      <c r="AH86" s="9">
        <f t="shared" si="22"/>
        <v>63.743333333333332</v>
      </c>
      <c r="AI86" s="9">
        <f t="shared" si="33"/>
        <v>-15.630000000000003</v>
      </c>
      <c r="AJ86" s="9">
        <f t="shared" si="23"/>
        <v>-5.6300000000000026</v>
      </c>
      <c r="AM86" s="21">
        <v>10000</v>
      </c>
      <c r="AN86" s="10">
        <v>-10</v>
      </c>
      <c r="AP86" s="10">
        <f t="shared" si="24"/>
        <v>-14.810000000000002</v>
      </c>
      <c r="AQ86" s="10">
        <f t="shared" si="25"/>
        <v>-4.8100000000000023</v>
      </c>
      <c r="AT86" s="12">
        <v>10000</v>
      </c>
      <c r="AU86" s="78"/>
      <c r="AV86" s="66"/>
      <c r="AW86" s="66"/>
      <c r="AX86" s="66"/>
      <c r="AY86" s="66"/>
      <c r="AZ86" s="66"/>
    </row>
    <row r="88" spans="2:52">
      <c r="C88" s="11">
        <f>MAX(C6:E86)</f>
        <v>-7.59</v>
      </c>
      <c r="F88" s="11">
        <f>MAX(F6:H86)</f>
        <v>-9.67</v>
      </c>
      <c r="K88" s="11" t="s">
        <v>158</v>
      </c>
      <c r="L88" s="11" t="s">
        <v>158</v>
      </c>
      <c r="AT88" s="16"/>
      <c r="AU88" s="11">
        <f>MAX(AU6:AW86)</f>
        <v>0</v>
      </c>
      <c r="AX88" s="11">
        <f>MAX(AX6:AZ86)</f>
        <v>0</v>
      </c>
      <c r="AY88" s="16"/>
      <c r="AZ88" s="16"/>
    </row>
    <row r="89" spans="2:52">
      <c r="K89" s="11">
        <v>13.122</v>
      </c>
      <c r="L89" s="11">
        <v>13.122</v>
      </c>
    </row>
    <row r="90" spans="2:52">
      <c r="K90" s="11">
        <v>8.3539999999999992</v>
      </c>
      <c r="L90" s="11">
        <v>8.3539999999999992</v>
      </c>
    </row>
    <row r="91" spans="2:52">
      <c r="K91" s="11">
        <v>5.0039999999999996</v>
      </c>
      <c r="L91" s="11">
        <v>5.0039999999999996</v>
      </c>
    </row>
    <row r="92" spans="2:52">
      <c r="K92" s="11">
        <v>10.173999999999999</v>
      </c>
      <c r="L92" s="11">
        <v>10.173999999999999</v>
      </c>
    </row>
    <row r="93" spans="2:52">
      <c r="K93" s="11">
        <v>9.27</v>
      </c>
      <c r="L93" s="11">
        <v>9.27</v>
      </c>
    </row>
    <row r="94" spans="2:52">
      <c r="K94" s="11">
        <v>17.451000000000001</v>
      </c>
      <c r="L94" s="11">
        <v>17.451000000000001</v>
      </c>
    </row>
    <row r="95" spans="2:52">
      <c r="K95" s="11">
        <v>31.56</v>
      </c>
      <c r="L95" s="11">
        <v>31.56</v>
      </c>
    </row>
    <row r="96" spans="2:52">
      <c r="K96" s="11">
        <v>32.51</v>
      </c>
      <c r="L96" s="11">
        <v>32.51</v>
      </c>
    </row>
    <row r="97" spans="11:12">
      <c r="K97" s="11">
        <v>31.54</v>
      </c>
      <c r="L97" s="11">
        <v>31.54</v>
      </c>
    </row>
    <row r="98" spans="11:12">
      <c r="K98" s="11">
        <v>20.158000000000001</v>
      </c>
      <c r="L98" s="11">
        <v>20.158000000000001</v>
      </c>
    </row>
    <row r="99" spans="11:12">
      <c r="K99" s="11">
        <v>12.657</v>
      </c>
      <c r="L99" s="11">
        <v>12.657</v>
      </c>
    </row>
    <row r="100" spans="11:12">
      <c r="K100" s="11">
        <v>12.488</v>
      </c>
      <c r="L100" s="11">
        <v>12.488</v>
      </c>
    </row>
    <row r="101" spans="11:12">
      <c r="K101" s="11">
        <v>8.6560000000000006</v>
      </c>
      <c r="L101" s="11">
        <v>8.6560000000000006</v>
      </c>
    </row>
    <row r="102" spans="11:12">
      <c r="K102" s="11">
        <v>13.228999999999999</v>
      </c>
      <c r="L102" s="11">
        <v>13.228999999999999</v>
      </c>
    </row>
    <row r="103" spans="11:12">
      <c r="K103" s="11">
        <v>12.781000000000001</v>
      </c>
      <c r="L103" s="11">
        <v>12.781000000000001</v>
      </c>
    </row>
    <row r="104" spans="11:12">
      <c r="K104" s="11">
        <v>21.077000000000002</v>
      </c>
      <c r="L104" s="11">
        <v>21.077000000000002</v>
      </c>
    </row>
    <row r="105" spans="11:12">
      <c r="K105" s="11">
        <v>23.823</v>
      </c>
      <c r="L105" s="11">
        <v>23.823</v>
      </c>
    </row>
    <row r="106" spans="11:12">
      <c r="K106" s="11">
        <v>21.577000000000002</v>
      </c>
      <c r="L106" s="11">
        <v>21.577000000000002</v>
      </c>
    </row>
    <row r="107" spans="11:12">
      <c r="K107" s="11">
        <v>13.548999999999999</v>
      </c>
      <c r="L107" s="11">
        <v>13.548999999999999</v>
      </c>
    </row>
    <row r="108" spans="11:12">
      <c r="K108" s="11">
        <v>14.62</v>
      </c>
      <c r="L108" s="11">
        <v>14.62</v>
      </c>
    </row>
    <row r="109" spans="11:12">
      <c r="K109" s="11">
        <v>18.510999999999999</v>
      </c>
      <c r="L109" s="11">
        <v>18.510999999999999</v>
      </c>
    </row>
    <row r="110" spans="11:12">
      <c r="K110" s="11">
        <v>21.026</v>
      </c>
      <c r="L110" s="11">
        <v>21.026</v>
      </c>
    </row>
    <row r="111" spans="11:12">
      <c r="K111" s="11">
        <v>21.864999999999998</v>
      </c>
      <c r="L111" s="11">
        <v>21.864999999999998</v>
      </c>
    </row>
    <row r="112" spans="11:12">
      <c r="K112" s="11">
        <v>21.811</v>
      </c>
      <c r="L112" s="11">
        <v>21.811</v>
      </c>
    </row>
    <row r="113" spans="11:12">
      <c r="K113" s="11">
        <v>17.073</v>
      </c>
      <c r="L113" s="11">
        <v>17.073</v>
      </c>
    </row>
    <row r="114" spans="11:12">
      <c r="K114" s="11">
        <v>22.379000000000001</v>
      </c>
      <c r="L114" s="11">
        <v>22.379000000000001</v>
      </c>
    </row>
    <row r="115" spans="11:12">
      <c r="K115" s="11">
        <v>24.74</v>
      </c>
      <c r="L115" s="11">
        <v>24.74</v>
      </c>
    </row>
    <row r="116" spans="11:12">
      <c r="K116" s="11">
        <v>24.067</v>
      </c>
      <c r="L116" s="11">
        <v>24.067</v>
      </c>
    </row>
    <row r="117" spans="11:12">
      <c r="K117" s="11">
        <v>24.844999999999999</v>
      </c>
      <c r="L117" s="11">
        <v>24.844999999999999</v>
      </c>
    </row>
    <row r="118" spans="11:12">
      <c r="K118" s="11">
        <v>24.224</v>
      </c>
      <c r="L118" s="11">
        <v>24.224</v>
      </c>
    </row>
    <row r="119" spans="11:12">
      <c r="K119" s="11">
        <v>24.588999999999999</v>
      </c>
      <c r="L119" s="11">
        <v>24.588999999999999</v>
      </c>
    </row>
    <row r="120" spans="11:12">
      <c r="K120" s="11">
        <v>26.54</v>
      </c>
      <c r="L120" s="11">
        <v>26.54</v>
      </c>
    </row>
    <row r="121" spans="11:12">
      <c r="K121" s="11">
        <v>24.018999999999998</v>
      </c>
      <c r="L121" s="11">
        <v>24.018999999999998</v>
      </c>
    </row>
    <row r="122" spans="11:12">
      <c r="K122" s="11">
        <v>24.079000000000001</v>
      </c>
      <c r="L122" s="11">
        <v>24.079000000000001</v>
      </c>
    </row>
    <row r="123" spans="11:12">
      <c r="K123" s="11">
        <v>24.893000000000001</v>
      </c>
      <c r="L123" s="11">
        <v>24.893000000000001</v>
      </c>
    </row>
    <row r="124" spans="11:12">
      <c r="K124" s="11">
        <v>23.29</v>
      </c>
      <c r="L124" s="11">
        <v>23.29</v>
      </c>
    </row>
    <row r="125" spans="11:12">
      <c r="K125" s="11">
        <v>22.800999999999998</v>
      </c>
      <c r="L125" s="11">
        <v>22.800999999999998</v>
      </c>
    </row>
    <row r="126" spans="11:12">
      <c r="K126" s="11">
        <v>22.914000000000001</v>
      </c>
      <c r="L126" s="11">
        <v>22.914000000000001</v>
      </c>
    </row>
    <row r="127" spans="11:12">
      <c r="K127" s="11">
        <v>23.818000000000001</v>
      </c>
      <c r="L127" s="11">
        <v>23.818000000000001</v>
      </c>
    </row>
    <row r="128" spans="11:12">
      <c r="K128" s="11">
        <v>23.943000000000001</v>
      </c>
      <c r="L128" s="11">
        <v>23.943000000000001</v>
      </c>
    </row>
    <row r="129" spans="11:12">
      <c r="K129" s="11">
        <v>24.347000000000001</v>
      </c>
      <c r="L129" s="11">
        <v>24.347000000000001</v>
      </c>
    </row>
    <row r="130" spans="11:12">
      <c r="K130" s="11">
        <v>24.712</v>
      </c>
      <c r="L130" s="11">
        <v>24.712</v>
      </c>
    </row>
    <row r="131" spans="11:12">
      <c r="K131" s="11">
        <v>25.337</v>
      </c>
      <c r="L131" s="11">
        <v>25.337</v>
      </c>
    </row>
    <row r="132" spans="11:12">
      <c r="K132" s="11">
        <v>24.623000000000001</v>
      </c>
      <c r="L132" s="11">
        <v>24.623000000000001</v>
      </c>
    </row>
    <row r="133" spans="11:12">
      <c r="K133" s="11">
        <v>25.588000000000001</v>
      </c>
      <c r="L133" s="11">
        <v>25.588000000000001</v>
      </c>
    </row>
    <row r="134" spans="11:12">
      <c r="K134" s="11">
        <v>25.74</v>
      </c>
      <c r="L134" s="11">
        <v>25.74</v>
      </c>
    </row>
    <row r="135" spans="11:12">
      <c r="K135" s="11">
        <v>26.637</v>
      </c>
      <c r="L135" s="11">
        <v>26.637</v>
      </c>
    </row>
    <row r="136" spans="11:12">
      <c r="K136" s="11">
        <v>26.838000000000001</v>
      </c>
      <c r="L136" s="11">
        <v>26.838000000000001</v>
      </c>
    </row>
    <row r="137" spans="11:12">
      <c r="K137" s="11">
        <v>27.327000000000002</v>
      </c>
      <c r="L137" s="11">
        <v>27.327000000000002</v>
      </c>
    </row>
    <row r="138" spans="11:12">
      <c r="K138" s="11">
        <v>27.053999999999998</v>
      </c>
      <c r="L138" s="11">
        <v>27.053999999999998</v>
      </c>
    </row>
    <row r="139" spans="11:12">
      <c r="K139" s="11">
        <v>27.466999999999999</v>
      </c>
      <c r="L139" s="11">
        <v>27.466999999999999</v>
      </c>
    </row>
    <row r="140" spans="11:12">
      <c r="K140" s="11">
        <v>27.646999999999998</v>
      </c>
      <c r="L140" s="11">
        <v>27.646999999999998</v>
      </c>
    </row>
    <row r="141" spans="11:12">
      <c r="K141" s="11">
        <v>27.187999999999999</v>
      </c>
      <c r="L141" s="11">
        <v>27.187999999999999</v>
      </c>
    </row>
    <row r="142" spans="11:12">
      <c r="K142" s="11">
        <v>26.195</v>
      </c>
      <c r="L142" s="11">
        <v>26.195</v>
      </c>
    </row>
    <row r="143" spans="11:12">
      <c r="K143" s="11">
        <v>30.893999999999998</v>
      </c>
      <c r="L143" s="11">
        <v>30.893999999999998</v>
      </c>
    </row>
    <row r="144" spans="11:12">
      <c r="K144" s="11">
        <v>33.770000000000003</v>
      </c>
      <c r="L144" s="11">
        <v>33.770000000000003</v>
      </c>
    </row>
    <row r="145" spans="11:12">
      <c r="K145" s="11">
        <v>28.559000000000001</v>
      </c>
      <c r="L145" s="11">
        <v>28.559000000000001</v>
      </c>
    </row>
    <row r="146" spans="11:12">
      <c r="K146" s="11">
        <v>28.225999999999999</v>
      </c>
      <c r="L146" s="11">
        <v>28.225999999999999</v>
      </c>
    </row>
    <row r="147" spans="11:12">
      <c r="K147" s="11">
        <v>28.597000000000001</v>
      </c>
      <c r="L147" s="11">
        <v>28.597000000000001</v>
      </c>
    </row>
    <row r="148" spans="11:12">
      <c r="K148" s="11">
        <v>28.491</v>
      </c>
      <c r="L148" s="11">
        <v>28.491</v>
      </c>
    </row>
    <row r="149" spans="11:12">
      <c r="K149" s="11">
        <v>29.96</v>
      </c>
      <c r="L149" s="11">
        <v>29.96</v>
      </c>
    </row>
    <row r="150" spans="11:12">
      <c r="K150" s="11">
        <v>32.5</v>
      </c>
      <c r="L150" s="11">
        <v>32.5</v>
      </c>
    </row>
    <row r="151" spans="11:12">
      <c r="K151" s="11">
        <v>32.14</v>
      </c>
      <c r="L151" s="11">
        <v>32.14</v>
      </c>
    </row>
    <row r="152" spans="11:12">
      <c r="K152" s="11">
        <v>31.87</v>
      </c>
      <c r="L152" s="11">
        <v>31.87</v>
      </c>
    </row>
    <row r="153" spans="11:12">
      <c r="K153" s="11">
        <v>31.89</v>
      </c>
      <c r="L153" s="11">
        <v>31.89</v>
      </c>
    </row>
    <row r="154" spans="11:12">
      <c r="K154" s="11">
        <v>31.76</v>
      </c>
      <c r="L154" s="11">
        <v>31.76</v>
      </c>
    </row>
    <row r="155" spans="11:12">
      <c r="K155" s="11">
        <v>32.03</v>
      </c>
      <c r="L155" s="11">
        <v>32.03</v>
      </c>
    </row>
    <row r="156" spans="11:12">
      <c r="K156" s="11">
        <v>32.35</v>
      </c>
      <c r="L156" s="11">
        <v>32.35</v>
      </c>
    </row>
    <row r="157" spans="11:12">
      <c r="K157" s="11">
        <v>32.89</v>
      </c>
      <c r="L157" s="11">
        <v>32.89</v>
      </c>
    </row>
    <row r="158" spans="11:12">
      <c r="K158" s="11">
        <v>32.82</v>
      </c>
      <c r="L158" s="11">
        <v>32.82</v>
      </c>
    </row>
    <row r="159" spans="11:12">
      <c r="K159" s="11">
        <v>32.56</v>
      </c>
      <c r="L159" s="11">
        <v>32.56</v>
      </c>
    </row>
    <row r="160" spans="11:12">
      <c r="K160" s="11">
        <v>33.130000000000003</v>
      </c>
      <c r="L160" s="11">
        <v>33.130000000000003</v>
      </c>
    </row>
    <row r="161" spans="11:12">
      <c r="K161" s="11">
        <v>33.26</v>
      </c>
      <c r="L161" s="11">
        <v>33.26</v>
      </c>
    </row>
    <row r="162" spans="11:12">
      <c r="K162" s="11">
        <v>33.299999999999997</v>
      </c>
      <c r="L162" s="11">
        <v>33.299999999999997</v>
      </c>
    </row>
    <row r="163" spans="11:12">
      <c r="K163" s="11">
        <v>33.409999999999997</v>
      </c>
      <c r="L163" s="11">
        <v>33.409999999999997</v>
      </c>
    </row>
    <row r="164" spans="11:12">
      <c r="K164" s="11">
        <v>33.42</v>
      </c>
      <c r="L164" s="11">
        <v>33.42</v>
      </c>
    </row>
    <row r="165" spans="11:12">
      <c r="K165" s="11">
        <v>33.75</v>
      </c>
      <c r="L165" s="11">
        <v>33.75</v>
      </c>
    </row>
    <row r="166" spans="11:12">
      <c r="K166" s="11">
        <v>33.76</v>
      </c>
      <c r="L166" s="11">
        <v>33.76</v>
      </c>
    </row>
    <row r="167" spans="11:12">
      <c r="K167" s="11">
        <v>33.81</v>
      </c>
      <c r="L167" s="11">
        <v>33.81</v>
      </c>
    </row>
    <row r="168" spans="11:12">
      <c r="K168" s="11">
        <v>33.96</v>
      </c>
      <c r="L168" s="11">
        <v>33.96</v>
      </c>
    </row>
    <row r="169" spans="11:12">
      <c r="K169" s="11">
        <v>33.93</v>
      </c>
      <c r="L169" s="11">
        <v>33.93</v>
      </c>
    </row>
    <row r="170" spans="11:12">
      <c r="K170" s="11" t="s">
        <v>158</v>
      </c>
      <c r="L170" s="11" t="s">
        <v>158</v>
      </c>
    </row>
    <row r="171" spans="11:12">
      <c r="K171" s="11">
        <v>11.349</v>
      </c>
      <c r="L171" s="11">
        <v>11.349</v>
      </c>
    </row>
    <row r="172" spans="11:12">
      <c r="K172" s="11">
        <v>7.1319999999999997</v>
      </c>
      <c r="L172" s="11">
        <v>7.1319999999999997</v>
      </c>
    </row>
    <row r="173" spans="11:12">
      <c r="K173" s="11">
        <v>7.9960000000000004</v>
      </c>
      <c r="L173" s="11">
        <v>7.9960000000000004</v>
      </c>
    </row>
    <row r="174" spans="11:12">
      <c r="K174" s="11">
        <v>6.407</v>
      </c>
      <c r="L174" s="11">
        <v>6.407</v>
      </c>
    </row>
    <row r="175" spans="11:12">
      <c r="K175" s="11">
        <v>7.9429999999999996</v>
      </c>
      <c r="L175" s="11">
        <v>7.9429999999999996</v>
      </c>
    </row>
    <row r="176" spans="11:12">
      <c r="K176" s="11">
        <v>17.050999999999998</v>
      </c>
      <c r="L176" s="11">
        <v>17.050999999999998</v>
      </c>
    </row>
    <row r="177" spans="11:12">
      <c r="K177" s="11">
        <v>31.19</v>
      </c>
      <c r="L177" s="11">
        <v>31.19</v>
      </c>
    </row>
    <row r="178" spans="11:12">
      <c r="K178" s="11">
        <v>32.54</v>
      </c>
      <c r="L178" s="11">
        <v>32.54</v>
      </c>
    </row>
    <row r="179" spans="11:12">
      <c r="K179" s="11">
        <v>31.48</v>
      </c>
      <c r="L179" s="11">
        <v>31.48</v>
      </c>
    </row>
    <row r="180" spans="11:12">
      <c r="K180" s="11">
        <v>19.774000000000001</v>
      </c>
      <c r="L180" s="11">
        <v>19.774000000000001</v>
      </c>
    </row>
    <row r="181" spans="11:12">
      <c r="K181" s="11">
        <v>10.304</v>
      </c>
      <c r="L181" s="11">
        <v>10.304</v>
      </c>
    </row>
    <row r="182" spans="11:12">
      <c r="K182" s="11">
        <v>12.994</v>
      </c>
      <c r="L182" s="11">
        <v>12.994</v>
      </c>
    </row>
    <row r="183" spans="11:12">
      <c r="K183" s="11">
        <v>13.101000000000001</v>
      </c>
      <c r="L183" s="11">
        <v>13.101000000000001</v>
      </c>
    </row>
    <row r="184" spans="11:12">
      <c r="K184" s="11">
        <v>11.757</v>
      </c>
      <c r="L184" s="11">
        <v>11.757</v>
      </c>
    </row>
    <row r="185" spans="11:12">
      <c r="K185" s="11">
        <v>14.689</v>
      </c>
      <c r="L185" s="11">
        <v>14.689</v>
      </c>
    </row>
    <row r="186" spans="11:12">
      <c r="K186" s="11">
        <v>20.975000000000001</v>
      </c>
      <c r="L186" s="11">
        <v>20.975000000000001</v>
      </c>
    </row>
    <row r="187" spans="11:12">
      <c r="K187" s="11">
        <v>19.954999999999998</v>
      </c>
      <c r="L187" s="11">
        <v>19.954999999999998</v>
      </c>
    </row>
    <row r="188" spans="11:12">
      <c r="K188" s="11">
        <v>21.507000000000001</v>
      </c>
      <c r="L188" s="11">
        <v>21.507000000000001</v>
      </c>
    </row>
    <row r="189" spans="11:12">
      <c r="K189" s="11">
        <v>13.898999999999999</v>
      </c>
      <c r="L189" s="11">
        <v>13.898999999999999</v>
      </c>
    </row>
    <row r="190" spans="11:12">
      <c r="K190" s="11">
        <v>16.234000000000002</v>
      </c>
      <c r="L190" s="11">
        <v>16.234000000000002</v>
      </c>
    </row>
    <row r="191" spans="11:12">
      <c r="K191" s="11">
        <v>18.350999999999999</v>
      </c>
      <c r="L191" s="11">
        <v>18.350999999999999</v>
      </c>
    </row>
    <row r="192" spans="11:12">
      <c r="K192" s="11">
        <v>21.527000000000001</v>
      </c>
      <c r="L192" s="11">
        <v>21.527000000000001</v>
      </c>
    </row>
    <row r="193" spans="11:12">
      <c r="K193" s="11">
        <v>21.404</v>
      </c>
      <c r="L193" s="11">
        <v>21.404</v>
      </c>
    </row>
    <row r="194" spans="11:12">
      <c r="K194" s="11">
        <v>22.376999999999999</v>
      </c>
      <c r="L194" s="11">
        <v>22.376999999999999</v>
      </c>
    </row>
    <row r="195" spans="11:12">
      <c r="K195" s="11">
        <v>16.157</v>
      </c>
      <c r="L195" s="11">
        <v>16.157</v>
      </c>
    </row>
    <row r="196" spans="11:12">
      <c r="K196" s="11">
        <v>22.922999999999998</v>
      </c>
      <c r="L196" s="11">
        <v>22.922999999999998</v>
      </c>
    </row>
    <row r="197" spans="11:12">
      <c r="K197" s="11">
        <v>24.207000000000001</v>
      </c>
      <c r="L197" s="11">
        <v>24.207000000000001</v>
      </c>
    </row>
    <row r="198" spans="11:12">
      <c r="K198" s="11">
        <v>23.408000000000001</v>
      </c>
      <c r="L198" s="11">
        <v>23.408000000000001</v>
      </c>
    </row>
    <row r="199" spans="11:12">
      <c r="K199" s="11">
        <v>24.387</v>
      </c>
      <c r="L199" s="11">
        <v>24.387</v>
      </c>
    </row>
    <row r="200" spans="11:12">
      <c r="K200" s="11">
        <v>24.529</v>
      </c>
      <c r="L200" s="11">
        <v>24.529</v>
      </c>
    </row>
    <row r="201" spans="11:12">
      <c r="K201" s="11">
        <v>25.196000000000002</v>
      </c>
      <c r="L201" s="11">
        <v>25.196000000000002</v>
      </c>
    </row>
    <row r="202" spans="11:12">
      <c r="K202" s="11">
        <v>26.594000000000001</v>
      </c>
      <c r="L202" s="11">
        <v>26.594000000000001</v>
      </c>
    </row>
    <row r="203" spans="11:12">
      <c r="K203" s="11">
        <v>23.321999999999999</v>
      </c>
      <c r="L203" s="11">
        <v>23.321999999999999</v>
      </c>
    </row>
    <row r="204" spans="11:12">
      <c r="K204" s="11">
        <v>22.469000000000001</v>
      </c>
      <c r="L204" s="11">
        <v>22.469000000000001</v>
      </c>
    </row>
    <row r="205" spans="11:12">
      <c r="K205" s="11">
        <v>24.231999999999999</v>
      </c>
      <c r="L205" s="11">
        <v>24.231999999999999</v>
      </c>
    </row>
    <row r="206" spans="11:12">
      <c r="K206" s="11">
        <v>23.414999999999999</v>
      </c>
      <c r="L206" s="11">
        <v>23.414999999999999</v>
      </c>
    </row>
    <row r="207" spans="11:12">
      <c r="K207" s="11">
        <v>22.751000000000001</v>
      </c>
      <c r="L207" s="11">
        <v>22.751000000000001</v>
      </c>
    </row>
    <row r="208" spans="11:12">
      <c r="K208" s="11">
        <v>22.789000000000001</v>
      </c>
      <c r="L208" s="11">
        <v>22.789000000000001</v>
      </c>
    </row>
    <row r="209" spans="11:12">
      <c r="K209" s="11">
        <v>23.818000000000001</v>
      </c>
      <c r="L209" s="11">
        <v>23.818000000000001</v>
      </c>
    </row>
    <row r="210" spans="11:12">
      <c r="K210" s="11">
        <v>23.63</v>
      </c>
      <c r="L210" s="11">
        <v>23.63</v>
      </c>
    </row>
    <row r="211" spans="11:12">
      <c r="K211" s="11">
        <v>23.422000000000001</v>
      </c>
      <c r="L211" s="11">
        <v>23.422000000000001</v>
      </c>
    </row>
    <row r="212" spans="11:12">
      <c r="K212" s="11">
        <v>24.707999999999998</v>
      </c>
      <c r="L212" s="11">
        <v>24.707999999999998</v>
      </c>
    </row>
    <row r="213" spans="11:12">
      <c r="K213" s="11">
        <v>24.975000000000001</v>
      </c>
      <c r="L213" s="11">
        <v>24.975000000000001</v>
      </c>
    </row>
    <row r="214" spans="11:12">
      <c r="K214" s="11">
        <v>24.925999999999998</v>
      </c>
      <c r="L214" s="11">
        <v>24.925999999999998</v>
      </c>
    </row>
    <row r="215" spans="11:12">
      <c r="K215" s="11">
        <v>25.274000000000001</v>
      </c>
      <c r="L215" s="11">
        <v>25.274000000000001</v>
      </c>
    </row>
    <row r="216" spans="11:12">
      <c r="K216" s="11">
        <v>25.9</v>
      </c>
      <c r="L216" s="11">
        <v>25.9</v>
      </c>
    </row>
    <row r="217" spans="11:12">
      <c r="K217" s="11">
        <v>26.675999999999998</v>
      </c>
      <c r="L217" s="11">
        <v>26.675999999999998</v>
      </c>
    </row>
    <row r="218" spans="11:12">
      <c r="K218" s="11">
        <v>26.972000000000001</v>
      </c>
      <c r="L218" s="11">
        <v>26.972000000000001</v>
      </c>
    </row>
    <row r="219" spans="11:12">
      <c r="K219" s="11">
        <v>27.312000000000001</v>
      </c>
      <c r="L219" s="11">
        <v>27.312000000000001</v>
      </c>
    </row>
    <row r="220" spans="11:12">
      <c r="K220" s="11">
        <v>27.713999999999999</v>
      </c>
      <c r="L220" s="11">
        <v>27.713999999999999</v>
      </c>
    </row>
    <row r="221" spans="11:12">
      <c r="K221" s="11">
        <v>27.251000000000001</v>
      </c>
      <c r="L221" s="11">
        <v>27.251000000000001</v>
      </c>
    </row>
    <row r="222" spans="11:12">
      <c r="K222" s="11">
        <v>26.968</v>
      </c>
      <c r="L222" s="11">
        <v>26.968</v>
      </c>
    </row>
    <row r="223" spans="11:12">
      <c r="K223" s="11">
        <v>25.917000000000002</v>
      </c>
      <c r="L223" s="11">
        <v>25.917000000000002</v>
      </c>
    </row>
    <row r="224" spans="11:12">
      <c r="K224" s="11">
        <v>26.46</v>
      </c>
      <c r="L224" s="11">
        <v>26.46</v>
      </c>
    </row>
    <row r="225" spans="11:12">
      <c r="K225" s="11">
        <v>32.61</v>
      </c>
      <c r="L225" s="11">
        <v>32.61</v>
      </c>
    </row>
    <row r="226" spans="11:12">
      <c r="K226" s="11">
        <v>33.67</v>
      </c>
      <c r="L226" s="11">
        <v>33.67</v>
      </c>
    </row>
    <row r="227" spans="11:12">
      <c r="K227" s="11">
        <v>29.303999999999998</v>
      </c>
      <c r="L227" s="11">
        <v>29.303999999999998</v>
      </c>
    </row>
    <row r="228" spans="11:12">
      <c r="K228" s="11">
        <v>27.414000000000001</v>
      </c>
      <c r="L228" s="11">
        <v>27.414000000000001</v>
      </c>
    </row>
    <row r="229" spans="11:12">
      <c r="K229" s="11">
        <v>28.873999999999999</v>
      </c>
      <c r="L229" s="11">
        <v>28.873999999999999</v>
      </c>
    </row>
    <row r="230" spans="11:12">
      <c r="K230" s="11">
        <v>28.626999999999999</v>
      </c>
      <c r="L230" s="11">
        <v>28.626999999999999</v>
      </c>
    </row>
    <row r="231" spans="11:12">
      <c r="K231" s="11">
        <v>29.289000000000001</v>
      </c>
      <c r="L231" s="11">
        <v>29.289000000000001</v>
      </c>
    </row>
    <row r="232" spans="11:12">
      <c r="K232" s="11">
        <v>32.51</v>
      </c>
      <c r="L232" s="11">
        <v>32.51</v>
      </c>
    </row>
    <row r="233" spans="11:12">
      <c r="K233" s="11">
        <v>32.07</v>
      </c>
      <c r="L233" s="11">
        <v>32.07</v>
      </c>
    </row>
    <row r="234" spans="11:12">
      <c r="K234" s="11">
        <v>31.88</v>
      </c>
      <c r="L234" s="11">
        <v>31.88</v>
      </c>
    </row>
    <row r="235" spans="11:12">
      <c r="K235" s="11">
        <v>32.04</v>
      </c>
      <c r="L235" s="11">
        <v>32.04</v>
      </c>
    </row>
    <row r="236" spans="11:12">
      <c r="K236" s="11">
        <v>32.14</v>
      </c>
      <c r="L236" s="11">
        <v>32.14</v>
      </c>
    </row>
    <row r="237" spans="11:12">
      <c r="K237" s="11">
        <v>32.03</v>
      </c>
      <c r="L237" s="11">
        <v>32.03</v>
      </c>
    </row>
    <row r="238" spans="11:12">
      <c r="K238" s="11">
        <v>32.229999999999997</v>
      </c>
      <c r="L238" s="11">
        <v>32.229999999999997</v>
      </c>
    </row>
    <row r="239" spans="11:12">
      <c r="K239" s="11">
        <v>32.770000000000003</v>
      </c>
      <c r="L239" s="11">
        <v>32.770000000000003</v>
      </c>
    </row>
    <row r="240" spans="11:12">
      <c r="K240" s="11">
        <v>32.92</v>
      </c>
      <c r="L240" s="11">
        <v>32.92</v>
      </c>
    </row>
    <row r="241" spans="11:12">
      <c r="K241" s="11">
        <v>32.46</v>
      </c>
      <c r="L241" s="11">
        <v>32.46</v>
      </c>
    </row>
    <row r="242" spans="11:12">
      <c r="K242" s="11">
        <v>33.07</v>
      </c>
      <c r="L242" s="11">
        <v>33.07</v>
      </c>
    </row>
    <row r="243" spans="11:12">
      <c r="K243" s="11">
        <v>33.380000000000003</v>
      </c>
      <c r="L243" s="11">
        <v>33.380000000000003</v>
      </c>
    </row>
    <row r="244" spans="11:12">
      <c r="K244" s="11">
        <v>33.33</v>
      </c>
      <c r="L244" s="11">
        <v>33.33</v>
      </c>
    </row>
    <row r="245" spans="11:12">
      <c r="K245" s="11">
        <v>33.53</v>
      </c>
      <c r="L245" s="11">
        <v>33.53</v>
      </c>
    </row>
    <row r="246" spans="11:12">
      <c r="K246" s="11">
        <v>33.619999999999997</v>
      </c>
      <c r="L246" s="11">
        <v>33.619999999999997</v>
      </c>
    </row>
    <row r="247" spans="11:12">
      <c r="K247" s="11">
        <v>33.659999999999997</v>
      </c>
      <c r="L247" s="11">
        <v>33.659999999999997</v>
      </c>
    </row>
    <row r="248" spans="11:12">
      <c r="K248" s="11">
        <v>33.81</v>
      </c>
      <c r="L248" s="11">
        <v>33.81</v>
      </c>
    </row>
    <row r="249" spans="11:12">
      <c r="K249" s="11">
        <v>33.9</v>
      </c>
      <c r="L249" s="11">
        <v>33.9</v>
      </c>
    </row>
    <row r="250" spans="11:12">
      <c r="K250" s="11">
        <v>33.96</v>
      </c>
      <c r="L250" s="11">
        <v>33.96</v>
      </c>
    </row>
    <row r="251" spans="11:12">
      <c r="K251" s="11">
        <v>34.01</v>
      </c>
      <c r="L251" s="11">
        <v>34.01</v>
      </c>
    </row>
  </sheetData>
  <sheetProtection formatCells="0" formatColumns="0" formatRows="0" selectLockedCells="1" selectUnlockedCells="1"/>
  <dataConsolidate link="1"/>
  <mergeCells count="2">
    <mergeCell ref="B2:G2"/>
    <mergeCell ref="AT2:AY2"/>
  </mergeCells>
  <phoneticPr fontId="2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B251"/>
  <sheetViews>
    <sheetView topLeftCell="B1" workbookViewId="0">
      <selection activeCell="N5" sqref="N5"/>
    </sheetView>
  </sheetViews>
  <sheetFormatPr defaultRowHeight="12.75"/>
  <cols>
    <col min="1" max="1" width="19.85546875" style="17" bestFit="1" customWidth="1"/>
    <col min="2" max="2" width="6" style="12" bestFit="1" customWidth="1"/>
    <col min="3" max="3" width="9.140625" style="11"/>
    <col min="4" max="4" width="9.28515625" style="11" bestFit="1" customWidth="1"/>
    <col min="5" max="5" width="7.85546875" style="11" bestFit="1" customWidth="1"/>
    <col min="6" max="6" width="8.7109375" style="11" bestFit="1" customWidth="1"/>
    <col min="7" max="7" width="8.85546875" style="11" bestFit="1" customWidth="1"/>
    <col min="8" max="8" width="7.5703125" style="11" bestFit="1" customWidth="1"/>
    <col min="9" max="9" width="9.140625" style="11"/>
    <col min="10" max="10" width="6" style="12" bestFit="1" customWidth="1"/>
    <col min="11" max="11" width="23.140625" style="11" bestFit="1" customWidth="1"/>
    <col min="12" max="12" width="22.7109375" style="11" bestFit="1" customWidth="1"/>
    <col min="13" max="14" width="22.7109375" style="11" customWidth="1"/>
    <col min="15" max="15" width="11.28515625" style="11" customWidth="1"/>
    <col min="16" max="16" width="26.7109375" style="14" bestFit="1" customWidth="1"/>
    <col min="17" max="17" width="6" style="19" bestFit="1" customWidth="1"/>
    <col min="18" max="18" width="9.85546875" style="8" bestFit="1" customWidth="1"/>
    <col min="19" max="19" width="10" style="8" bestFit="1" customWidth="1"/>
    <col min="20" max="20" width="8.5703125" style="8" bestFit="1" customWidth="1"/>
    <col min="21" max="21" width="9.140625" style="8"/>
    <col min="22" max="22" width="6" style="19" bestFit="1" customWidth="1"/>
    <col min="23" max="23" width="12" style="8" bestFit="1" customWidth="1"/>
    <col min="24" max="24" width="10.7109375" style="8" bestFit="1" customWidth="1"/>
    <col min="25" max="25" width="13.7109375" style="8" bestFit="1" customWidth="1"/>
    <col min="26" max="26" width="12.85546875" style="8" customWidth="1"/>
    <col min="27" max="27" width="25.5703125" style="15" bestFit="1" customWidth="1"/>
    <col min="28" max="28" width="6" style="20" bestFit="1" customWidth="1"/>
    <col min="29" max="29" width="10" style="9" bestFit="1" customWidth="1"/>
    <col min="30" max="30" width="10.140625" style="9" bestFit="1" customWidth="1"/>
    <col min="31" max="31" width="8.7109375" style="9" bestFit="1" customWidth="1"/>
    <col min="32" max="32" width="12.85546875" style="9" customWidth="1"/>
    <col min="33" max="33" width="6" style="20" bestFit="1" customWidth="1"/>
    <col min="34" max="34" width="12" style="9" bestFit="1" customWidth="1"/>
    <col min="35" max="35" width="10.28515625" style="9" bestFit="1" customWidth="1"/>
    <col min="36" max="36" width="13.7109375" style="9" bestFit="1" customWidth="1"/>
    <col min="37" max="37" width="12.85546875" style="9" customWidth="1"/>
    <col min="38" max="38" width="22" style="16" bestFit="1" customWidth="1"/>
    <col min="39" max="39" width="6" style="21" bestFit="1" customWidth="1"/>
    <col min="40" max="40" width="10.85546875" style="10" bestFit="1" customWidth="1"/>
    <col min="41" max="41" width="17.7109375" style="10" bestFit="1" customWidth="1"/>
    <col min="42" max="42" width="13.7109375" style="10" bestFit="1" customWidth="1"/>
    <col min="43" max="43" width="19.140625" style="10" bestFit="1" customWidth="1"/>
    <col min="44" max="45" width="9.140625" style="16"/>
    <col min="46" max="46" width="6" style="12" bestFit="1" customWidth="1"/>
    <col min="47" max="47" width="9.140625" style="11"/>
    <col min="48" max="48" width="9.28515625" style="11" bestFit="1" customWidth="1"/>
    <col min="49" max="49" width="7.85546875" style="11" bestFit="1" customWidth="1"/>
    <col min="50" max="50" width="8.7109375" style="11" bestFit="1" customWidth="1"/>
    <col min="51" max="51" width="8.85546875" style="11" bestFit="1" customWidth="1"/>
    <col min="52" max="52" width="7.5703125" style="11" bestFit="1" customWidth="1"/>
    <col min="53" max="78" width="9.140625" style="16"/>
  </cols>
  <sheetData>
    <row r="1" spans="1:78" s="24" customFormat="1">
      <c r="B1" s="25"/>
      <c r="J1" s="25"/>
      <c r="M1" s="25"/>
      <c r="N1" s="25"/>
      <c r="Q1" s="24">
        <v>15</v>
      </c>
      <c r="V1" s="25"/>
      <c r="AB1" s="25"/>
      <c r="AG1" s="25"/>
      <c r="AM1" s="25"/>
      <c r="AN1" s="25">
        <v>38</v>
      </c>
      <c r="AO1" s="24">
        <v>39</v>
      </c>
      <c r="AT1" s="25"/>
    </row>
    <row r="2" spans="1:78" s="24" customFormat="1" ht="18">
      <c r="A2" s="26" t="s">
        <v>29</v>
      </c>
      <c r="B2" s="118" t="str">
        <f>CONCATENATE(ModelName, "#",SC_Import!D5)</f>
        <v>Delhi80#</v>
      </c>
      <c r="C2" s="118"/>
      <c r="D2" s="118"/>
      <c r="E2" s="118"/>
      <c r="F2" s="118"/>
      <c r="G2" s="118"/>
      <c r="J2" s="25"/>
      <c r="K2" s="24">
        <v>30</v>
      </c>
      <c r="Q2" s="25"/>
      <c r="V2" s="25"/>
      <c r="AB2" s="25"/>
      <c r="AG2" s="25"/>
      <c r="AM2" s="25"/>
      <c r="AT2" s="118"/>
      <c r="AU2" s="118"/>
      <c r="AV2" s="118"/>
      <c r="AW2" s="118"/>
      <c r="AX2" s="118"/>
      <c r="AY2" s="118"/>
    </row>
    <row r="3" spans="1:78" s="24" customFormat="1">
      <c r="B3" s="25"/>
      <c r="J3" s="25"/>
      <c r="Q3" s="25"/>
      <c r="V3" s="25"/>
      <c r="AB3" s="25"/>
      <c r="AG3" s="25"/>
      <c r="AM3" s="25"/>
      <c r="AT3" s="25"/>
    </row>
    <row r="4" spans="1:78" ht="18">
      <c r="A4" s="13" t="s">
        <v>25</v>
      </c>
      <c r="C4" s="12" t="s">
        <v>108</v>
      </c>
      <c r="D4" s="12" t="s">
        <v>109</v>
      </c>
      <c r="E4" s="12" t="s">
        <v>110</v>
      </c>
      <c r="F4" s="12" t="s">
        <v>111</v>
      </c>
      <c r="G4" s="12" t="s">
        <v>112</v>
      </c>
      <c r="H4" s="12" t="s">
        <v>113</v>
      </c>
      <c r="P4" s="13" t="s">
        <v>26</v>
      </c>
      <c r="AA4" s="13" t="s">
        <v>27</v>
      </c>
      <c r="AL4" s="13" t="s">
        <v>32</v>
      </c>
      <c r="AU4" s="12" t="s">
        <v>0</v>
      </c>
      <c r="AV4" s="12" t="s">
        <v>1</v>
      </c>
      <c r="AW4" s="12" t="s">
        <v>68</v>
      </c>
      <c r="AX4" s="12" t="s">
        <v>69</v>
      </c>
      <c r="AY4" s="12" t="s">
        <v>70</v>
      </c>
      <c r="AZ4" s="12" t="s">
        <v>71</v>
      </c>
    </row>
    <row r="5" spans="1:78" s="23" customFormat="1">
      <c r="A5" s="18"/>
      <c r="B5" s="12"/>
      <c r="C5" s="12" t="str">
        <f>CONCATENATE(C4,Settings!$C$5)</f>
        <v>Front_HL1</v>
      </c>
      <c r="D5" s="12" t="str">
        <f>CONCATENATE(D4,Settings!$C$5)</f>
        <v>Front_HR1</v>
      </c>
      <c r="E5" s="12" t="str">
        <f>CONCATENATE(E4,Settings!$C$5)</f>
        <v>Front_L1</v>
      </c>
      <c r="F5" s="12" t="str">
        <f>CONCATENATE(F4,Settings!$C$5)</f>
        <v>Rear_HL1</v>
      </c>
      <c r="G5" s="12" t="str">
        <f>CONCATENATE(G4,Settings!$C$5)</f>
        <v>Rear_HR1</v>
      </c>
      <c r="H5" s="12" t="str">
        <f>CONCATENATE(H4,Settings!$C$5)</f>
        <v>Rear_L1</v>
      </c>
      <c r="I5" s="12"/>
      <c r="J5" s="12"/>
      <c r="K5" s="12" t="s">
        <v>20</v>
      </c>
      <c r="L5" s="12" t="s">
        <v>21</v>
      </c>
      <c r="M5" s="12" t="s">
        <v>228</v>
      </c>
      <c r="N5" s="12" t="s">
        <v>229</v>
      </c>
      <c r="O5" s="12"/>
      <c r="P5" s="18"/>
      <c r="Q5" s="19"/>
      <c r="R5" s="19" t="s">
        <v>2</v>
      </c>
      <c r="S5" s="19" t="s">
        <v>3</v>
      </c>
      <c r="T5" s="19" t="s">
        <v>4</v>
      </c>
      <c r="U5" s="19"/>
      <c r="V5" s="19"/>
      <c r="W5" s="19" t="s">
        <v>8</v>
      </c>
      <c r="X5" s="19" t="s">
        <v>22</v>
      </c>
      <c r="Y5" s="19" t="s">
        <v>10</v>
      </c>
      <c r="Z5" s="19"/>
      <c r="AA5" s="18"/>
      <c r="AB5" s="20"/>
      <c r="AC5" s="20" t="s">
        <v>5</v>
      </c>
      <c r="AD5" s="20" t="s">
        <v>6</v>
      </c>
      <c r="AE5" s="20" t="s">
        <v>7</v>
      </c>
      <c r="AF5" s="20"/>
      <c r="AG5" s="20"/>
      <c r="AH5" s="20" t="s">
        <v>9</v>
      </c>
      <c r="AI5" s="20" t="s">
        <v>23</v>
      </c>
      <c r="AJ5" s="20" t="s">
        <v>10</v>
      </c>
      <c r="AK5" s="20"/>
      <c r="AL5" s="18"/>
      <c r="AM5" s="21"/>
      <c r="AN5" s="21" t="s">
        <v>11</v>
      </c>
      <c r="AO5" s="21" t="s">
        <v>24</v>
      </c>
      <c r="AP5" s="21" t="s">
        <v>33</v>
      </c>
      <c r="AQ5" s="21" t="s">
        <v>34</v>
      </c>
      <c r="AR5" s="22"/>
      <c r="AS5" s="22"/>
      <c r="AT5" s="12"/>
      <c r="AU5" s="12" t="str">
        <f>CONCATENATE(AU4,Settings!$C$6)</f>
        <v>Front_HL</v>
      </c>
      <c r="AV5" s="12" t="str">
        <f>CONCATENATE(AV4,Settings!$C$6)</f>
        <v>Front_HR</v>
      </c>
      <c r="AW5" s="12" t="str">
        <f>CONCATENATE(AW4,Settings!$C$6)</f>
        <v>Front_L</v>
      </c>
      <c r="AX5" s="12" t="str">
        <f>CONCATENATE(AX4,Settings!$C$6)</f>
        <v>Rear_HL</v>
      </c>
      <c r="AY5" s="12" t="str">
        <f>CONCATENATE(AY4,Settings!$C$6)</f>
        <v>Rear_HR</v>
      </c>
      <c r="AZ5" s="12" t="str">
        <f>CONCATENATE(AZ4,Settings!$C$6)</f>
        <v>Rear_L</v>
      </c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</row>
    <row r="6" spans="1:78" ht="16.5">
      <c r="B6" s="12">
        <v>100</v>
      </c>
      <c r="C6" s="71"/>
      <c r="D6" s="71"/>
      <c r="E6" s="71"/>
      <c r="F6" s="74"/>
      <c r="G6" s="71"/>
      <c r="H6" s="71"/>
      <c r="J6" s="12">
        <v>100</v>
      </c>
      <c r="K6" s="84"/>
      <c r="L6"/>
      <c r="M6"/>
      <c r="N6"/>
      <c r="Q6" s="19">
        <v>100</v>
      </c>
      <c r="R6" s="8">
        <f t="shared" ref="R6:R37" si="0">+$K6+20-C6</f>
        <v>20</v>
      </c>
      <c r="S6" s="8">
        <f t="shared" ref="S6:S37" si="1">+$K6+20-D6</f>
        <v>20</v>
      </c>
      <c r="T6" s="8">
        <f t="shared" ref="T6:T37" si="2">+$K6+20-E6</f>
        <v>20</v>
      </c>
      <c r="V6" s="19">
        <v>100</v>
      </c>
      <c r="W6" s="8">
        <f t="shared" ref="W6:W69" si="3">+AVERAGE(R6:T6)</f>
        <v>20</v>
      </c>
      <c r="X6" s="8">
        <f>+K6+20</f>
        <v>20</v>
      </c>
      <c r="Y6" s="8">
        <f t="shared" ref="Y6:Y37" si="4">+X6-$AN6</f>
        <v>30</v>
      </c>
      <c r="AB6" s="20">
        <v>100</v>
      </c>
      <c r="AC6" s="9">
        <f t="shared" ref="AC6:AC37" si="5">+$L6+20-F6</f>
        <v>20</v>
      </c>
      <c r="AD6" s="9">
        <f t="shared" ref="AD6:AD37" si="6">+$L6+20-G6</f>
        <v>20</v>
      </c>
      <c r="AE6" s="9">
        <f t="shared" ref="AE6:AE37" si="7">+$L6+20-H6</f>
        <v>20</v>
      </c>
      <c r="AG6" s="20">
        <v>100</v>
      </c>
      <c r="AH6" s="9">
        <f t="shared" ref="AH6:AH69" si="8">+AVERAGE(AC6:AE6)</f>
        <v>20</v>
      </c>
      <c r="AI6" s="9">
        <f>+L6+20</f>
        <v>20</v>
      </c>
      <c r="AJ6" s="9">
        <f t="shared" ref="AJ6:AJ69" si="9">+AI6-$AN6</f>
        <v>30</v>
      </c>
      <c r="AM6" s="21">
        <v>100</v>
      </c>
      <c r="AN6" s="10">
        <v>-10</v>
      </c>
      <c r="AP6" s="10">
        <f t="shared" ref="AP6:AP37" si="10">+AVERAGE(AI6,X6)</f>
        <v>20</v>
      </c>
      <c r="AQ6" s="10">
        <f t="shared" ref="AQ6:AQ37" si="11">+AP6-AN6</f>
        <v>30</v>
      </c>
      <c r="AT6" s="12">
        <v>100</v>
      </c>
      <c r="AU6" s="79"/>
      <c r="AV6" s="67"/>
      <c r="AW6" s="67"/>
      <c r="AX6" s="67"/>
      <c r="AY6" s="67"/>
      <c r="AZ6" s="67"/>
    </row>
    <row r="7" spans="1:78" ht="16.5">
      <c r="B7" s="12">
        <v>106</v>
      </c>
      <c r="C7" s="71"/>
      <c r="D7" s="71"/>
      <c r="E7" s="71"/>
      <c r="F7" s="74"/>
      <c r="G7" s="71"/>
      <c r="H7" s="71"/>
      <c r="J7" s="12">
        <v>106</v>
      </c>
      <c r="K7" s="84"/>
      <c r="L7"/>
      <c r="M7"/>
      <c r="N7"/>
      <c r="Q7" s="19">
        <v>106</v>
      </c>
      <c r="R7" s="8">
        <f t="shared" si="0"/>
        <v>20</v>
      </c>
      <c r="S7" s="8">
        <f t="shared" si="1"/>
        <v>20</v>
      </c>
      <c r="T7" s="8">
        <f t="shared" si="2"/>
        <v>20</v>
      </c>
      <c r="V7" s="19">
        <v>106</v>
      </c>
      <c r="W7" s="8">
        <f t="shared" si="3"/>
        <v>20</v>
      </c>
      <c r="X7" s="8">
        <f t="shared" ref="X7:X70" si="12">+K7+20</f>
        <v>20</v>
      </c>
      <c r="Y7" s="8">
        <f t="shared" si="4"/>
        <v>30</v>
      </c>
      <c r="AB7" s="20">
        <v>106</v>
      </c>
      <c r="AC7" s="9">
        <f t="shared" si="5"/>
        <v>20</v>
      </c>
      <c r="AD7" s="9">
        <f t="shared" si="6"/>
        <v>20</v>
      </c>
      <c r="AE7" s="9">
        <f t="shared" si="7"/>
        <v>20</v>
      </c>
      <c r="AG7" s="20">
        <v>106</v>
      </c>
      <c r="AH7" s="9">
        <f t="shared" si="8"/>
        <v>20</v>
      </c>
      <c r="AI7" s="9">
        <f t="shared" ref="AI7:AI70" si="13">+L7+20</f>
        <v>20</v>
      </c>
      <c r="AJ7" s="9">
        <f t="shared" si="9"/>
        <v>30</v>
      </c>
      <c r="AM7" s="21">
        <v>106</v>
      </c>
      <c r="AN7" s="10">
        <v>-10</v>
      </c>
      <c r="AO7" s="10">
        <v>10</v>
      </c>
      <c r="AP7" s="10">
        <f t="shared" si="10"/>
        <v>20</v>
      </c>
      <c r="AQ7" s="10">
        <f t="shared" si="11"/>
        <v>30</v>
      </c>
      <c r="AT7" s="12">
        <v>106</v>
      </c>
      <c r="AU7" s="79"/>
      <c r="AV7" s="67"/>
      <c r="AW7" s="67"/>
      <c r="AX7" s="67"/>
      <c r="AY7" s="67"/>
      <c r="AZ7" s="67"/>
    </row>
    <row r="8" spans="1:78" ht="16.5">
      <c r="B8" s="12">
        <v>112</v>
      </c>
      <c r="C8" s="71"/>
      <c r="D8" s="71"/>
      <c r="E8" s="71"/>
      <c r="F8" s="74"/>
      <c r="G8" s="71"/>
      <c r="H8" s="71"/>
      <c r="J8" s="12">
        <v>112</v>
      </c>
      <c r="K8" s="84"/>
      <c r="L8"/>
      <c r="M8"/>
      <c r="N8"/>
      <c r="Q8" s="19">
        <v>112</v>
      </c>
      <c r="R8" s="8">
        <f t="shared" si="0"/>
        <v>20</v>
      </c>
      <c r="S8" s="8">
        <f t="shared" si="1"/>
        <v>20</v>
      </c>
      <c r="T8" s="8">
        <f t="shared" si="2"/>
        <v>20</v>
      </c>
      <c r="V8" s="19">
        <v>112</v>
      </c>
      <c r="W8" s="8">
        <f t="shared" si="3"/>
        <v>20</v>
      </c>
      <c r="X8" s="8">
        <f t="shared" si="12"/>
        <v>20</v>
      </c>
      <c r="Y8" s="8">
        <f t="shared" si="4"/>
        <v>30</v>
      </c>
      <c r="AB8" s="20">
        <v>112</v>
      </c>
      <c r="AC8" s="9">
        <f t="shared" si="5"/>
        <v>20</v>
      </c>
      <c r="AD8" s="9">
        <f t="shared" si="6"/>
        <v>20</v>
      </c>
      <c r="AE8" s="9">
        <f t="shared" si="7"/>
        <v>20</v>
      </c>
      <c r="AG8" s="20">
        <v>112</v>
      </c>
      <c r="AH8" s="9">
        <f t="shared" si="8"/>
        <v>20</v>
      </c>
      <c r="AI8" s="9">
        <f t="shared" si="13"/>
        <v>20</v>
      </c>
      <c r="AJ8" s="9">
        <f t="shared" si="9"/>
        <v>30</v>
      </c>
      <c r="AM8" s="21">
        <v>112</v>
      </c>
      <c r="AN8" s="10">
        <v>-10</v>
      </c>
      <c r="AP8" s="10">
        <f t="shared" si="10"/>
        <v>20</v>
      </c>
      <c r="AQ8" s="10">
        <f t="shared" si="11"/>
        <v>30</v>
      </c>
      <c r="AT8" s="12">
        <v>112</v>
      </c>
      <c r="AU8" s="79"/>
      <c r="AV8" s="67"/>
      <c r="AW8" s="67"/>
      <c r="AX8" s="67"/>
      <c r="AY8" s="67"/>
      <c r="AZ8" s="67"/>
    </row>
    <row r="9" spans="1:78" ht="16.5">
      <c r="B9" s="12">
        <v>118</v>
      </c>
      <c r="C9" s="71"/>
      <c r="D9" s="71"/>
      <c r="E9" s="71"/>
      <c r="F9" s="74"/>
      <c r="G9" s="71"/>
      <c r="H9" s="71"/>
      <c r="J9" s="12">
        <v>118</v>
      </c>
      <c r="K9" s="84"/>
      <c r="L9"/>
      <c r="M9"/>
      <c r="N9"/>
      <c r="Q9" s="19">
        <v>118</v>
      </c>
      <c r="R9" s="8">
        <f t="shared" si="0"/>
        <v>20</v>
      </c>
      <c r="S9" s="8">
        <f t="shared" si="1"/>
        <v>20</v>
      </c>
      <c r="T9" s="8">
        <f t="shared" si="2"/>
        <v>20</v>
      </c>
      <c r="V9" s="19">
        <v>118</v>
      </c>
      <c r="W9" s="8">
        <f t="shared" si="3"/>
        <v>20</v>
      </c>
      <c r="X9" s="8">
        <f t="shared" si="12"/>
        <v>20</v>
      </c>
      <c r="Y9" s="8">
        <f t="shared" si="4"/>
        <v>30</v>
      </c>
      <c r="AB9" s="20">
        <v>118</v>
      </c>
      <c r="AC9" s="9">
        <f t="shared" si="5"/>
        <v>20</v>
      </c>
      <c r="AD9" s="9">
        <f t="shared" si="6"/>
        <v>20</v>
      </c>
      <c r="AE9" s="9">
        <f t="shared" si="7"/>
        <v>20</v>
      </c>
      <c r="AG9" s="20">
        <v>118</v>
      </c>
      <c r="AH9" s="9">
        <f t="shared" si="8"/>
        <v>20</v>
      </c>
      <c r="AI9" s="9">
        <f t="shared" si="13"/>
        <v>20</v>
      </c>
      <c r="AJ9" s="9">
        <f t="shared" si="9"/>
        <v>30</v>
      </c>
      <c r="AM9" s="21">
        <v>118</v>
      </c>
      <c r="AN9" s="10">
        <v>-10</v>
      </c>
      <c r="AP9" s="10">
        <f t="shared" si="10"/>
        <v>20</v>
      </c>
      <c r="AQ9" s="10">
        <f t="shared" si="11"/>
        <v>30</v>
      </c>
      <c r="AT9" s="12">
        <v>118</v>
      </c>
      <c r="AU9" s="79"/>
      <c r="AV9" s="67"/>
      <c r="AW9" s="67"/>
      <c r="AX9" s="67"/>
      <c r="AY9" s="67"/>
      <c r="AZ9" s="67"/>
    </row>
    <row r="10" spans="1:78" ht="16.5">
      <c r="B10" s="12">
        <v>125</v>
      </c>
      <c r="C10" s="71"/>
      <c r="D10" s="71"/>
      <c r="E10" s="71"/>
      <c r="F10" s="74"/>
      <c r="G10" s="71"/>
      <c r="H10" s="71"/>
      <c r="J10" s="12">
        <v>125</v>
      </c>
      <c r="K10" s="84"/>
      <c r="L10"/>
      <c r="M10"/>
      <c r="N10"/>
      <c r="Q10" s="19">
        <v>125</v>
      </c>
      <c r="R10" s="8">
        <f t="shared" si="0"/>
        <v>20</v>
      </c>
      <c r="S10" s="8">
        <f t="shared" si="1"/>
        <v>20</v>
      </c>
      <c r="T10" s="8">
        <f t="shared" si="2"/>
        <v>20</v>
      </c>
      <c r="V10" s="19">
        <v>125</v>
      </c>
      <c r="W10" s="8">
        <f t="shared" si="3"/>
        <v>20</v>
      </c>
      <c r="X10" s="8">
        <f t="shared" si="12"/>
        <v>20</v>
      </c>
      <c r="Y10" s="8">
        <f t="shared" si="4"/>
        <v>30</v>
      </c>
      <c r="AB10" s="20">
        <v>125</v>
      </c>
      <c r="AC10" s="9">
        <f t="shared" si="5"/>
        <v>20</v>
      </c>
      <c r="AD10" s="9">
        <f t="shared" si="6"/>
        <v>20</v>
      </c>
      <c r="AE10" s="9">
        <f t="shared" si="7"/>
        <v>20</v>
      </c>
      <c r="AG10" s="20">
        <v>125</v>
      </c>
      <c r="AH10" s="9">
        <f t="shared" si="8"/>
        <v>20</v>
      </c>
      <c r="AI10" s="9">
        <f t="shared" si="13"/>
        <v>20</v>
      </c>
      <c r="AJ10" s="9">
        <f t="shared" si="9"/>
        <v>30</v>
      </c>
      <c r="AM10" s="21">
        <v>125</v>
      </c>
      <c r="AN10" s="10">
        <v>-10</v>
      </c>
      <c r="AO10" s="10">
        <v>10</v>
      </c>
      <c r="AP10" s="10">
        <f t="shared" si="10"/>
        <v>20</v>
      </c>
      <c r="AQ10" s="10">
        <f t="shared" si="11"/>
        <v>30</v>
      </c>
      <c r="AT10" s="12">
        <v>125</v>
      </c>
      <c r="AU10" s="79"/>
      <c r="AV10" s="67"/>
      <c r="AW10" s="67"/>
      <c r="AX10" s="67"/>
      <c r="AY10" s="67"/>
      <c r="AZ10" s="67"/>
    </row>
    <row r="11" spans="1:78" ht="16.5">
      <c r="B11" s="12">
        <v>132</v>
      </c>
      <c r="C11" s="71"/>
      <c r="D11" s="71"/>
      <c r="E11" s="71"/>
      <c r="F11" s="74"/>
      <c r="G11" s="71"/>
      <c r="H11" s="71"/>
      <c r="J11" s="12">
        <v>132</v>
      </c>
      <c r="K11" s="84"/>
      <c r="L11"/>
      <c r="M11"/>
      <c r="N11"/>
      <c r="Q11" s="19">
        <v>132</v>
      </c>
      <c r="R11" s="8">
        <f t="shared" si="0"/>
        <v>20</v>
      </c>
      <c r="S11" s="8">
        <f t="shared" si="1"/>
        <v>20</v>
      </c>
      <c r="T11" s="8">
        <f t="shared" si="2"/>
        <v>20</v>
      </c>
      <c r="V11" s="19">
        <v>132</v>
      </c>
      <c r="W11" s="8">
        <f t="shared" si="3"/>
        <v>20</v>
      </c>
      <c r="X11" s="8">
        <f t="shared" si="12"/>
        <v>20</v>
      </c>
      <c r="Y11" s="8">
        <f t="shared" si="4"/>
        <v>30</v>
      </c>
      <c r="AB11" s="20">
        <v>132</v>
      </c>
      <c r="AC11" s="9">
        <f t="shared" si="5"/>
        <v>20</v>
      </c>
      <c r="AD11" s="9">
        <f t="shared" si="6"/>
        <v>20</v>
      </c>
      <c r="AE11" s="9">
        <f t="shared" si="7"/>
        <v>20</v>
      </c>
      <c r="AG11" s="20">
        <v>132</v>
      </c>
      <c r="AH11" s="9">
        <f t="shared" si="8"/>
        <v>20</v>
      </c>
      <c r="AI11" s="9">
        <f t="shared" si="13"/>
        <v>20</v>
      </c>
      <c r="AJ11" s="9">
        <f t="shared" si="9"/>
        <v>30</v>
      </c>
      <c r="AM11" s="21">
        <v>132</v>
      </c>
      <c r="AN11" s="10">
        <v>-10</v>
      </c>
      <c r="AP11" s="10">
        <f t="shared" si="10"/>
        <v>20</v>
      </c>
      <c r="AQ11" s="10">
        <f t="shared" si="11"/>
        <v>30</v>
      </c>
      <c r="AT11" s="12">
        <v>132</v>
      </c>
      <c r="AU11" s="79"/>
      <c r="AV11" s="67"/>
      <c r="AW11" s="67"/>
      <c r="AX11" s="67"/>
      <c r="AY11" s="67"/>
      <c r="AZ11" s="67"/>
    </row>
    <row r="12" spans="1:78" ht="16.5">
      <c r="B12" s="12">
        <v>140</v>
      </c>
      <c r="C12" s="71"/>
      <c r="D12" s="71"/>
      <c r="E12" s="71"/>
      <c r="F12" s="74"/>
      <c r="G12" s="71"/>
      <c r="H12" s="71"/>
      <c r="J12" s="12">
        <v>140</v>
      </c>
      <c r="K12" s="84"/>
      <c r="L12"/>
      <c r="M12"/>
      <c r="N12"/>
      <c r="Q12" s="19">
        <v>140</v>
      </c>
      <c r="R12" s="8">
        <f t="shared" si="0"/>
        <v>20</v>
      </c>
      <c r="S12" s="8">
        <f t="shared" si="1"/>
        <v>20</v>
      </c>
      <c r="T12" s="8">
        <f t="shared" si="2"/>
        <v>20</v>
      </c>
      <c r="V12" s="19">
        <v>140</v>
      </c>
      <c r="W12" s="8">
        <f t="shared" si="3"/>
        <v>20</v>
      </c>
      <c r="X12" s="8">
        <f t="shared" si="12"/>
        <v>20</v>
      </c>
      <c r="Y12" s="8">
        <f t="shared" si="4"/>
        <v>30</v>
      </c>
      <c r="AB12" s="20">
        <v>140</v>
      </c>
      <c r="AC12" s="9">
        <f t="shared" si="5"/>
        <v>20</v>
      </c>
      <c r="AD12" s="9">
        <f t="shared" si="6"/>
        <v>20</v>
      </c>
      <c r="AE12" s="9">
        <f t="shared" si="7"/>
        <v>20</v>
      </c>
      <c r="AG12" s="20">
        <v>140</v>
      </c>
      <c r="AH12" s="9">
        <f t="shared" si="8"/>
        <v>20</v>
      </c>
      <c r="AI12" s="9">
        <f t="shared" si="13"/>
        <v>20</v>
      </c>
      <c r="AJ12" s="9">
        <f t="shared" si="9"/>
        <v>30</v>
      </c>
      <c r="AM12" s="21">
        <v>140</v>
      </c>
      <c r="AN12" s="10">
        <v>-10</v>
      </c>
      <c r="AP12" s="10">
        <f t="shared" si="10"/>
        <v>20</v>
      </c>
      <c r="AQ12" s="10">
        <f t="shared" si="11"/>
        <v>30</v>
      </c>
      <c r="AT12" s="12">
        <v>140</v>
      </c>
      <c r="AU12" s="79"/>
      <c r="AV12" s="67"/>
      <c r="AW12" s="67"/>
      <c r="AX12" s="67"/>
      <c r="AY12" s="67"/>
      <c r="AZ12" s="67"/>
    </row>
    <row r="13" spans="1:78" ht="16.5">
      <c r="B13" s="12">
        <v>150</v>
      </c>
      <c r="C13" s="71"/>
      <c r="D13" s="71"/>
      <c r="E13" s="71"/>
      <c r="F13" s="74"/>
      <c r="G13" s="71"/>
      <c r="H13" s="71"/>
      <c r="J13" s="12">
        <v>150</v>
      </c>
      <c r="K13" s="84"/>
      <c r="L13"/>
      <c r="M13"/>
      <c r="N13"/>
      <c r="Q13" s="19">
        <v>150</v>
      </c>
      <c r="R13" s="8">
        <f t="shared" si="0"/>
        <v>20</v>
      </c>
      <c r="S13" s="8">
        <f t="shared" si="1"/>
        <v>20</v>
      </c>
      <c r="T13" s="8">
        <f t="shared" si="2"/>
        <v>20</v>
      </c>
      <c r="V13" s="19">
        <v>150</v>
      </c>
      <c r="W13" s="8">
        <f t="shared" si="3"/>
        <v>20</v>
      </c>
      <c r="X13" s="8">
        <f t="shared" si="12"/>
        <v>20</v>
      </c>
      <c r="Y13" s="8">
        <f t="shared" si="4"/>
        <v>30</v>
      </c>
      <c r="AB13" s="20">
        <v>150</v>
      </c>
      <c r="AC13" s="9">
        <f t="shared" si="5"/>
        <v>20</v>
      </c>
      <c r="AD13" s="9">
        <f t="shared" si="6"/>
        <v>20</v>
      </c>
      <c r="AE13" s="9">
        <f t="shared" si="7"/>
        <v>20</v>
      </c>
      <c r="AG13" s="20">
        <v>150</v>
      </c>
      <c r="AH13" s="9">
        <f t="shared" si="8"/>
        <v>20</v>
      </c>
      <c r="AI13" s="9">
        <f t="shared" si="13"/>
        <v>20</v>
      </c>
      <c r="AJ13" s="9">
        <f t="shared" si="9"/>
        <v>30</v>
      </c>
      <c r="AM13" s="21">
        <v>150</v>
      </c>
      <c r="AN13" s="10">
        <v>-10</v>
      </c>
      <c r="AO13" s="10">
        <v>10</v>
      </c>
      <c r="AP13" s="10">
        <f t="shared" si="10"/>
        <v>20</v>
      </c>
      <c r="AQ13" s="10">
        <f t="shared" si="11"/>
        <v>30</v>
      </c>
      <c r="AT13" s="12">
        <v>150</v>
      </c>
      <c r="AU13" s="79"/>
      <c r="AV13" s="67"/>
      <c r="AW13" s="67"/>
      <c r="AX13" s="67"/>
      <c r="AY13" s="67"/>
      <c r="AZ13" s="67"/>
    </row>
    <row r="14" spans="1:78" ht="16.5">
      <c r="B14" s="12">
        <v>160</v>
      </c>
      <c r="C14" s="71"/>
      <c r="D14" s="71"/>
      <c r="E14" s="71"/>
      <c r="F14" s="74"/>
      <c r="G14" s="71"/>
      <c r="H14" s="71"/>
      <c r="J14" s="12">
        <v>160</v>
      </c>
      <c r="K14" s="84"/>
      <c r="L14"/>
      <c r="M14"/>
      <c r="N14"/>
      <c r="Q14" s="19">
        <v>160</v>
      </c>
      <c r="R14" s="8">
        <f t="shared" si="0"/>
        <v>20</v>
      </c>
      <c r="S14" s="8">
        <f t="shared" si="1"/>
        <v>20</v>
      </c>
      <c r="T14" s="8">
        <f t="shared" si="2"/>
        <v>20</v>
      </c>
      <c r="V14" s="19">
        <v>160</v>
      </c>
      <c r="W14" s="8">
        <f t="shared" si="3"/>
        <v>20</v>
      </c>
      <c r="X14" s="8">
        <f t="shared" si="12"/>
        <v>20</v>
      </c>
      <c r="Y14" s="8">
        <f t="shared" si="4"/>
        <v>30</v>
      </c>
      <c r="AB14" s="20">
        <v>160</v>
      </c>
      <c r="AC14" s="9">
        <f t="shared" si="5"/>
        <v>20</v>
      </c>
      <c r="AD14" s="9">
        <f t="shared" si="6"/>
        <v>20</v>
      </c>
      <c r="AE14" s="9">
        <f t="shared" si="7"/>
        <v>20</v>
      </c>
      <c r="AG14" s="20">
        <v>160</v>
      </c>
      <c r="AH14" s="9">
        <f t="shared" si="8"/>
        <v>20</v>
      </c>
      <c r="AI14" s="9">
        <f t="shared" si="13"/>
        <v>20</v>
      </c>
      <c r="AJ14" s="9">
        <f t="shared" si="9"/>
        <v>30</v>
      </c>
      <c r="AM14" s="21">
        <v>160</v>
      </c>
      <c r="AN14" s="10">
        <v>-10</v>
      </c>
      <c r="AP14" s="10">
        <f t="shared" si="10"/>
        <v>20</v>
      </c>
      <c r="AQ14" s="10">
        <f t="shared" si="11"/>
        <v>30</v>
      </c>
      <c r="AT14" s="12">
        <v>160</v>
      </c>
      <c r="AU14" s="79"/>
      <c r="AV14" s="67"/>
      <c r="AW14" s="67"/>
      <c r="AX14" s="67"/>
      <c r="AY14" s="67"/>
      <c r="AZ14" s="67"/>
    </row>
    <row r="15" spans="1:78" ht="16.5">
      <c r="B15" s="12">
        <v>170</v>
      </c>
      <c r="C15" s="71"/>
      <c r="D15" s="71"/>
      <c r="E15" s="71"/>
      <c r="F15" s="74"/>
      <c r="G15" s="71"/>
      <c r="H15" s="71"/>
      <c r="J15" s="12">
        <v>170</v>
      </c>
      <c r="K15" s="84"/>
      <c r="L15"/>
      <c r="M15"/>
      <c r="N15"/>
      <c r="Q15" s="19">
        <v>170</v>
      </c>
      <c r="R15" s="8">
        <f t="shared" si="0"/>
        <v>20</v>
      </c>
      <c r="S15" s="8">
        <f t="shared" si="1"/>
        <v>20</v>
      </c>
      <c r="T15" s="8">
        <f t="shared" si="2"/>
        <v>20</v>
      </c>
      <c r="V15" s="19">
        <v>170</v>
      </c>
      <c r="W15" s="8">
        <f t="shared" si="3"/>
        <v>20</v>
      </c>
      <c r="X15" s="8">
        <f t="shared" si="12"/>
        <v>20</v>
      </c>
      <c r="Y15" s="8">
        <f t="shared" si="4"/>
        <v>30</v>
      </c>
      <c r="AB15" s="20">
        <v>170</v>
      </c>
      <c r="AC15" s="9">
        <f t="shared" si="5"/>
        <v>20</v>
      </c>
      <c r="AD15" s="9">
        <f t="shared" si="6"/>
        <v>20</v>
      </c>
      <c r="AE15" s="9">
        <f t="shared" si="7"/>
        <v>20</v>
      </c>
      <c r="AG15" s="20">
        <v>170</v>
      </c>
      <c r="AH15" s="9">
        <f t="shared" si="8"/>
        <v>20</v>
      </c>
      <c r="AI15" s="9">
        <f t="shared" si="13"/>
        <v>20</v>
      </c>
      <c r="AJ15" s="9">
        <f t="shared" si="9"/>
        <v>30</v>
      </c>
      <c r="AM15" s="21">
        <v>170</v>
      </c>
      <c r="AN15" s="10">
        <v>-10</v>
      </c>
      <c r="AP15" s="10">
        <f t="shared" si="10"/>
        <v>20</v>
      </c>
      <c r="AQ15" s="10">
        <f t="shared" si="11"/>
        <v>30</v>
      </c>
      <c r="AT15" s="12">
        <v>170</v>
      </c>
      <c r="AU15" s="79"/>
      <c r="AV15" s="67"/>
      <c r="AW15" s="67"/>
      <c r="AX15" s="67"/>
      <c r="AY15" s="67"/>
      <c r="AZ15" s="67"/>
    </row>
    <row r="16" spans="1:78" ht="16.5">
      <c r="B16" s="12">
        <v>180</v>
      </c>
      <c r="C16" s="71"/>
      <c r="D16" s="71"/>
      <c r="E16" s="71"/>
      <c r="F16" s="74"/>
      <c r="G16" s="71"/>
      <c r="H16" s="71"/>
      <c r="J16" s="12">
        <v>180</v>
      </c>
      <c r="K16" s="84"/>
      <c r="L16"/>
      <c r="M16"/>
      <c r="N16"/>
      <c r="Q16" s="19">
        <v>180</v>
      </c>
      <c r="R16" s="8">
        <f t="shared" si="0"/>
        <v>20</v>
      </c>
      <c r="S16" s="8">
        <f t="shared" si="1"/>
        <v>20</v>
      </c>
      <c r="T16" s="8">
        <f t="shared" si="2"/>
        <v>20</v>
      </c>
      <c r="V16" s="19">
        <v>180</v>
      </c>
      <c r="W16" s="8">
        <f t="shared" si="3"/>
        <v>20</v>
      </c>
      <c r="X16" s="8">
        <f t="shared" si="12"/>
        <v>20</v>
      </c>
      <c r="Y16" s="8">
        <f t="shared" si="4"/>
        <v>30</v>
      </c>
      <c r="AB16" s="20">
        <v>180</v>
      </c>
      <c r="AC16" s="9">
        <f t="shared" si="5"/>
        <v>20</v>
      </c>
      <c r="AD16" s="9">
        <f t="shared" si="6"/>
        <v>20</v>
      </c>
      <c r="AE16" s="9">
        <f t="shared" si="7"/>
        <v>20</v>
      </c>
      <c r="AG16" s="20">
        <v>180</v>
      </c>
      <c r="AH16" s="9">
        <f t="shared" si="8"/>
        <v>20</v>
      </c>
      <c r="AI16" s="9">
        <f t="shared" si="13"/>
        <v>20</v>
      </c>
      <c r="AJ16" s="9">
        <f t="shared" si="9"/>
        <v>30</v>
      </c>
      <c r="AM16" s="21">
        <v>180</v>
      </c>
      <c r="AN16" s="10">
        <v>-10</v>
      </c>
      <c r="AO16" s="10">
        <v>10</v>
      </c>
      <c r="AP16" s="10">
        <f t="shared" si="10"/>
        <v>20</v>
      </c>
      <c r="AQ16" s="10">
        <f t="shared" si="11"/>
        <v>30</v>
      </c>
      <c r="AT16" s="12">
        <v>180</v>
      </c>
      <c r="AU16" s="79"/>
      <c r="AV16" s="67"/>
      <c r="AW16" s="67"/>
      <c r="AX16" s="67"/>
      <c r="AY16" s="67"/>
      <c r="AZ16" s="67"/>
    </row>
    <row r="17" spans="2:52" ht="16.5">
      <c r="B17" s="12">
        <v>190</v>
      </c>
      <c r="C17" s="71"/>
      <c r="D17" s="71"/>
      <c r="E17" s="71"/>
      <c r="F17" s="74"/>
      <c r="G17" s="71"/>
      <c r="H17" s="71"/>
      <c r="J17" s="12">
        <v>190</v>
      </c>
      <c r="K17" s="84"/>
      <c r="L17"/>
      <c r="M17"/>
      <c r="N17"/>
      <c r="Q17" s="19">
        <v>190</v>
      </c>
      <c r="R17" s="8">
        <f t="shared" si="0"/>
        <v>20</v>
      </c>
      <c r="S17" s="8">
        <f t="shared" si="1"/>
        <v>20</v>
      </c>
      <c r="T17" s="8">
        <f t="shared" si="2"/>
        <v>20</v>
      </c>
      <c r="V17" s="19">
        <v>190</v>
      </c>
      <c r="W17" s="8">
        <f t="shared" si="3"/>
        <v>20</v>
      </c>
      <c r="X17" s="8">
        <f t="shared" si="12"/>
        <v>20</v>
      </c>
      <c r="Y17" s="8">
        <f t="shared" si="4"/>
        <v>30</v>
      </c>
      <c r="AB17" s="20">
        <v>190</v>
      </c>
      <c r="AC17" s="9">
        <f t="shared" si="5"/>
        <v>20</v>
      </c>
      <c r="AD17" s="9">
        <f t="shared" si="6"/>
        <v>20</v>
      </c>
      <c r="AE17" s="9">
        <f t="shared" si="7"/>
        <v>20</v>
      </c>
      <c r="AG17" s="20">
        <v>190</v>
      </c>
      <c r="AH17" s="9">
        <f t="shared" si="8"/>
        <v>20</v>
      </c>
      <c r="AI17" s="9">
        <f t="shared" si="13"/>
        <v>20</v>
      </c>
      <c r="AJ17" s="9">
        <f t="shared" si="9"/>
        <v>30</v>
      </c>
      <c r="AM17" s="21">
        <v>190</v>
      </c>
      <c r="AN17" s="10">
        <v>-10</v>
      </c>
      <c r="AP17" s="10">
        <f t="shared" si="10"/>
        <v>20</v>
      </c>
      <c r="AQ17" s="10">
        <f t="shared" si="11"/>
        <v>30</v>
      </c>
      <c r="AT17" s="12">
        <v>190</v>
      </c>
      <c r="AU17" s="79"/>
      <c r="AV17" s="67"/>
      <c r="AW17" s="67"/>
      <c r="AX17" s="67"/>
      <c r="AY17" s="67"/>
      <c r="AZ17" s="67"/>
    </row>
    <row r="18" spans="2:52" ht="16.5">
      <c r="B18" s="12">
        <v>200</v>
      </c>
      <c r="C18" s="71"/>
      <c r="D18" s="71"/>
      <c r="E18" s="71"/>
      <c r="F18" s="74"/>
      <c r="G18" s="71"/>
      <c r="H18" s="71"/>
      <c r="J18" s="12">
        <v>200</v>
      </c>
      <c r="K18" s="84"/>
      <c r="L18"/>
      <c r="M18"/>
      <c r="N18"/>
      <c r="Q18" s="19">
        <v>200</v>
      </c>
      <c r="R18" s="8">
        <f t="shared" si="0"/>
        <v>20</v>
      </c>
      <c r="S18" s="8">
        <f t="shared" si="1"/>
        <v>20</v>
      </c>
      <c r="T18" s="8">
        <f t="shared" si="2"/>
        <v>20</v>
      </c>
      <c r="V18" s="19">
        <v>200</v>
      </c>
      <c r="W18" s="8">
        <f t="shared" si="3"/>
        <v>20</v>
      </c>
      <c r="X18" s="8">
        <f t="shared" si="12"/>
        <v>20</v>
      </c>
      <c r="Y18" s="8">
        <f t="shared" si="4"/>
        <v>30</v>
      </c>
      <c r="AB18" s="20">
        <v>200</v>
      </c>
      <c r="AC18" s="9">
        <f t="shared" si="5"/>
        <v>20</v>
      </c>
      <c r="AD18" s="9">
        <f t="shared" si="6"/>
        <v>20</v>
      </c>
      <c r="AE18" s="9">
        <f t="shared" si="7"/>
        <v>20</v>
      </c>
      <c r="AG18" s="20">
        <v>200</v>
      </c>
      <c r="AH18" s="9">
        <f t="shared" si="8"/>
        <v>20</v>
      </c>
      <c r="AI18" s="9">
        <f t="shared" si="13"/>
        <v>20</v>
      </c>
      <c r="AJ18" s="9">
        <f t="shared" si="9"/>
        <v>30</v>
      </c>
      <c r="AM18" s="21">
        <v>200</v>
      </c>
      <c r="AN18" s="10">
        <v>-10</v>
      </c>
      <c r="AP18" s="10">
        <f t="shared" si="10"/>
        <v>20</v>
      </c>
      <c r="AQ18" s="10">
        <f t="shared" si="11"/>
        <v>30</v>
      </c>
      <c r="AT18" s="12">
        <v>200</v>
      </c>
      <c r="AU18" s="79"/>
      <c r="AV18" s="67"/>
      <c r="AW18" s="67"/>
      <c r="AX18" s="67"/>
      <c r="AY18" s="67"/>
      <c r="AZ18" s="67"/>
    </row>
    <row r="19" spans="2:52" ht="16.5">
      <c r="B19" s="12">
        <v>212</v>
      </c>
      <c r="C19" s="71"/>
      <c r="D19" s="71"/>
      <c r="E19" s="71"/>
      <c r="F19" s="74"/>
      <c r="G19" s="71"/>
      <c r="H19" s="71"/>
      <c r="J19" s="12">
        <v>212</v>
      </c>
      <c r="K19" s="84"/>
      <c r="L19"/>
      <c r="M19"/>
      <c r="N19"/>
      <c r="Q19" s="19">
        <v>212</v>
      </c>
      <c r="R19" s="8">
        <f t="shared" si="0"/>
        <v>20</v>
      </c>
      <c r="S19" s="8">
        <f t="shared" si="1"/>
        <v>20</v>
      </c>
      <c r="T19" s="8">
        <f t="shared" si="2"/>
        <v>20</v>
      </c>
      <c r="V19" s="19">
        <v>212</v>
      </c>
      <c r="W19" s="8">
        <f t="shared" si="3"/>
        <v>20</v>
      </c>
      <c r="X19" s="8">
        <f t="shared" si="12"/>
        <v>20</v>
      </c>
      <c r="Y19" s="8">
        <f t="shared" si="4"/>
        <v>30</v>
      </c>
      <c r="AB19" s="20">
        <v>212</v>
      </c>
      <c r="AC19" s="9">
        <f t="shared" si="5"/>
        <v>20</v>
      </c>
      <c r="AD19" s="9">
        <f t="shared" si="6"/>
        <v>20</v>
      </c>
      <c r="AE19" s="9">
        <f t="shared" si="7"/>
        <v>20</v>
      </c>
      <c r="AG19" s="20">
        <v>212</v>
      </c>
      <c r="AH19" s="9">
        <f t="shared" si="8"/>
        <v>20</v>
      </c>
      <c r="AI19" s="9">
        <f t="shared" si="13"/>
        <v>20</v>
      </c>
      <c r="AJ19" s="9">
        <f t="shared" si="9"/>
        <v>30</v>
      </c>
      <c r="AM19" s="21">
        <v>212</v>
      </c>
      <c r="AN19" s="10">
        <v>-10</v>
      </c>
      <c r="AO19" s="10">
        <v>10</v>
      </c>
      <c r="AP19" s="10">
        <f t="shared" si="10"/>
        <v>20</v>
      </c>
      <c r="AQ19" s="10">
        <f t="shared" si="11"/>
        <v>30</v>
      </c>
      <c r="AT19" s="12">
        <v>212</v>
      </c>
      <c r="AU19" s="79"/>
      <c r="AV19" s="67"/>
      <c r="AW19" s="67"/>
      <c r="AX19" s="67"/>
      <c r="AY19" s="67"/>
      <c r="AZ19" s="67"/>
    </row>
    <row r="20" spans="2:52" ht="16.5">
      <c r="B20" s="12">
        <v>224</v>
      </c>
      <c r="C20" s="71"/>
      <c r="D20" s="71"/>
      <c r="E20" s="71"/>
      <c r="F20" s="74"/>
      <c r="G20" s="71"/>
      <c r="H20" s="71"/>
      <c r="J20" s="12">
        <v>224</v>
      </c>
      <c r="K20" s="84"/>
      <c r="L20"/>
      <c r="M20"/>
      <c r="N20"/>
      <c r="Q20" s="19">
        <v>224</v>
      </c>
      <c r="R20" s="8">
        <f t="shared" si="0"/>
        <v>20</v>
      </c>
      <c r="S20" s="8">
        <f t="shared" si="1"/>
        <v>20</v>
      </c>
      <c r="T20" s="8">
        <f t="shared" si="2"/>
        <v>20</v>
      </c>
      <c r="V20" s="19">
        <v>224</v>
      </c>
      <c r="W20" s="8">
        <f t="shared" si="3"/>
        <v>20</v>
      </c>
      <c r="X20" s="8">
        <f t="shared" si="12"/>
        <v>20</v>
      </c>
      <c r="Y20" s="8">
        <f t="shared" si="4"/>
        <v>30</v>
      </c>
      <c r="AB20" s="20">
        <v>224</v>
      </c>
      <c r="AC20" s="9">
        <f t="shared" si="5"/>
        <v>20</v>
      </c>
      <c r="AD20" s="9">
        <f t="shared" si="6"/>
        <v>20</v>
      </c>
      <c r="AE20" s="9">
        <f t="shared" si="7"/>
        <v>20</v>
      </c>
      <c r="AG20" s="20">
        <v>224</v>
      </c>
      <c r="AH20" s="9">
        <f t="shared" si="8"/>
        <v>20</v>
      </c>
      <c r="AI20" s="9">
        <f t="shared" si="13"/>
        <v>20</v>
      </c>
      <c r="AJ20" s="9">
        <f t="shared" si="9"/>
        <v>30</v>
      </c>
      <c r="AM20" s="21">
        <v>224</v>
      </c>
      <c r="AN20" s="10">
        <v>-10</v>
      </c>
      <c r="AP20" s="10">
        <f t="shared" si="10"/>
        <v>20</v>
      </c>
      <c r="AQ20" s="10">
        <f t="shared" si="11"/>
        <v>30</v>
      </c>
      <c r="AT20" s="12">
        <v>224</v>
      </c>
      <c r="AU20" s="79"/>
      <c r="AV20" s="67"/>
      <c r="AW20" s="67"/>
      <c r="AX20" s="67"/>
      <c r="AY20" s="67"/>
      <c r="AZ20" s="67"/>
    </row>
    <row r="21" spans="2:52" ht="16.5">
      <c r="B21" s="12">
        <v>236</v>
      </c>
      <c r="C21" s="71"/>
      <c r="D21" s="71"/>
      <c r="E21" s="71"/>
      <c r="F21" s="74"/>
      <c r="G21" s="71"/>
      <c r="H21" s="71"/>
      <c r="J21" s="12">
        <v>236</v>
      </c>
      <c r="K21" s="84"/>
      <c r="L21"/>
      <c r="M21"/>
      <c r="N21"/>
      <c r="Q21" s="19">
        <v>236</v>
      </c>
      <c r="R21" s="8">
        <f t="shared" si="0"/>
        <v>20</v>
      </c>
      <c r="S21" s="8">
        <f t="shared" si="1"/>
        <v>20</v>
      </c>
      <c r="T21" s="8">
        <f t="shared" si="2"/>
        <v>20</v>
      </c>
      <c r="V21" s="19">
        <v>236</v>
      </c>
      <c r="W21" s="8">
        <f t="shared" si="3"/>
        <v>20</v>
      </c>
      <c r="X21" s="8">
        <f t="shared" si="12"/>
        <v>20</v>
      </c>
      <c r="Y21" s="8">
        <f t="shared" si="4"/>
        <v>30</v>
      </c>
      <c r="AB21" s="20">
        <v>236</v>
      </c>
      <c r="AC21" s="9">
        <f t="shared" si="5"/>
        <v>20</v>
      </c>
      <c r="AD21" s="9">
        <f t="shared" si="6"/>
        <v>20</v>
      </c>
      <c r="AE21" s="9">
        <f t="shared" si="7"/>
        <v>20</v>
      </c>
      <c r="AG21" s="20">
        <v>236</v>
      </c>
      <c r="AH21" s="9">
        <f t="shared" si="8"/>
        <v>20</v>
      </c>
      <c r="AI21" s="9">
        <f t="shared" si="13"/>
        <v>20</v>
      </c>
      <c r="AJ21" s="9">
        <f t="shared" si="9"/>
        <v>30</v>
      </c>
      <c r="AM21" s="21">
        <v>236</v>
      </c>
      <c r="AN21" s="10">
        <v>-10</v>
      </c>
      <c r="AP21" s="10">
        <f t="shared" si="10"/>
        <v>20</v>
      </c>
      <c r="AQ21" s="10">
        <f t="shared" si="11"/>
        <v>30</v>
      </c>
      <c r="AT21" s="12">
        <v>236</v>
      </c>
      <c r="AU21" s="79"/>
      <c r="AV21" s="67"/>
      <c r="AW21" s="67"/>
      <c r="AX21" s="67"/>
      <c r="AY21" s="67"/>
      <c r="AZ21" s="67"/>
    </row>
    <row r="22" spans="2:52" ht="16.5">
      <c r="B22" s="12">
        <v>250</v>
      </c>
      <c r="C22" s="71"/>
      <c r="D22" s="71"/>
      <c r="E22" s="71"/>
      <c r="F22" s="74"/>
      <c r="G22" s="71"/>
      <c r="H22" s="71"/>
      <c r="J22" s="12">
        <v>250</v>
      </c>
      <c r="K22" s="84"/>
      <c r="L22"/>
      <c r="M22"/>
      <c r="N22"/>
      <c r="Q22" s="19">
        <v>250</v>
      </c>
      <c r="R22" s="8">
        <f t="shared" si="0"/>
        <v>20</v>
      </c>
      <c r="S22" s="8">
        <f t="shared" si="1"/>
        <v>20</v>
      </c>
      <c r="T22" s="8">
        <f t="shared" si="2"/>
        <v>20</v>
      </c>
      <c r="V22" s="19">
        <v>250</v>
      </c>
      <c r="W22" s="8">
        <f t="shared" si="3"/>
        <v>20</v>
      </c>
      <c r="X22" s="8">
        <f t="shared" si="12"/>
        <v>20</v>
      </c>
      <c r="Y22" s="8">
        <f t="shared" si="4"/>
        <v>30</v>
      </c>
      <c r="AB22" s="20">
        <v>250</v>
      </c>
      <c r="AC22" s="9">
        <f t="shared" si="5"/>
        <v>20</v>
      </c>
      <c r="AD22" s="9">
        <f t="shared" si="6"/>
        <v>20</v>
      </c>
      <c r="AE22" s="9">
        <f t="shared" si="7"/>
        <v>20</v>
      </c>
      <c r="AG22" s="20">
        <v>250</v>
      </c>
      <c r="AH22" s="9">
        <f t="shared" si="8"/>
        <v>20</v>
      </c>
      <c r="AI22" s="9">
        <f t="shared" si="13"/>
        <v>20</v>
      </c>
      <c r="AJ22" s="9">
        <f t="shared" si="9"/>
        <v>30</v>
      </c>
      <c r="AM22" s="21">
        <v>250</v>
      </c>
      <c r="AN22" s="10">
        <v>-10</v>
      </c>
      <c r="AO22" s="10">
        <v>10</v>
      </c>
      <c r="AP22" s="10">
        <f t="shared" si="10"/>
        <v>20</v>
      </c>
      <c r="AQ22" s="10">
        <f t="shared" si="11"/>
        <v>30</v>
      </c>
      <c r="AT22" s="12">
        <v>250</v>
      </c>
      <c r="AU22" s="79"/>
      <c r="AV22" s="67"/>
      <c r="AW22" s="67"/>
      <c r="AX22" s="67"/>
      <c r="AY22" s="67"/>
      <c r="AZ22" s="67"/>
    </row>
    <row r="23" spans="2:52" ht="16.5">
      <c r="B23" s="12">
        <v>265</v>
      </c>
      <c r="C23" s="71"/>
      <c r="D23" s="71"/>
      <c r="E23" s="71"/>
      <c r="F23" s="74"/>
      <c r="G23" s="71"/>
      <c r="H23" s="71"/>
      <c r="J23" s="12">
        <v>265</v>
      </c>
      <c r="K23" s="84"/>
      <c r="L23"/>
      <c r="M23"/>
      <c r="N23"/>
      <c r="Q23" s="19">
        <v>265</v>
      </c>
      <c r="R23" s="8">
        <f t="shared" si="0"/>
        <v>20</v>
      </c>
      <c r="S23" s="8">
        <f t="shared" si="1"/>
        <v>20</v>
      </c>
      <c r="T23" s="8">
        <f t="shared" si="2"/>
        <v>20</v>
      </c>
      <c r="V23" s="19">
        <v>265</v>
      </c>
      <c r="W23" s="8">
        <f t="shared" si="3"/>
        <v>20</v>
      </c>
      <c r="X23" s="8">
        <f t="shared" si="12"/>
        <v>20</v>
      </c>
      <c r="Y23" s="8">
        <f t="shared" si="4"/>
        <v>30</v>
      </c>
      <c r="AB23" s="20">
        <v>265</v>
      </c>
      <c r="AC23" s="9">
        <f t="shared" si="5"/>
        <v>20</v>
      </c>
      <c r="AD23" s="9">
        <f t="shared" si="6"/>
        <v>20</v>
      </c>
      <c r="AE23" s="9">
        <f t="shared" si="7"/>
        <v>20</v>
      </c>
      <c r="AG23" s="20">
        <v>265</v>
      </c>
      <c r="AH23" s="9">
        <f t="shared" si="8"/>
        <v>20</v>
      </c>
      <c r="AI23" s="9">
        <f t="shared" si="13"/>
        <v>20</v>
      </c>
      <c r="AJ23" s="9">
        <f t="shared" si="9"/>
        <v>30</v>
      </c>
      <c r="AM23" s="21">
        <v>265</v>
      </c>
      <c r="AN23" s="10">
        <v>-10</v>
      </c>
      <c r="AP23" s="10">
        <f t="shared" si="10"/>
        <v>20</v>
      </c>
      <c r="AQ23" s="10">
        <f t="shared" si="11"/>
        <v>30</v>
      </c>
      <c r="AT23" s="12">
        <v>265</v>
      </c>
      <c r="AU23" s="79"/>
      <c r="AV23" s="67"/>
      <c r="AW23" s="67"/>
      <c r="AX23" s="67"/>
      <c r="AY23" s="67"/>
      <c r="AZ23" s="67"/>
    </row>
    <row r="24" spans="2:52" ht="16.5">
      <c r="B24" s="12">
        <v>280</v>
      </c>
      <c r="C24" s="71"/>
      <c r="D24" s="71"/>
      <c r="E24" s="71"/>
      <c r="F24" s="74"/>
      <c r="G24" s="71"/>
      <c r="H24" s="71"/>
      <c r="J24" s="12">
        <v>280</v>
      </c>
      <c r="K24" s="84"/>
      <c r="L24"/>
      <c r="M24"/>
      <c r="N24"/>
      <c r="Q24" s="19">
        <v>280</v>
      </c>
      <c r="R24" s="8">
        <f t="shared" si="0"/>
        <v>20</v>
      </c>
      <c r="S24" s="8">
        <f t="shared" si="1"/>
        <v>20</v>
      </c>
      <c r="T24" s="8">
        <f t="shared" si="2"/>
        <v>20</v>
      </c>
      <c r="V24" s="19">
        <v>280</v>
      </c>
      <c r="W24" s="8">
        <f t="shared" si="3"/>
        <v>20</v>
      </c>
      <c r="X24" s="8">
        <f t="shared" si="12"/>
        <v>20</v>
      </c>
      <c r="Y24" s="8">
        <f t="shared" si="4"/>
        <v>30</v>
      </c>
      <c r="AB24" s="20">
        <v>280</v>
      </c>
      <c r="AC24" s="9">
        <f t="shared" si="5"/>
        <v>20</v>
      </c>
      <c r="AD24" s="9">
        <f t="shared" si="6"/>
        <v>20</v>
      </c>
      <c r="AE24" s="9">
        <f t="shared" si="7"/>
        <v>20</v>
      </c>
      <c r="AG24" s="20">
        <v>280</v>
      </c>
      <c r="AH24" s="9">
        <f t="shared" si="8"/>
        <v>20</v>
      </c>
      <c r="AI24" s="9">
        <f t="shared" si="13"/>
        <v>20</v>
      </c>
      <c r="AJ24" s="9">
        <f t="shared" si="9"/>
        <v>30</v>
      </c>
      <c r="AM24" s="21">
        <v>280</v>
      </c>
      <c r="AN24" s="10">
        <v>-10</v>
      </c>
      <c r="AP24" s="10">
        <f t="shared" si="10"/>
        <v>20</v>
      </c>
      <c r="AQ24" s="10">
        <f t="shared" si="11"/>
        <v>30</v>
      </c>
      <c r="AT24" s="12">
        <v>280</v>
      </c>
      <c r="AU24" s="79"/>
      <c r="AV24" s="67"/>
      <c r="AW24" s="67"/>
      <c r="AX24" s="67"/>
      <c r="AY24" s="67"/>
      <c r="AZ24" s="67"/>
    </row>
    <row r="25" spans="2:52" ht="16.5">
      <c r="B25" s="12">
        <v>300</v>
      </c>
      <c r="C25" s="71"/>
      <c r="D25" s="71"/>
      <c r="E25" s="71"/>
      <c r="F25" s="74"/>
      <c r="G25" s="71"/>
      <c r="H25" s="71"/>
      <c r="J25" s="12">
        <v>300</v>
      </c>
      <c r="K25" s="84"/>
      <c r="L25"/>
      <c r="M25"/>
      <c r="N25"/>
      <c r="Q25" s="19">
        <v>300</v>
      </c>
      <c r="R25" s="8">
        <f t="shared" si="0"/>
        <v>20</v>
      </c>
      <c r="S25" s="8">
        <f t="shared" si="1"/>
        <v>20</v>
      </c>
      <c r="T25" s="8">
        <f t="shared" si="2"/>
        <v>20</v>
      </c>
      <c r="V25" s="19">
        <v>300</v>
      </c>
      <c r="W25" s="8">
        <f t="shared" si="3"/>
        <v>20</v>
      </c>
      <c r="X25" s="8">
        <f t="shared" si="12"/>
        <v>20</v>
      </c>
      <c r="Y25" s="8">
        <f t="shared" si="4"/>
        <v>30</v>
      </c>
      <c r="AB25" s="20">
        <v>300</v>
      </c>
      <c r="AC25" s="9">
        <f t="shared" si="5"/>
        <v>20</v>
      </c>
      <c r="AD25" s="9">
        <f t="shared" si="6"/>
        <v>20</v>
      </c>
      <c r="AE25" s="9">
        <f t="shared" si="7"/>
        <v>20</v>
      </c>
      <c r="AG25" s="20">
        <v>300</v>
      </c>
      <c r="AH25" s="9">
        <f t="shared" si="8"/>
        <v>20</v>
      </c>
      <c r="AI25" s="9">
        <f t="shared" si="13"/>
        <v>20</v>
      </c>
      <c r="AJ25" s="9">
        <f t="shared" si="9"/>
        <v>30</v>
      </c>
      <c r="AM25" s="21">
        <v>300</v>
      </c>
      <c r="AN25" s="10">
        <v>-10</v>
      </c>
      <c r="AO25" s="10">
        <v>10</v>
      </c>
      <c r="AP25" s="10">
        <f t="shared" si="10"/>
        <v>20</v>
      </c>
      <c r="AQ25" s="10">
        <f t="shared" si="11"/>
        <v>30</v>
      </c>
      <c r="AT25" s="12">
        <v>300</v>
      </c>
      <c r="AU25" s="79"/>
      <c r="AV25" s="67"/>
      <c r="AW25" s="67"/>
      <c r="AX25" s="67"/>
      <c r="AY25" s="67"/>
      <c r="AZ25" s="67"/>
    </row>
    <row r="26" spans="2:52" ht="16.5">
      <c r="B26" s="12">
        <v>315</v>
      </c>
      <c r="C26" s="71"/>
      <c r="D26" s="71"/>
      <c r="E26" s="71"/>
      <c r="F26" s="74"/>
      <c r="G26" s="71"/>
      <c r="H26" s="71"/>
      <c r="J26" s="12">
        <v>315</v>
      </c>
      <c r="K26" s="84"/>
      <c r="L26"/>
      <c r="M26"/>
      <c r="N26"/>
      <c r="Q26" s="19">
        <v>315</v>
      </c>
      <c r="R26" s="8">
        <f t="shared" si="0"/>
        <v>20</v>
      </c>
      <c r="S26" s="8">
        <f t="shared" si="1"/>
        <v>20</v>
      </c>
      <c r="T26" s="8">
        <f t="shared" si="2"/>
        <v>20</v>
      </c>
      <c r="V26" s="19">
        <v>315</v>
      </c>
      <c r="W26" s="8">
        <f t="shared" si="3"/>
        <v>20</v>
      </c>
      <c r="X26" s="8">
        <f t="shared" si="12"/>
        <v>20</v>
      </c>
      <c r="Y26" s="8">
        <f t="shared" si="4"/>
        <v>30</v>
      </c>
      <c r="AB26" s="20">
        <v>315</v>
      </c>
      <c r="AC26" s="9">
        <f t="shared" si="5"/>
        <v>20</v>
      </c>
      <c r="AD26" s="9">
        <f t="shared" si="6"/>
        <v>20</v>
      </c>
      <c r="AE26" s="9">
        <f t="shared" si="7"/>
        <v>20</v>
      </c>
      <c r="AG26" s="20">
        <v>315</v>
      </c>
      <c r="AH26" s="9">
        <f t="shared" si="8"/>
        <v>20</v>
      </c>
      <c r="AI26" s="9">
        <f t="shared" si="13"/>
        <v>20</v>
      </c>
      <c r="AJ26" s="9">
        <f t="shared" si="9"/>
        <v>30</v>
      </c>
      <c r="AM26" s="21">
        <v>315</v>
      </c>
      <c r="AN26" s="10">
        <v>-10</v>
      </c>
      <c r="AP26" s="10">
        <f t="shared" si="10"/>
        <v>20</v>
      </c>
      <c r="AQ26" s="10">
        <f t="shared" si="11"/>
        <v>30</v>
      </c>
      <c r="AT26" s="12">
        <v>315</v>
      </c>
      <c r="AU26" s="79"/>
      <c r="AV26" s="67"/>
      <c r="AW26" s="67"/>
      <c r="AX26" s="67"/>
      <c r="AY26" s="67"/>
      <c r="AZ26" s="67"/>
    </row>
    <row r="27" spans="2:52" ht="16.5">
      <c r="B27" s="12">
        <v>335</v>
      </c>
      <c r="C27" s="71"/>
      <c r="D27" s="71"/>
      <c r="E27" s="71"/>
      <c r="F27" s="74"/>
      <c r="G27" s="71"/>
      <c r="H27" s="71"/>
      <c r="J27" s="12">
        <v>335</v>
      </c>
      <c r="K27" s="84"/>
      <c r="L27"/>
      <c r="M27"/>
      <c r="N27"/>
      <c r="Q27" s="19">
        <v>335</v>
      </c>
      <c r="R27" s="8">
        <f t="shared" si="0"/>
        <v>20</v>
      </c>
      <c r="S27" s="8">
        <f t="shared" si="1"/>
        <v>20</v>
      </c>
      <c r="T27" s="8">
        <f t="shared" si="2"/>
        <v>20</v>
      </c>
      <c r="V27" s="19">
        <v>335</v>
      </c>
      <c r="W27" s="8">
        <f t="shared" si="3"/>
        <v>20</v>
      </c>
      <c r="X27" s="8">
        <f t="shared" si="12"/>
        <v>20</v>
      </c>
      <c r="Y27" s="8">
        <f t="shared" si="4"/>
        <v>30</v>
      </c>
      <c r="AB27" s="20">
        <v>335</v>
      </c>
      <c r="AC27" s="9">
        <f t="shared" si="5"/>
        <v>20</v>
      </c>
      <c r="AD27" s="9">
        <f t="shared" si="6"/>
        <v>20</v>
      </c>
      <c r="AE27" s="9">
        <f t="shared" si="7"/>
        <v>20</v>
      </c>
      <c r="AG27" s="20">
        <v>335</v>
      </c>
      <c r="AH27" s="9">
        <f t="shared" si="8"/>
        <v>20</v>
      </c>
      <c r="AI27" s="9">
        <f t="shared" si="13"/>
        <v>20</v>
      </c>
      <c r="AJ27" s="9">
        <f t="shared" si="9"/>
        <v>30</v>
      </c>
      <c r="AM27" s="21">
        <v>335</v>
      </c>
      <c r="AN27" s="10">
        <v>-10</v>
      </c>
      <c r="AP27" s="10">
        <f t="shared" si="10"/>
        <v>20</v>
      </c>
      <c r="AQ27" s="10">
        <f t="shared" si="11"/>
        <v>30</v>
      </c>
      <c r="AT27" s="12">
        <v>335</v>
      </c>
      <c r="AU27" s="79"/>
      <c r="AV27" s="67"/>
      <c r="AW27" s="67"/>
      <c r="AX27" s="67"/>
      <c r="AY27" s="67"/>
      <c r="AZ27" s="67"/>
    </row>
    <row r="28" spans="2:52" ht="16.5">
      <c r="B28" s="12">
        <v>355</v>
      </c>
      <c r="C28" s="71"/>
      <c r="D28" s="71"/>
      <c r="E28" s="71"/>
      <c r="F28" s="74"/>
      <c r="G28" s="71"/>
      <c r="H28" s="71"/>
      <c r="J28" s="12">
        <v>355</v>
      </c>
      <c r="K28" s="84"/>
      <c r="L28"/>
      <c r="M28"/>
      <c r="N28"/>
      <c r="Q28" s="19">
        <v>355</v>
      </c>
      <c r="R28" s="8">
        <f t="shared" si="0"/>
        <v>20</v>
      </c>
      <c r="S28" s="8">
        <f t="shared" si="1"/>
        <v>20</v>
      </c>
      <c r="T28" s="8">
        <f t="shared" si="2"/>
        <v>20</v>
      </c>
      <c r="V28" s="19">
        <v>355</v>
      </c>
      <c r="W28" s="8">
        <f t="shared" si="3"/>
        <v>20</v>
      </c>
      <c r="X28" s="8">
        <f t="shared" si="12"/>
        <v>20</v>
      </c>
      <c r="Y28" s="8">
        <f t="shared" si="4"/>
        <v>30</v>
      </c>
      <c r="AB28" s="20">
        <v>355</v>
      </c>
      <c r="AC28" s="9">
        <f t="shared" si="5"/>
        <v>20</v>
      </c>
      <c r="AD28" s="9">
        <f t="shared" si="6"/>
        <v>20</v>
      </c>
      <c r="AE28" s="9">
        <f t="shared" si="7"/>
        <v>20</v>
      </c>
      <c r="AG28" s="20">
        <v>355</v>
      </c>
      <c r="AH28" s="9">
        <f t="shared" si="8"/>
        <v>20</v>
      </c>
      <c r="AI28" s="9">
        <f t="shared" si="13"/>
        <v>20</v>
      </c>
      <c r="AJ28" s="9">
        <f t="shared" si="9"/>
        <v>30</v>
      </c>
      <c r="AM28" s="21">
        <v>355</v>
      </c>
      <c r="AN28" s="10">
        <v>-10</v>
      </c>
      <c r="AO28" s="10">
        <v>10</v>
      </c>
      <c r="AP28" s="10">
        <f t="shared" si="10"/>
        <v>20</v>
      </c>
      <c r="AQ28" s="10">
        <f t="shared" si="11"/>
        <v>30</v>
      </c>
      <c r="AT28" s="12">
        <v>355</v>
      </c>
      <c r="AU28" s="79"/>
      <c r="AV28" s="67"/>
      <c r="AW28" s="67"/>
      <c r="AX28" s="67"/>
      <c r="AY28" s="67"/>
      <c r="AZ28" s="67"/>
    </row>
    <row r="29" spans="2:52" ht="16.5">
      <c r="B29" s="12">
        <v>375</v>
      </c>
      <c r="C29" s="71"/>
      <c r="D29" s="71"/>
      <c r="E29" s="71"/>
      <c r="F29" s="74"/>
      <c r="G29" s="71"/>
      <c r="H29" s="71"/>
      <c r="J29" s="12">
        <v>375</v>
      </c>
      <c r="K29" s="84"/>
      <c r="L29"/>
      <c r="M29"/>
      <c r="N29"/>
      <c r="Q29" s="19">
        <v>375</v>
      </c>
      <c r="R29" s="8">
        <f t="shared" si="0"/>
        <v>20</v>
      </c>
      <c r="S29" s="8">
        <f t="shared" si="1"/>
        <v>20</v>
      </c>
      <c r="T29" s="8">
        <f t="shared" si="2"/>
        <v>20</v>
      </c>
      <c r="V29" s="19">
        <v>375</v>
      </c>
      <c r="W29" s="8">
        <f t="shared" si="3"/>
        <v>20</v>
      </c>
      <c r="X29" s="8">
        <f t="shared" si="12"/>
        <v>20</v>
      </c>
      <c r="Y29" s="8">
        <f t="shared" si="4"/>
        <v>30</v>
      </c>
      <c r="AB29" s="20">
        <v>375</v>
      </c>
      <c r="AC29" s="9">
        <f t="shared" si="5"/>
        <v>20</v>
      </c>
      <c r="AD29" s="9">
        <f t="shared" si="6"/>
        <v>20</v>
      </c>
      <c r="AE29" s="9">
        <f t="shared" si="7"/>
        <v>20</v>
      </c>
      <c r="AG29" s="20">
        <v>375</v>
      </c>
      <c r="AH29" s="9">
        <f t="shared" si="8"/>
        <v>20</v>
      </c>
      <c r="AI29" s="9">
        <f t="shared" si="13"/>
        <v>20</v>
      </c>
      <c r="AJ29" s="9">
        <f t="shared" si="9"/>
        <v>30</v>
      </c>
      <c r="AM29" s="21">
        <v>375</v>
      </c>
      <c r="AN29" s="10">
        <v>-10</v>
      </c>
      <c r="AP29" s="10">
        <f t="shared" si="10"/>
        <v>20</v>
      </c>
      <c r="AQ29" s="10">
        <f t="shared" si="11"/>
        <v>30</v>
      </c>
      <c r="AT29" s="12">
        <v>375</v>
      </c>
      <c r="AU29" s="79"/>
      <c r="AV29" s="67"/>
      <c r="AW29" s="67"/>
      <c r="AX29" s="67"/>
      <c r="AY29" s="67"/>
      <c r="AZ29" s="67"/>
    </row>
    <row r="30" spans="2:52" ht="16.5">
      <c r="B30" s="12">
        <v>400</v>
      </c>
      <c r="C30" s="71"/>
      <c r="D30" s="71"/>
      <c r="E30" s="71"/>
      <c r="F30" s="74"/>
      <c r="G30" s="71"/>
      <c r="H30" s="71"/>
      <c r="J30" s="12">
        <v>400</v>
      </c>
      <c r="K30" s="84"/>
      <c r="L30"/>
      <c r="M30"/>
      <c r="N30"/>
      <c r="Q30" s="19">
        <v>400</v>
      </c>
      <c r="R30" s="8">
        <f t="shared" si="0"/>
        <v>20</v>
      </c>
      <c r="S30" s="8">
        <f t="shared" si="1"/>
        <v>20</v>
      </c>
      <c r="T30" s="8">
        <f t="shared" si="2"/>
        <v>20</v>
      </c>
      <c r="V30" s="19">
        <v>400</v>
      </c>
      <c r="W30" s="8">
        <f t="shared" si="3"/>
        <v>20</v>
      </c>
      <c r="X30" s="8">
        <f t="shared" si="12"/>
        <v>20</v>
      </c>
      <c r="Y30" s="8">
        <f t="shared" si="4"/>
        <v>30</v>
      </c>
      <c r="AB30" s="20">
        <v>400</v>
      </c>
      <c r="AC30" s="9">
        <f t="shared" si="5"/>
        <v>20</v>
      </c>
      <c r="AD30" s="9">
        <f t="shared" si="6"/>
        <v>20</v>
      </c>
      <c r="AE30" s="9">
        <f t="shared" si="7"/>
        <v>20</v>
      </c>
      <c r="AG30" s="20">
        <v>400</v>
      </c>
      <c r="AH30" s="9">
        <f t="shared" si="8"/>
        <v>20</v>
      </c>
      <c r="AI30" s="9">
        <f t="shared" si="13"/>
        <v>20</v>
      </c>
      <c r="AJ30" s="9">
        <f t="shared" si="9"/>
        <v>30</v>
      </c>
      <c r="AM30" s="21">
        <v>400</v>
      </c>
      <c r="AN30" s="10">
        <v>-10</v>
      </c>
      <c r="AP30" s="10">
        <f t="shared" si="10"/>
        <v>20</v>
      </c>
      <c r="AQ30" s="10">
        <f t="shared" si="11"/>
        <v>30</v>
      </c>
      <c r="AT30" s="12">
        <v>400</v>
      </c>
      <c r="AU30" s="79"/>
      <c r="AV30" s="67"/>
      <c r="AW30" s="67"/>
      <c r="AX30" s="67"/>
      <c r="AY30" s="67"/>
      <c r="AZ30" s="67"/>
    </row>
    <row r="31" spans="2:52" ht="16.5">
      <c r="B31" s="12">
        <v>425</v>
      </c>
      <c r="C31" s="71"/>
      <c r="D31" s="71"/>
      <c r="E31" s="71"/>
      <c r="F31" s="74"/>
      <c r="G31" s="71"/>
      <c r="H31" s="71"/>
      <c r="J31" s="12">
        <v>425</v>
      </c>
      <c r="K31" s="84"/>
      <c r="L31"/>
      <c r="M31"/>
      <c r="N31"/>
      <c r="Q31" s="19">
        <v>425</v>
      </c>
      <c r="R31" s="8">
        <f t="shared" si="0"/>
        <v>20</v>
      </c>
      <c r="S31" s="8">
        <f t="shared" si="1"/>
        <v>20</v>
      </c>
      <c r="T31" s="8">
        <f t="shared" si="2"/>
        <v>20</v>
      </c>
      <c r="V31" s="19">
        <v>425</v>
      </c>
      <c r="W31" s="8">
        <f t="shared" si="3"/>
        <v>20</v>
      </c>
      <c r="X31" s="8">
        <f t="shared" si="12"/>
        <v>20</v>
      </c>
      <c r="Y31" s="8">
        <f t="shared" si="4"/>
        <v>30</v>
      </c>
      <c r="AB31" s="20">
        <v>425</v>
      </c>
      <c r="AC31" s="9">
        <f t="shared" si="5"/>
        <v>20</v>
      </c>
      <c r="AD31" s="9">
        <f t="shared" si="6"/>
        <v>20</v>
      </c>
      <c r="AE31" s="9">
        <f t="shared" si="7"/>
        <v>20</v>
      </c>
      <c r="AG31" s="20">
        <v>425</v>
      </c>
      <c r="AH31" s="9">
        <f t="shared" si="8"/>
        <v>20</v>
      </c>
      <c r="AI31" s="9">
        <f t="shared" si="13"/>
        <v>20</v>
      </c>
      <c r="AJ31" s="9">
        <f t="shared" si="9"/>
        <v>30</v>
      </c>
      <c r="AM31" s="21">
        <v>425</v>
      </c>
      <c r="AN31" s="10">
        <v>-10</v>
      </c>
      <c r="AO31" s="10">
        <v>10</v>
      </c>
      <c r="AP31" s="10">
        <f t="shared" si="10"/>
        <v>20</v>
      </c>
      <c r="AQ31" s="10">
        <f t="shared" si="11"/>
        <v>30</v>
      </c>
      <c r="AT31" s="12">
        <v>425</v>
      </c>
      <c r="AU31" s="79"/>
      <c r="AV31" s="67"/>
      <c r="AW31" s="67"/>
      <c r="AX31" s="67"/>
      <c r="AY31" s="67"/>
      <c r="AZ31" s="67"/>
    </row>
    <row r="32" spans="2:52" ht="16.5">
      <c r="B32" s="12">
        <v>450</v>
      </c>
      <c r="C32" s="71"/>
      <c r="D32" s="71"/>
      <c r="E32" s="71"/>
      <c r="F32" s="74"/>
      <c r="G32" s="71"/>
      <c r="H32" s="71"/>
      <c r="J32" s="12">
        <v>450</v>
      </c>
      <c r="K32" s="84"/>
      <c r="L32"/>
      <c r="M32"/>
      <c r="N32"/>
      <c r="Q32" s="19">
        <v>450</v>
      </c>
      <c r="R32" s="8">
        <f t="shared" si="0"/>
        <v>20</v>
      </c>
      <c r="S32" s="8">
        <f t="shared" si="1"/>
        <v>20</v>
      </c>
      <c r="T32" s="8">
        <f t="shared" si="2"/>
        <v>20</v>
      </c>
      <c r="V32" s="19">
        <v>450</v>
      </c>
      <c r="W32" s="8">
        <f t="shared" si="3"/>
        <v>20</v>
      </c>
      <c r="X32" s="8">
        <f t="shared" si="12"/>
        <v>20</v>
      </c>
      <c r="Y32" s="8">
        <f t="shared" si="4"/>
        <v>30</v>
      </c>
      <c r="AB32" s="20">
        <v>450</v>
      </c>
      <c r="AC32" s="9">
        <f t="shared" si="5"/>
        <v>20</v>
      </c>
      <c r="AD32" s="9">
        <f t="shared" si="6"/>
        <v>20</v>
      </c>
      <c r="AE32" s="9">
        <f t="shared" si="7"/>
        <v>20</v>
      </c>
      <c r="AG32" s="20">
        <v>450</v>
      </c>
      <c r="AH32" s="9">
        <f t="shared" si="8"/>
        <v>20</v>
      </c>
      <c r="AI32" s="9">
        <f t="shared" si="13"/>
        <v>20</v>
      </c>
      <c r="AJ32" s="9">
        <f t="shared" si="9"/>
        <v>30</v>
      </c>
      <c r="AM32" s="21">
        <v>450</v>
      </c>
      <c r="AN32" s="10">
        <v>-10</v>
      </c>
      <c r="AP32" s="10">
        <f t="shared" si="10"/>
        <v>20</v>
      </c>
      <c r="AQ32" s="10">
        <f t="shared" si="11"/>
        <v>30</v>
      </c>
      <c r="AT32" s="12">
        <v>450</v>
      </c>
      <c r="AU32" s="79"/>
      <c r="AV32" s="67"/>
      <c r="AW32" s="67"/>
      <c r="AX32" s="67"/>
      <c r="AY32" s="67"/>
      <c r="AZ32" s="67"/>
    </row>
    <row r="33" spans="2:52" ht="16.5">
      <c r="B33" s="12">
        <v>475</v>
      </c>
      <c r="C33" s="71"/>
      <c r="D33" s="71"/>
      <c r="E33" s="71"/>
      <c r="F33" s="74"/>
      <c r="G33" s="71"/>
      <c r="H33" s="71"/>
      <c r="J33" s="12">
        <v>475</v>
      </c>
      <c r="K33" s="84"/>
      <c r="L33"/>
      <c r="M33"/>
      <c r="N33"/>
      <c r="Q33" s="19">
        <v>475</v>
      </c>
      <c r="R33" s="8">
        <f t="shared" si="0"/>
        <v>20</v>
      </c>
      <c r="S33" s="8">
        <f t="shared" si="1"/>
        <v>20</v>
      </c>
      <c r="T33" s="8">
        <f t="shared" si="2"/>
        <v>20</v>
      </c>
      <c r="V33" s="19">
        <v>475</v>
      </c>
      <c r="W33" s="8">
        <f t="shared" si="3"/>
        <v>20</v>
      </c>
      <c r="X33" s="8">
        <f t="shared" si="12"/>
        <v>20</v>
      </c>
      <c r="Y33" s="8">
        <f t="shared" si="4"/>
        <v>30</v>
      </c>
      <c r="AB33" s="20">
        <v>475</v>
      </c>
      <c r="AC33" s="9">
        <f t="shared" si="5"/>
        <v>20</v>
      </c>
      <c r="AD33" s="9">
        <f t="shared" si="6"/>
        <v>20</v>
      </c>
      <c r="AE33" s="9">
        <f t="shared" si="7"/>
        <v>20</v>
      </c>
      <c r="AG33" s="20">
        <v>475</v>
      </c>
      <c r="AH33" s="9">
        <f t="shared" si="8"/>
        <v>20</v>
      </c>
      <c r="AI33" s="9">
        <f t="shared" si="13"/>
        <v>20</v>
      </c>
      <c r="AJ33" s="9">
        <f t="shared" si="9"/>
        <v>30</v>
      </c>
      <c r="AM33" s="21">
        <v>475</v>
      </c>
      <c r="AN33" s="10">
        <v>-10</v>
      </c>
      <c r="AP33" s="10">
        <f t="shared" si="10"/>
        <v>20</v>
      </c>
      <c r="AQ33" s="10">
        <f t="shared" si="11"/>
        <v>30</v>
      </c>
      <c r="AT33" s="12">
        <v>475</v>
      </c>
      <c r="AU33" s="79"/>
      <c r="AV33" s="67"/>
      <c r="AW33" s="67"/>
      <c r="AX33" s="67"/>
      <c r="AY33" s="67"/>
      <c r="AZ33" s="67"/>
    </row>
    <row r="34" spans="2:52" ht="16.5">
      <c r="B34" s="12">
        <v>500</v>
      </c>
      <c r="C34" s="71"/>
      <c r="D34" s="71"/>
      <c r="E34" s="71"/>
      <c r="F34" s="74"/>
      <c r="G34" s="71"/>
      <c r="H34" s="71"/>
      <c r="J34" s="12">
        <v>500</v>
      </c>
      <c r="K34" s="84"/>
      <c r="L34"/>
      <c r="M34"/>
      <c r="N34"/>
      <c r="Q34" s="19">
        <v>500</v>
      </c>
      <c r="R34" s="8">
        <f t="shared" si="0"/>
        <v>20</v>
      </c>
      <c r="S34" s="8">
        <f t="shared" si="1"/>
        <v>20</v>
      </c>
      <c r="T34" s="8">
        <f t="shared" si="2"/>
        <v>20</v>
      </c>
      <c r="V34" s="19">
        <v>500</v>
      </c>
      <c r="W34" s="8">
        <f t="shared" si="3"/>
        <v>20</v>
      </c>
      <c r="X34" s="8">
        <f t="shared" si="12"/>
        <v>20</v>
      </c>
      <c r="Y34" s="8">
        <f t="shared" si="4"/>
        <v>30</v>
      </c>
      <c r="AB34" s="20">
        <v>500</v>
      </c>
      <c r="AC34" s="9">
        <f t="shared" si="5"/>
        <v>20</v>
      </c>
      <c r="AD34" s="9">
        <f t="shared" si="6"/>
        <v>20</v>
      </c>
      <c r="AE34" s="9">
        <f t="shared" si="7"/>
        <v>20</v>
      </c>
      <c r="AG34" s="20">
        <v>500</v>
      </c>
      <c r="AH34" s="9">
        <f t="shared" si="8"/>
        <v>20</v>
      </c>
      <c r="AI34" s="9">
        <f t="shared" si="13"/>
        <v>20</v>
      </c>
      <c r="AJ34" s="9">
        <f t="shared" si="9"/>
        <v>30</v>
      </c>
      <c r="AM34" s="21">
        <v>500</v>
      </c>
      <c r="AN34" s="10">
        <v>-10</v>
      </c>
      <c r="AO34" s="10">
        <v>10</v>
      </c>
      <c r="AP34" s="10">
        <f t="shared" si="10"/>
        <v>20</v>
      </c>
      <c r="AQ34" s="10">
        <f t="shared" si="11"/>
        <v>30</v>
      </c>
      <c r="AT34" s="12">
        <v>500</v>
      </c>
      <c r="AU34" s="79"/>
      <c r="AV34" s="67"/>
      <c r="AW34" s="67"/>
      <c r="AX34" s="67"/>
      <c r="AY34" s="67"/>
      <c r="AZ34" s="67"/>
    </row>
    <row r="35" spans="2:52" ht="16.5">
      <c r="B35" s="12">
        <v>530</v>
      </c>
      <c r="C35" s="71"/>
      <c r="D35" s="71"/>
      <c r="E35" s="71"/>
      <c r="F35" s="74"/>
      <c r="G35" s="71"/>
      <c r="H35" s="71"/>
      <c r="J35" s="12">
        <v>530</v>
      </c>
      <c r="K35" s="84"/>
      <c r="L35"/>
      <c r="M35"/>
      <c r="N35"/>
      <c r="Q35" s="19">
        <v>530</v>
      </c>
      <c r="R35" s="8">
        <f t="shared" si="0"/>
        <v>20</v>
      </c>
      <c r="S35" s="8">
        <f t="shared" si="1"/>
        <v>20</v>
      </c>
      <c r="T35" s="8">
        <f t="shared" si="2"/>
        <v>20</v>
      </c>
      <c r="V35" s="19">
        <v>530</v>
      </c>
      <c r="W35" s="8">
        <f t="shared" si="3"/>
        <v>20</v>
      </c>
      <c r="X35" s="8">
        <f t="shared" si="12"/>
        <v>20</v>
      </c>
      <c r="Y35" s="8">
        <f t="shared" si="4"/>
        <v>30</v>
      </c>
      <c r="AB35" s="20">
        <v>530</v>
      </c>
      <c r="AC35" s="9">
        <f t="shared" si="5"/>
        <v>20</v>
      </c>
      <c r="AD35" s="9">
        <f t="shared" si="6"/>
        <v>20</v>
      </c>
      <c r="AE35" s="9">
        <f t="shared" si="7"/>
        <v>20</v>
      </c>
      <c r="AG35" s="20">
        <v>530</v>
      </c>
      <c r="AH35" s="9">
        <f t="shared" si="8"/>
        <v>20</v>
      </c>
      <c r="AI35" s="9">
        <f t="shared" si="13"/>
        <v>20</v>
      </c>
      <c r="AJ35" s="9">
        <f t="shared" si="9"/>
        <v>30</v>
      </c>
      <c r="AM35" s="21">
        <v>530</v>
      </c>
      <c r="AN35" s="10">
        <v>-10</v>
      </c>
      <c r="AP35" s="10">
        <f t="shared" si="10"/>
        <v>20</v>
      </c>
      <c r="AQ35" s="10">
        <f t="shared" si="11"/>
        <v>30</v>
      </c>
      <c r="AT35" s="12">
        <v>530</v>
      </c>
      <c r="AU35" s="79"/>
      <c r="AV35" s="67"/>
      <c r="AW35" s="67"/>
      <c r="AX35" s="67"/>
      <c r="AY35" s="67"/>
      <c r="AZ35" s="67"/>
    </row>
    <row r="36" spans="2:52" ht="16.5">
      <c r="B36" s="12">
        <v>560</v>
      </c>
      <c r="C36" s="71"/>
      <c r="D36" s="71"/>
      <c r="E36" s="71"/>
      <c r="F36" s="74"/>
      <c r="G36" s="71"/>
      <c r="H36" s="71"/>
      <c r="J36" s="12">
        <v>560</v>
      </c>
      <c r="K36" s="84"/>
      <c r="L36"/>
      <c r="M36"/>
      <c r="N36"/>
      <c r="Q36" s="19">
        <v>560</v>
      </c>
      <c r="R36" s="8">
        <f t="shared" si="0"/>
        <v>20</v>
      </c>
      <c r="S36" s="8">
        <f t="shared" si="1"/>
        <v>20</v>
      </c>
      <c r="T36" s="8">
        <f t="shared" si="2"/>
        <v>20</v>
      </c>
      <c r="V36" s="19">
        <v>560</v>
      </c>
      <c r="W36" s="8">
        <f t="shared" si="3"/>
        <v>20</v>
      </c>
      <c r="X36" s="8">
        <f t="shared" si="12"/>
        <v>20</v>
      </c>
      <c r="Y36" s="8">
        <f t="shared" si="4"/>
        <v>30</v>
      </c>
      <c r="AB36" s="20">
        <v>560</v>
      </c>
      <c r="AC36" s="9">
        <f t="shared" si="5"/>
        <v>20</v>
      </c>
      <c r="AD36" s="9">
        <f t="shared" si="6"/>
        <v>20</v>
      </c>
      <c r="AE36" s="9">
        <f t="shared" si="7"/>
        <v>20</v>
      </c>
      <c r="AG36" s="20">
        <v>560</v>
      </c>
      <c r="AH36" s="9">
        <f t="shared" si="8"/>
        <v>20</v>
      </c>
      <c r="AI36" s="9">
        <f t="shared" si="13"/>
        <v>20</v>
      </c>
      <c r="AJ36" s="9">
        <f t="shared" si="9"/>
        <v>30</v>
      </c>
      <c r="AM36" s="21">
        <v>560</v>
      </c>
      <c r="AN36" s="10">
        <v>-10</v>
      </c>
      <c r="AP36" s="10">
        <f t="shared" si="10"/>
        <v>20</v>
      </c>
      <c r="AQ36" s="10">
        <f t="shared" si="11"/>
        <v>30</v>
      </c>
      <c r="AT36" s="12">
        <v>560</v>
      </c>
      <c r="AU36" s="79"/>
      <c r="AV36" s="67"/>
      <c r="AW36" s="67"/>
      <c r="AX36" s="67"/>
      <c r="AY36" s="67"/>
      <c r="AZ36" s="67"/>
    </row>
    <row r="37" spans="2:52" ht="16.5">
      <c r="B37" s="12">
        <v>600</v>
      </c>
      <c r="C37" s="71"/>
      <c r="D37" s="71"/>
      <c r="E37" s="71"/>
      <c r="F37" s="74"/>
      <c r="G37" s="71"/>
      <c r="H37" s="71"/>
      <c r="J37" s="12">
        <v>600</v>
      </c>
      <c r="K37" s="84"/>
      <c r="L37"/>
      <c r="M37"/>
      <c r="N37"/>
      <c r="Q37" s="19">
        <v>600</v>
      </c>
      <c r="R37" s="8">
        <f t="shared" si="0"/>
        <v>20</v>
      </c>
      <c r="S37" s="8">
        <f t="shared" si="1"/>
        <v>20</v>
      </c>
      <c r="T37" s="8">
        <f t="shared" si="2"/>
        <v>20</v>
      </c>
      <c r="V37" s="19">
        <v>600</v>
      </c>
      <c r="W37" s="8">
        <f t="shared" si="3"/>
        <v>20</v>
      </c>
      <c r="X37" s="8">
        <f t="shared" si="12"/>
        <v>20</v>
      </c>
      <c r="Y37" s="8">
        <f t="shared" si="4"/>
        <v>30</v>
      </c>
      <c r="AB37" s="20">
        <v>600</v>
      </c>
      <c r="AC37" s="9">
        <f t="shared" si="5"/>
        <v>20</v>
      </c>
      <c r="AD37" s="9">
        <f t="shared" si="6"/>
        <v>20</v>
      </c>
      <c r="AE37" s="9">
        <f t="shared" si="7"/>
        <v>20</v>
      </c>
      <c r="AG37" s="20">
        <v>600</v>
      </c>
      <c r="AH37" s="9">
        <f t="shared" si="8"/>
        <v>20</v>
      </c>
      <c r="AI37" s="9">
        <f t="shared" si="13"/>
        <v>20</v>
      </c>
      <c r="AJ37" s="9">
        <f t="shared" si="9"/>
        <v>30</v>
      </c>
      <c r="AM37" s="21">
        <v>600</v>
      </c>
      <c r="AN37" s="10">
        <v>-10</v>
      </c>
      <c r="AO37" s="10">
        <v>10</v>
      </c>
      <c r="AP37" s="10">
        <f t="shared" si="10"/>
        <v>20</v>
      </c>
      <c r="AQ37" s="10">
        <f t="shared" si="11"/>
        <v>30</v>
      </c>
      <c r="AT37" s="12">
        <v>600</v>
      </c>
      <c r="AU37" s="79"/>
      <c r="AV37" s="67"/>
      <c r="AW37" s="67"/>
      <c r="AX37" s="67"/>
      <c r="AY37" s="67"/>
      <c r="AZ37" s="67"/>
    </row>
    <row r="38" spans="2:52" ht="16.5">
      <c r="B38" s="12">
        <v>630</v>
      </c>
      <c r="C38" s="71"/>
      <c r="D38" s="71"/>
      <c r="E38" s="71"/>
      <c r="F38" s="74"/>
      <c r="G38" s="71"/>
      <c r="H38" s="71"/>
      <c r="J38" s="12">
        <v>630</v>
      </c>
      <c r="K38" s="84"/>
      <c r="L38"/>
      <c r="M38"/>
      <c r="N38"/>
      <c r="Q38" s="19">
        <v>630</v>
      </c>
      <c r="R38" s="8">
        <f t="shared" ref="R38:R70" si="14">+$K38+20-C38</f>
        <v>20</v>
      </c>
      <c r="S38" s="8">
        <f t="shared" ref="S38:S70" si="15">+$K38+20-D38</f>
        <v>20</v>
      </c>
      <c r="T38" s="8">
        <f t="shared" ref="T38:T70" si="16">+$K38+20-E38</f>
        <v>20</v>
      </c>
      <c r="V38" s="19">
        <v>630</v>
      </c>
      <c r="W38" s="8">
        <f t="shared" si="3"/>
        <v>20</v>
      </c>
      <c r="X38" s="8">
        <f t="shared" si="12"/>
        <v>20</v>
      </c>
      <c r="Y38" s="8">
        <f t="shared" ref="Y38:Y69" si="17">+X38-$AN38</f>
        <v>30</v>
      </c>
      <c r="AB38" s="20">
        <v>630</v>
      </c>
      <c r="AC38" s="9">
        <f t="shared" ref="AC38:AC70" si="18">+$L38+20-F38</f>
        <v>20</v>
      </c>
      <c r="AD38" s="9">
        <f t="shared" ref="AD38:AD70" si="19">+$L38+20-G38</f>
        <v>20</v>
      </c>
      <c r="AE38" s="9">
        <f t="shared" ref="AE38:AE70" si="20">+$L38+20-H38</f>
        <v>20</v>
      </c>
      <c r="AG38" s="20">
        <v>630</v>
      </c>
      <c r="AH38" s="9">
        <f t="shared" si="8"/>
        <v>20</v>
      </c>
      <c r="AI38" s="9">
        <f t="shared" si="13"/>
        <v>20</v>
      </c>
      <c r="AJ38" s="9">
        <f t="shared" si="9"/>
        <v>30</v>
      </c>
      <c r="AM38" s="21">
        <v>630</v>
      </c>
      <c r="AN38" s="10">
        <v>-10</v>
      </c>
      <c r="AP38" s="10">
        <f t="shared" ref="AP38:AP69" si="21">+AVERAGE(AI38,X38)</f>
        <v>20</v>
      </c>
      <c r="AQ38" s="10">
        <f t="shared" ref="AQ38:AQ69" si="22">+AP38-AN38</f>
        <v>30</v>
      </c>
      <c r="AT38" s="12">
        <v>630</v>
      </c>
      <c r="AU38" s="79"/>
      <c r="AV38" s="67"/>
      <c r="AW38" s="67"/>
      <c r="AX38" s="67"/>
      <c r="AY38" s="67"/>
      <c r="AZ38" s="67"/>
    </row>
    <row r="39" spans="2:52" ht="16.5">
      <c r="B39" s="12">
        <v>670</v>
      </c>
      <c r="C39" s="71"/>
      <c r="D39" s="71"/>
      <c r="E39" s="71"/>
      <c r="F39" s="74"/>
      <c r="G39" s="71"/>
      <c r="H39" s="71"/>
      <c r="J39" s="12">
        <v>670</v>
      </c>
      <c r="K39" s="84"/>
      <c r="L39"/>
      <c r="M39"/>
      <c r="N39"/>
      <c r="Q39" s="19">
        <v>670</v>
      </c>
      <c r="R39" s="8">
        <f t="shared" si="14"/>
        <v>20</v>
      </c>
      <c r="S39" s="8">
        <f t="shared" si="15"/>
        <v>20</v>
      </c>
      <c r="T39" s="8">
        <f t="shared" si="16"/>
        <v>20</v>
      </c>
      <c r="V39" s="19">
        <v>670</v>
      </c>
      <c r="W39" s="8">
        <f t="shared" si="3"/>
        <v>20</v>
      </c>
      <c r="X39" s="8">
        <f t="shared" si="12"/>
        <v>20</v>
      </c>
      <c r="Y39" s="8">
        <f t="shared" si="17"/>
        <v>30</v>
      </c>
      <c r="AB39" s="20">
        <v>670</v>
      </c>
      <c r="AC39" s="9">
        <f t="shared" si="18"/>
        <v>20</v>
      </c>
      <c r="AD39" s="9">
        <f t="shared" si="19"/>
        <v>20</v>
      </c>
      <c r="AE39" s="9">
        <f t="shared" si="20"/>
        <v>20</v>
      </c>
      <c r="AG39" s="20">
        <v>670</v>
      </c>
      <c r="AH39" s="9">
        <f t="shared" si="8"/>
        <v>20</v>
      </c>
      <c r="AI39" s="9">
        <f t="shared" si="13"/>
        <v>20</v>
      </c>
      <c r="AJ39" s="9">
        <f t="shared" si="9"/>
        <v>30</v>
      </c>
      <c r="AM39" s="21">
        <v>670</v>
      </c>
      <c r="AN39" s="10">
        <v>-10</v>
      </c>
      <c r="AP39" s="10">
        <f t="shared" si="21"/>
        <v>20</v>
      </c>
      <c r="AQ39" s="10">
        <f t="shared" si="22"/>
        <v>30</v>
      </c>
      <c r="AT39" s="12">
        <v>670</v>
      </c>
      <c r="AU39" s="79"/>
      <c r="AV39" s="67"/>
      <c r="AW39" s="67"/>
      <c r="AX39" s="67"/>
      <c r="AY39" s="67"/>
      <c r="AZ39" s="67"/>
    </row>
    <row r="40" spans="2:52" ht="16.5">
      <c r="B40" s="12">
        <v>710</v>
      </c>
      <c r="C40" s="71"/>
      <c r="D40" s="71"/>
      <c r="E40" s="71"/>
      <c r="F40" s="74"/>
      <c r="G40" s="71"/>
      <c r="H40" s="71"/>
      <c r="J40" s="12">
        <v>710</v>
      </c>
      <c r="K40" s="84"/>
      <c r="L40"/>
      <c r="M40"/>
      <c r="N40"/>
      <c r="Q40" s="19">
        <v>710</v>
      </c>
      <c r="R40" s="8">
        <f t="shared" si="14"/>
        <v>20</v>
      </c>
      <c r="S40" s="8">
        <f t="shared" si="15"/>
        <v>20</v>
      </c>
      <c r="T40" s="8">
        <f t="shared" si="16"/>
        <v>20</v>
      </c>
      <c r="V40" s="19">
        <v>710</v>
      </c>
      <c r="W40" s="8">
        <f t="shared" si="3"/>
        <v>20</v>
      </c>
      <c r="X40" s="8">
        <f t="shared" si="12"/>
        <v>20</v>
      </c>
      <c r="Y40" s="8">
        <f t="shared" si="17"/>
        <v>30</v>
      </c>
      <c r="AB40" s="20">
        <v>710</v>
      </c>
      <c r="AC40" s="9">
        <f t="shared" si="18"/>
        <v>20</v>
      </c>
      <c r="AD40" s="9">
        <f t="shared" si="19"/>
        <v>20</v>
      </c>
      <c r="AE40" s="9">
        <f t="shared" si="20"/>
        <v>20</v>
      </c>
      <c r="AG40" s="20">
        <v>710</v>
      </c>
      <c r="AH40" s="9">
        <f t="shared" si="8"/>
        <v>20</v>
      </c>
      <c r="AI40" s="9">
        <f t="shared" si="13"/>
        <v>20</v>
      </c>
      <c r="AJ40" s="9">
        <f t="shared" si="9"/>
        <v>30</v>
      </c>
      <c r="AM40" s="21">
        <v>710</v>
      </c>
      <c r="AN40" s="10">
        <v>-10</v>
      </c>
      <c r="AO40" s="10">
        <v>10</v>
      </c>
      <c r="AP40" s="10">
        <f t="shared" si="21"/>
        <v>20</v>
      </c>
      <c r="AQ40" s="10">
        <f t="shared" si="22"/>
        <v>30</v>
      </c>
      <c r="AT40" s="12">
        <v>710</v>
      </c>
      <c r="AU40" s="79"/>
      <c r="AV40" s="67"/>
      <c r="AW40" s="67"/>
      <c r="AX40" s="67"/>
      <c r="AY40" s="67"/>
      <c r="AZ40" s="67"/>
    </row>
    <row r="41" spans="2:52" ht="16.5">
      <c r="B41" s="12">
        <v>750</v>
      </c>
      <c r="C41" s="71"/>
      <c r="D41" s="71"/>
      <c r="E41" s="71"/>
      <c r="F41" s="74"/>
      <c r="G41" s="71"/>
      <c r="H41" s="71"/>
      <c r="J41" s="12">
        <v>750</v>
      </c>
      <c r="K41" s="84"/>
      <c r="L41"/>
      <c r="M41"/>
      <c r="N41"/>
      <c r="Q41" s="19">
        <v>750</v>
      </c>
      <c r="R41" s="8">
        <f t="shared" si="14"/>
        <v>20</v>
      </c>
      <c r="S41" s="8">
        <f t="shared" si="15"/>
        <v>20</v>
      </c>
      <c r="T41" s="8">
        <f t="shared" si="16"/>
        <v>20</v>
      </c>
      <c r="V41" s="19">
        <v>750</v>
      </c>
      <c r="W41" s="8">
        <f t="shared" si="3"/>
        <v>20</v>
      </c>
      <c r="X41" s="8">
        <f t="shared" si="12"/>
        <v>20</v>
      </c>
      <c r="Y41" s="8">
        <f t="shared" si="17"/>
        <v>30</v>
      </c>
      <c r="AB41" s="20">
        <v>750</v>
      </c>
      <c r="AC41" s="9">
        <f t="shared" si="18"/>
        <v>20</v>
      </c>
      <c r="AD41" s="9">
        <f t="shared" si="19"/>
        <v>20</v>
      </c>
      <c r="AE41" s="9">
        <f t="shared" si="20"/>
        <v>20</v>
      </c>
      <c r="AG41" s="20">
        <v>750</v>
      </c>
      <c r="AH41" s="9">
        <f t="shared" si="8"/>
        <v>20</v>
      </c>
      <c r="AI41" s="9">
        <f t="shared" si="13"/>
        <v>20</v>
      </c>
      <c r="AJ41" s="9">
        <f t="shared" si="9"/>
        <v>30</v>
      </c>
      <c r="AM41" s="21">
        <v>750</v>
      </c>
      <c r="AN41" s="10">
        <v>-10</v>
      </c>
      <c r="AP41" s="10">
        <f t="shared" si="21"/>
        <v>20</v>
      </c>
      <c r="AQ41" s="10">
        <f t="shared" si="22"/>
        <v>30</v>
      </c>
      <c r="AT41" s="12">
        <v>750</v>
      </c>
      <c r="AU41" s="79"/>
      <c r="AV41" s="67"/>
      <c r="AW41" s="67"/>
      <c r="AX41" s="67"/>
      <c r="AY41" s="67"/>
      <c r="AZ41" s="67"/>
    </row>
    <row r="42" spans="2:52" ht="16.5">
      <c r="B42" s="12">
        <v>800</v>
      </c>
      <c r="C42" s="71"/>
      <c r="D42" s="71"/>
      <c r="E42" s="71"/>
      <c r="F42" s="74"/>
      <c r="G42" s="71"/>
      <c r="H42" s="71"/>
      <c r="J42" s="12">
        <v>800</v>
      </c>
      <c r="K42" s="84"/>
      <c r="L42"/>
      <c r="M42"/>
      <c r="N42"/>
      <c r="Q42" s="19">
        <v>800</v>
      </c>
      <c r="R42" s="8">
        <f t="shared" si="14"/>
        <v>20</v>
      </c>
      <c r="S42" s="8">
        <f t="shared" si="15"/>
        <v>20</v>
      </c>
      <c r="T42" s="8">
        <f t="shared" si="16"/>
        <v>20</v>
      </c>
      <c r="V42" s="19">
        <v>800</v>
      </c>
      <c r="W42" s="8">
        <f t="shared" si="3"/>
        <v>20</v>
      </c>
      <c r="X42" s="8">
        <f t="shared" si="12"/>
        <v>20</v>
      </c>
      <c r="Y42" s="8">
        <f t="shared" si="17"/>
        <v>30</v>
      </c>
      <c r="AB42" s="20">
        <v>800</v>
      </c>
      <c r="AC42" s="9">
        <f t="shared" si="18"/>
        <v>20</v>
      </c>
      <c r="AD42" s="9">
        <f t="shared" si="19"/>
        <v>20</v>
      </c>
      <c r="AE42" s="9">
        <f t="shared" si="20"/>
        <v>20</v>
      </c>
      <c r="AG42" s="20">
        <v>800</v>
      </c>
      <c r="AH42" s="9">
        <f t="shared" si="8"/>
        <v>20</v>
      </c>
      <c r="AI42" s="9">
        <f t="shared" si="13"/>
        <v>20</v>
      </c>
      <c r="AJ42" s="9">
        <f t="shared" si="9"/>
        <v>30</v>
      </c>
      <c r="AM42" s="21">
        <v>800</v>
      </c>
      <c r="AN42" s="10">
        <v>-10</v>
      </c>
      <c r="AP42" s="10">
        <f t="shared" si="21"/>
        <v>20</v>
      </c>
      <c r="AQ42" s="10">
        <f t="shared" si="22"/>
        <v>30</v>
      </c>
      <c r="AT42" s="12">
        <v>800</v>
      </c>
      <c r="AU42" s="79"/>
      <c r="AV42" s="67"/>
      <c r="AW42" s="67"/>
      <c r="AX42" s="67"/>
      <c r="AY42" s="67"/>
      <c r="AZ42" s="67"/>
    </row>
    <row r="43" spans="2:52" ht="16.5">
      <c r="B43" s="12">
        <v>850</v>
      </c>
      <c r="C43" s="71"/>
      <c r="D43" s="71"/>
      <c r="E43" s="71"/>
      <c r="F43" s="74"/>
      <c r="G43" s="71"/>
      <c r="H43" s="71"/>
      <c r="J43" s="12">
        <v>850</v>
      </c>
      <c r="K43" s="84"/>
      <c r="L43"/>
      <c r="M43"/>
      <c r="N43"/>
      <c r="Q43" s="19">
        <v>850</v>
      </c>
      <c r="R43" s="8">
        <f t="shared" si="14"/>
        <v>20</v>
      </c>
      <c r="S43" s="8">
        <f t="shared" si="15"/>
        <v>20</v>
      </c>
      <c r="T43" s="8">
        <f t="shared" si="16"/>
        <v>20</v>
      </c>
      <c r="V43" s="19">
        <v>850</v>
      </c>
      <c r="W43" s="8">
        <f t="shared" si="3"/>
        <v>20</v>
      </c>
      <c r="X43" s="8">
        <f t="shared" si="12"/>
        <v>20</v>
      </c>
      <c r="Y43" s="8">
        <f t="shared" si="17"/>
        <v>30</v>
      </c>
      <c r="AB43" s="20">
        <v>850</v>
      </c>
      <c r="AC43" s="9">
        <f t="shared" si="18"/>
        <v>20</v>
      </c>
      <c r="AD43" s="9">
        <f t="shared" si="19"/>
        <v>20</v>
      </c>
      <c r="AE43" s="9">
        <f t="shared" si="20"/>
        <v>20</v>
      </c>
      <c r="AG43" s="20">
        <v>850</v>
      </c>
      <c r="AH43" s="9">
        <f t="shared" si="8"/>
        <v>20</v>
      </c>
      <c r="AI43" s="9">
        <f t="shared" si="13"/>
        <v>20</v>
      </c>
      <c r="AJ43" s="9">
        <f t="shared" si="9"/>
        <v>30</v>
      </c>
      <c r="AM43" s="21">
        <v>850</v>
      </c>
      <c r="AN43" s="10">
        <v>-10</v>
      </c>
      <c r="AO43" s="10">
        <v>10</v>
      </c>
      <c r="AP43" s="10">
        <f t="shared" si="21"/>
        <v>20</v>
      </c>
      <c r="AQ43" s="10">
        <f t="shared" si="22"/>
        <v>30</v>
      </c>
      <c r="AT43" s="12">
        <v>850</v>
      </c>
      <c r="AU43" s="79"/>
      <c r="AV43" s="67"/>
      <c r="AW43" s="67"/>
      <c r="AX43" s="67"/>
      <c r="AY43" s="67"/>
      <c r="AZ43" s="67"/>
    </row>
    <row r="44" spans="2:52" ht="16.5">
      <c r="B44" s="12">
        <v>900</v>
      </c>
      <c r="C44" s="71"/>
      <c r="D44" s="71"/>
      <c r="E44" s="71"/>
      <c r="F44" s="74"/>
      <c r="G44" s="71"/>
      <c r="H44" s="71"/>
      <c r="J44" s="12">
        <v>900</v>
      </c>
      <c r="K44" s="84"/>
      <c r="L44"/>
      <c r="M44"/>
      <c r="N44"/>
      <c r="Q44" s="19">
        <v>900</v>
      </c>
      <c r="R44" s="8">
        <f t="shared" si="14"/>
        <v>20</v>
      </c>
      <c r="S44" s="8">
        <f t="shared" si="15"/>
        <v>20</v>
      </c>
      <c r="T44" s="8">
        <f t="shared" si="16"/>
        <v>20</v>
      </c>
      <c r="V44" s="19">
        <v>900</v>
      </c>
      <c r="W44" s="8">
        <f t="shared" si="3"/>
        <v>20</v>
      </c>
      <c r="X44" s="8">
        <f t="shared" si="12"/>
        <v>20</v>
      </c>
      <c r="Y44" s="8">
        <f t="shared" si="17"/>
        <v>30</v>
      </c>
      <c r="AB44" s="20">
        <v>900</v>
      </c>
      <c r="AC44" s="9">
        <f t="shared" si="18"/>
        <v>20</v>
      </c>
      <c r="AD44" s="9">
        <f t="shared" si="19"/>
        <v>20</v>
      </c>
      <c r="AE44" s="9">
        <f t="shared" si="20"/>
        <v>20</v>
      </c>
      <c r="AG44" s="20">
        <v>900</v>
      </c>
      <c r="AH44" s="9">
        <f t="shared" si="8"/>
        <v>20</v>
      </c>
      <c r="AI44" s="9">
        <f t="shared" si="13"/>
        <v>20</v>
      </c>
      <c r="AJ44" s="9">
        <f t="shared" si="9"/>
        <v>30</v>
      </c>
      <c r="AM44" s="21">
        <v>900</v>
      </c>
      <c r="AN44" s="10">
        <v>-10</v>
      </c>
      <c r="AP44" s="10">
        <f t="shared" si="21"/>
        <v>20</v>
      </c>
      <c r="AQ44" s="10">
        <f t="shared" si="22"/>
        <v>30</v>
      </c>
      <c r="AT44" s="12">
        <v>900</v>
      </c>
      <c r="AU44" s="79"/>
      <c r="AV44" s="67"/>
      <c r="AW44" s="67"/>
      <c r="AX44" s="67"/>
      <c r="AY44" s="67"/>
      <c r="AZ44" s="67"/>
    </row>
    <row r="45" spans="2:52" ht="16.5">
      <c r="B45" s="12">
        <v>950</v>
      </c>
      <c r="C45" s="71"/>
      <c r="D45" s="71"/>
      <c r="E45" s="71"/>
      <c r="F45" s="74"/>
      <c r="G45" s="71"/>
      <c r="H45" s="71"/>
      <c r="J45" s="12">
        <v>950</v>
      </c>
      <c r="K45" s="84"/>
      <c r="L45"/>
      <c r="M45"/>
      <c r="N45"/>
      <c r="Q45" s="19">
        <v>950</v>
      </c>
      <c r="R45" s="8">
        <f t="shared" si="14"/>
        <v>20</v>
      </c>
      <c r="S45" s="8">
        <f t="shared" si="15"/>
        <v>20</v>
      </c>
      <c r="T45" s="8">
        <f t="shared" si="16"/>
        <v>20</v>
      </c>
      <c r="V45" s="19">
        <v>950</v>
      </c>
      <c r="W45" s="8">
        <f t="shared" si="3"/>
        <v>20</v>
      </c>
      <c r="X45" s="8">
        <f t="shared" si="12"/>
        <v>20</v>
      </c>
      <c r="Y45" s="8">
        <f t="shared" si="17"/>
        <v>30</v>
      </c>
      <c r="AB45" s="20">
        <v>950</v>
      </c>
      <c r="AC45" s="9">
        <f t="shared" si="18"/>
        <v>20</v>
      </c>
      <c r="AD45" s="9">
        <f t="shared" si="19"/>
        <v>20</v>
      </c>
      <c r="AE45" s="9">
        <f t="shared" si="20"/>
        <v>20</v>
      </c>
      <c r="AG45" s="20">
        <v>950</v>
      </c>
      <c r="AH45" s="9">
        <f t="shared" si="8"/>
        <v>20</v>
      </c>
      <c r="AI45" s="9">
        <f t="shared" si="13"/>
        <v>20</v>
      </c>
      <c r="AJ45" s="9">
        <f t="shared" si="9"/>
        <v>30</v>
      </c>
      <c r="AM45" s="21">
        <v>950</v>
      </c>
      <c r="AN45" s="10">
        <v>-10</v>
      </c>
      <c r="AP45" s="10">
        <f t="shared" si="21"/>
        <v>20</v>
      </c>
      <c r="AQ45" s="10">
        <f t="shared" si="22"/>
        <v>30</v>
      </c>
      <c r="AT45" s="12">
        <v>950</v>
      </c>
      <c r="AU45" s="79"/>
      <c r="AV45" s="67"/>
      <c r="AW45" s="67"/>
      <c r="AX45" s="67"/>
      <c r="AY45" s="67"/>
      <c r="AZ45" s="67"/>
    </row>
    <row r="46" spans="2:52" ht="16.5">
      <c r="B46" s="12">
        <v>1000</v>
      </c>
      <c r="C46" s="71"/>
      <c r="D46" s="71"/>
      <c r="E46" s="71"/>
      <c r="F46" s="74"/>
      <c r="G46" s="71"/>
      <c r="H46" s="71"/>
      <c r="J46" s="12">
        <v>1000</v>
      </c>
      <c r="K46" s="84"/>
      <c r="L46"/>
      <c r="M46"/>
      <c r="N46"/>
      <c r="Q46" s="19">
        <v>1000</v>
      </c>
      <c r="R46" s="8">
        <f t="shared" si="14"/>
        <v>20</v>
      </c>
      <c r="S46" s="8">
        <f t="shared" si="15"/>
        <v>20</v>
      </c>
      <c r="T46" s="8">
        <f t="shared" si="16"/>
        <v>20</v>
      </c>
      <c r="V46" s="19">
        <v>1000</v>
      </c>
      <c r="W46" s="8">
        <f t="shared" si="3"/>
        <v>20</v>
      </c>
      <c r="X46" s="8">
        <f t="shared" si="12"/>
        <v>20</v>
      </c>
      <c r="Y46" s="8">
        <f t="shared" si="17"/>
        <v>30</v>
      </c>
      <c r="AB46" s="20">
        <v>1000</v>
      </c>
      <c r="AC46" s="9">
        <f t="shared" si="18"/>
        <v>20</v>
      </c>
      <c r="AD46" s="9">
        <f t="shared" si="19"/>
        <v>20</v>
      </c>
      <c r="AE46" s="9">
        <f t="shared" si="20"/>
        <v>20</v>
      </c>
      <c r="AG46" s="20">
        <v>1000</v>
      </c>
      <c r="AH46" s="9">
        <f t="shared" si="8"/>
        <v>20</v>
      </c>
      <c r="AI46" s="9">
        <f t="shared" si="13"/>
        <v>20</v>
      </c>
      <c r="AJ46" s="9">
        <f t="shared" si="9"/>
        <v>30</v>
      </c>
      <c r="AM46" s="21">
        <v>1000</v>
      </c>
      <c r="AN46" s="10">
        <v>-10</v>
      </c>
      <c r="AO46" s="10">
        <v>10</v>
      </c>
      <c r="AP46" s="10">
        <f t="shared" si="21"/>
        <v>20</v>
      </c>
      <c r="AQ46" s="10">
        <f t="shared" si="22"/>
        <v>30</v>
      </c>
      <c r="AT46" s="12">
        <v>1000</v>
      </c>
      <c r="AU46" s="79"/>
      <c r="AV46" s="67"/>
      <c r="AW46" s="67"/>
      <c r="AX46" s="67"/>
      <c r="AY46" s="67"/>
      <c r="AZ46" s="67"/>
    </row>
    <row r="47" spans="2:52" ht="16.5">
      <c r="B47" s="12">
        <v>1060</v>
      </c>
      <c r="C47" s="71"/>
      <c r="D47" s="71"/>
      <c r="E47" s="71"/>
      <c r="F47" s="74"/>
      <c r="G47" s="71"/>
      <c r="H47" s="71"/>
      <c r="J47" s="12">
        <v>1060</v>
      </c>
      <c r="K47" s="84"/>
      <c r="L47"/>
      <c r="M47"/>
      <c r="N47"/>
      <c r="Q47" s="19">
        <v>1060</v>
      </c>
      <c r="R47" s="8">
        <f t="shared" si="14"/>
        <v>20</v>
      </c>
      <c r="S47" s="8">
        <f t="shared" si="15"/>
        <v>20</v>
      </c>
      <c r="T47" s="8">
        <f t="shared" si="16"/>
        <v>20</v>
      </c>
      <c r="V47" s="19">
        <v>1060</v>
      </c>
      <c r="W47" s="8">
        <f t="shared" si="3"/>
        <v>20</v>
      </c>
      <c r="X47" s="8">
        <f t="shared" si="12"/>
        <v>20</v>
      </c>
      <c r="Y47" s="8">
        <f t="shared" si="17"/>
        <v>30</v>
      </c>
      <c r="AB47" s="20">
        <v>1060</v>
      </c>
      <c r="AC47" s="9">
        <f t="shared" si="18"/>
        <v>20</v>
      </c>
      <c r="AD47" s="9">
        <f t="shared" si="19"/>
        <v>20</v>
      </c>
      <c r="AE47" s="9">
        <f t="shared" si="20"/>
        <v>20</v>
      </c>
      <c r="AG47" s="20">
        <v>1060</v>
      </c>
      <c r="AH47" s="9">
        <f t="shared" si="8"/>
        <v>20</v>
      </c>
      <c r="AI47" s="9">
        <f t="shared" si="13"/>
        <v>20</v>
      </c>
      <c r="AJ47" s="9">
        <f t="shared" si="9"/>
        <v>30</v>
      </c>
      <c r="AM47" s="21">
        <v>1060</v>
      </c>
      <c r="AN47" s="10">
        <v>-10</v>
      </c>
      <c r="AP47" s="10">
        <f t="shared" si="21"/>
        <v>20</v>
      </c>
      <c r="AQ47" s="10">
        <f t="shared" si="22"/>
        <v>30</v>
      </c>
      <c r="AT47" s="12">
        <v>1060</v>
      </c>
      <c r="AU47" s="79"/>
      <c r="AV47" s="67"/>
      <c r="AW47" s="67"/>
      <c r="AX47" s="67"/>
      <c r="AY47" s="67"/>
      <c r="AZ47" s="67"/>
    </row>
    <row r="48" spans="2:52" ht="16.5">
      <c r="B48" s="12">
        <v>1120</v>
      </c>
      <c r="C48" s="71"/>
      <c r="D48" s="71"/>
      <c r="E48" s="71"/>
      <c r="F48" s="74"/>
      <c r="G48" s="71"/>
      <c r="H48" s="71"/>
      <c r="J48" s="12">
        <v>1120</v>
      </c>
      <c r="K48" s="84"/>
      <c r="L48"/>
      <c r="M48"/>
      <c r="N48"/>
      <c r="Q48" s="19">
        <v>1120</v>
      </c>
      <c r="R48" s="8">
        <f t="shared" si="14"/>
        <v>20</v>
      </c>
      <c r="S48" s="8">
        <f t="shared" si="15"/>
        <v>20</v>
      </c>
      <c r="T48" s="8">
        <f t="shared" si="16"/>
        <v>20</v>
      </c>
      <c r="V48" s="19">
        <v>1120</v>
      </c>
      <c r="W48" s="8">
        <f t="shared" si="3"/>
        <v>20</v>
      </c>
      <c r="X48" s="8">
        <f t="shared" si="12"/>
        <v>20</v>
      </c>
      <c r="Y48" s="8">
        <f t="shared" si="17"/>
        <v>30</v>
      </c>
      <c r="AB48" s="20">
        <v>1120</v>
      </c>
      <c r="AC48" s="9">
        <f t="shared" si="18"/>
        <v>20</v>
      </c>
      <c r="AD48" s="9">
        <f t="shared" si="19"/>
        <v>20</v>
      </c>
      <c r="AE48" s="9">
        <f t="shared" si="20"/>
        <v>20</v>
      </c>
      <c r="AG48" s="20">
        <v>1120</v>
      </c>
      <c r="AH48" s="9">
        <f t="shared" si="8"/>
        <v>20</v>
      </c>
      <c r="AI48" s="9">
        <f t="shared" si="13"/>
        <v>20</v>
      </c>
      <c r="AJ48" s="9">
        <f t="shared" si="9"/>
        <v>30</v>
      </c>
      <c r="AM48" s="21">
        <v>1120</v>
      </c>
      <c r="AN48" s="10">
        <v>-10</v>
      </c>
      <c r="AP48" s="10">
        <f t="shared" si="21"/>
        <v>20</v>
      </c>
      <c r="AQ48" s="10">
        <f t="shared" si="22"/>
        <v>30</v>
      </c>
      <c r="AT48" s="12">
        <v>1120</v>
      </c>
      <c r="AU48" s="79"/>
      <c r="AV48" s="67"/>
      <c r="AW48" s="67"/>
      <c r="AX48" s="67"/>
      <c r="AY48" s="67"/>
      <c r="AZ48" s="67"/>
    </row>
    <row r="49" spans="2:52" ht="16.5">
      <c r="B49" s="12">
        <v>1180</v>
      </c>
      <c r="C49" s="71"/>
      <c r="D49" s="71"/>
      <c r="E49" s="71"/>
      <c r="F49" s="74"/>
      <c r="G49" s="71"/>
      <c r="H49" s="71"/>
      <c r="J49" s="12">
        <v>1180</v>
      </c>
      <c r="K49" s="84"/>
      <c r="L49"/>
      <c r="M49"/>
      <c r="N49"/>
      <c r="Q49" s="19">
        <v>1180</v>
      </c>
      <c r="R49" s="8">
        <f t="shared" si="14"/>
        <v>20</v>
      </c>
      <c r="S49" s="8">
        <f t="shared" si="15"/>
        <v>20</v>
      </c>
      <c r="T49" s="8">
        <f t="shared" si="16"/>
        <v>20</v>
      </c>
      <c r="V49" s="19">
        <v>1180</v>
      </c>
      <c r="W49" s="8">
        <f t="shared" si="3"/>
        <v>20</v>
      </c>
      <c r="X49" s="8">
        <f t="shared" si="12"/>
        <v>20</v>
      </c>
      <c r="Y49" s="8">
        <f t="shared" si="17"/>
        <v>30</v>
      </c>
      <c r="AB49" s="20">
        <v>1180</v>
      </c>
      <c r="AC49" s="9">
        <f t="shared" si="18"/>
        <v>20</v>
      </c>
      <c r="AD49" s="9">
        <f t="shared" si="19"/>
        <v>20</v>
      </c>
      <c r="AE49" s="9">
        <f t="shared" si="20"/>
        <v>20</v>
      </c>
      <c r="AG49" s="20">
        <v>1180</v>
      </c>
      <c r="AH49" s="9">
        <f t="shared" si="8"/>
        <v>20</v>
      </c>
      <c r="AI49" s="9">
        <f t="shared" si="13"/>
        <v>20</v>
      </c>
      <c r="AJ49" s="9">
        <f t="shared" si="9"/>
        <v>30</v>
      </c>
      <c r="AM49" s="21">
        <v>1180</v>
      </c>
      <c r="AN49" s="10">
        <v>-10</v>
      </c>
      <c r="AO49" s="10">
        <v>10</v>
      </c>
      <c r="AP49" s="10">
        <f t="shared" si="21"/>
        <v>20</v>
      </c>
      <c r="AQ49" s="10">
        <f t="shared" si="22"/>
        <v>30</v>
      </c>
      <c r="AT49" s="12">
        <v>1180</v>
      </c>
      <c r="AU49" s="79"/>
      <c r="AV49" s="67"/>
      <c r="AW49" s="67"/>
      <c r="AX49" s="67"/>
      <c r="AY49" s="67"/>
      <c r="AZ49" s="67"/>
    </row>
    <row r="50" spans="2:52" ht="16.5">
      <c r="B50" s="12">
        <v>1250</v>
      </c>
      <c r="C50" s="71"/>
      <c r="D50" s="71"/>
      <c r="E50" s="71"/>
      <c r="F50" s="74"/>
      <c r="G50" s="71"/>
      <c r="H50" s="71"/>
      <c r="J50" s="12">
        <v>1250</v>
      </c>
      <c r="K50" s="84"/>
      <c r="L50"/>
      <c r="M50"/>
      <c r="N50"/>
      <c r="Q50" s="19">
        <v>1250</v>
      </c>
      <c r="R50" s="8">
        <f t="shared" si="14"/>
        <v>20</v>
      </c>
      <c r="S50" s="8">
        <f t="shared" si="15"/>
        <v>20</v>
      </c>
      <c r="T50" s="8">
        <f t="shared" si="16"/>
        <v>20</v>
      </c>
      <c r="V50" s="19">
        <v>1250</v>
      </c>
      <c r="W50" s="8">
        <f t="shared" si="3"/>
        <v>20</v>
      </c>
      <c r="X50" s="8">
        <f t="shared" si="12"/>
        <v>20</v>
      </c>
      <c r="Y50" s="8">
        <f t="shared" si="17"/>
        <v>30</v>
      </c>
      <c r="AB50" s="20">
        <v>1250</v>
      </c>
      <c r="AC50" s="9">
        <f t="shared" si="18"/>
        <v>20</v>
      </c>
      <c r="AD50" s="9">
        <f t="shared" si="19"/>
        <v>20</v>
      </c>
      <c r="AE50" s="9">
        <f t="shared" si="20"/>
        <v>20</v>
      </c>
      <c r="AG50" s="20">
        <v>1250</v>
      </c>
      <c r="AH50" s="9">
        <f t="shared" si="8"/>
        <v>20</v>
      </c>
      <c r="AI50" s="9">
        <f t="shared" si="13"/>
        <v>20</v>
      </c>
      <c r="AJ50" s="9">
        <f t="shared" si="9"/>
        <v>30</v>
      </c>
      <c r="AM50" s="21">
        <v>1250</v>
      </c>
      <c r="AN50" s="10">
        <v>-10</v>
      </c>
      <c r="AP50" s="10">
        <f t="shared" si="21"/>
        <v>20</v>
      </c>
      <c r="AQ50" s="10">
        <f t="shared" si="22"/>
        <v>30</v>
      </c>
      <c r="AT50" s="12">
        <v>1250</v>
      </c>
      <c r="AU50" s="79"/>
      <c r="AV50" s="67"/>
      <c r="AW50" s="67"/>
      <c r="AX50" s="67"/>
      <c r="AY50" s="67"/>
      <c r="AZ50" s="67"/>
    </row>
    <row r="51" spans="2:52" ht="16.5">
      <c r="B51" s="12">
        <v>1320</v>
      </c>
      <c r="C51" s="71"/>
      <c r="D51" s="71"/>
      <c r="E51" s="71"/>
      <c r="F51" s="74"/>
      <c r="G51" s="71"/>
      <c r="H51" s="71"/>
      <c r="J51" s="12">
        <v>1320</v>
      </c>
      <c r="K51" s="84"/>
      <c r="L51"/>
      <c r="M51"/>
      <c r="N51"/>
      <c r="Q51" s="19">
        <v>1320</v>
      </c>
      <c r="R51" s="8">
        <f t="shared" si="14"/>
        <v>20</v>
      </c>
      <c r="S51" s="8">
        <f t="shared" si="15"/>
        <v>20</v>
      </c>
      <c r="T51" s="8">
        <f t="shared" si="16"/>
        <v>20</v>
      </c>
      <c r="V51" s="19">
        <v>1320</v>
      </c>
      <c r="W51" s="8">
        <f t="shared" si="3"/>
        <v>20</v>
      </c>
      <c r="X51" s="8">
        <f t="shared" si="12"/>
        <v>20</v>
      </c>
      <c r="Y51" s="8">
        <f t="shared" si="17"/>
        <v>30</v>
      </c>
      <c r="AB51" s="20">
        <v>1320</v>
      </c>
      <c r="AC51" s="9">
        <f t="shared" si="18"/>
        <v>20</v>
      </c>
      <c r="AD51" s="9">
        <f t="shared" si="19"/>
        <v>20</v>
      </c>
      <c r="AE51" s="9">
        <f t="shared" si="20"/>
        <v>20</v>
      </c>
      <c r="AG51" s="20">
        <v>1320</v>
      </c>
      <c r="AH51" s="9">
        <f t="shared" si="8"/>
        <v>20</v>
      </c>
      <c r="AI51" s="9">
        <f t="shared" si="13"/>
        <v>20</v>
      </c>
      <c r="AJ51" s="9">
        <f t="shared" si="9"/>
        <v>30</v>
      </c>
      <c r="AM51" s="21">
        <v>1320</v>
      </c>
      <c r="AN51" s="10">
        <v>-10</v>
      </c>
      <c r="AP51" s="10">
        <f t="shared" si="21"/>
        <v>20</v>
      </c>
      <c r="AQ51" s="10">
        <f t="shared" si="22"/>
        <v>30</v>
      </c>
      <c r="AT51" s="12">
        <v>1320</v>
      </c>
      <c r="AU51" s="79"/>
      <c r="AV51" s="67"/>
      <c r="AW51" s="67"/>
      <c r="AX51" s="67"/>
      <c r="AY51" s="67"/>
      <c r="AZ51" s="67"/>
    </row>
    <row r="52" spans="2:52" ht="16.5">
      <c r="B52" s="12">
        <v>1400</v>
      </c>
      <c r="C52" s="71"/>
      <c r="D52" s="71"/>
      <c r="E52" s="71"/>
      <c r="F52" s="74"/>
      <c r="G52" s="71"/>
      <c r="H52" s="71"/>
      <c r="J52" s="12">
        <v>1400</v>
      </c>
      <c r="K52" s="84"/>
      <c r="L52"/>
      <c r="M52"/>
      <c r="N52"/>
      <c r="Q52" s="19">
        <v>1400</v>
      </c>
      <c r="R52" s="8">
        <f t="shared" si="14"/>
        <v>20</v>
      </c>
      <c r="S52" s="8">
        <f t="shared" si="15"/>
        <v>20</v>
      </c>
      <c r="T52" s="8">
        <f t="shared" si="16"/>
        <v>20</v>
      </c>
      <c r="V52" s="19">
        <v>1400</v>
      </c>
      <c r="W52" s="8">
        <f t="shared" si="3"/>
        <v>20</v>
      </c>
      <c r="X52" s="8">
        <f t="shared" si="12"/>
        <v>20</v>
      </c>
      <c r="Y52" s="8">
        <f t="shared" si="17"/>
        <v>30</v>
      </c>
      <c r="AB52" s="20">
        <v>1400</v>
      </c>
      <c r="AC52" s="9">
        <f t="shared" si="18"/>
        <v>20</v>
      </c>
      <c r="AD52" s="9">
        <f t="shared" si="19"/>
        <v>20</v>
      </c>
      <c r="AE52" s="9">
        <f t="shared" si="20"/>
        <v>20</v>
      </c>
      <c r="AG52" s="20">
        <v>1400</v>
      </c>
      <c r="AH52" s="9">
        <f t="shared" si="8"/>
        <v>20</v>
      </c>
      <c r="AI52" s="9">
        <f t="shared" si="13"/>
        <v>20</v>
      </c>
      <c r="AJ52" s="9">
        <f t="shared" si="9"/>
        <v>30</v>
      </c>
      <c r="AM52" s="21">
        <v>1400</v>
      </c>
      <c r="AN52" s="10">
        <v>-10</v>
      </c>
      <c r="AO52" s="10">
        <v>10</v>
      </c>
      <c r="AP52" s="10">
        <f t="shared" si="21"/>
        <v>20</v>
      </c>
      <c r="AQ52" s="10">
        <f t="shared" si="22"/>
        <v>30</v>
      </c>
      <c r="AT52" s="12">
        <v>1400</v>
      </c>
      <c r="AU52" s="79"/>
      <c r="AV52" s="67"/>
      <c r="AW52" s="67"/>
      <c r="AX52" s="67"/>
      <c r="AY52" s="67"/>
      <c r="AZ52" s="67"/>
    </row>
    <row r="53" spans="2:52" ht="16.5">
      <c r="B53" s="12">
        <v>1500</v>
      </c>
      <c r="C53" s="71"/>
      <c r="D53" s="71"/>
      <c r="E53" s="71"/>
      <c r="F53" s="74"/>
      <c r="G53" s="71"/>
      <c r="H53" s="71"/>
      <c r="J53" s="12">
        <v>1500</v>
      </c>
      <c r="K53" s="84"/>
      <c r="L53"/>
      <c r="M53"/>
      <c r="N53"/>
      <c r="Q53" s="19">
        <v>1500</v>
      </c>
      <c r="R53" s="8">
        <f t="shared" si="14"/>
        <v>20</v>
      </c>
      <c r="S53" s="8">
        <f t="shared" si="15"/>
        <v>20</v>
      </c>
      <c r="T53" s="8">
        <f t="shared" si="16"/>
        <v>20</v>
      </c>
      <c r="V53" s="19">
        <v>1500</v>
      </c>
      <c r="W53" s="8">
        <f t="shared" si="3"/>
        <v>20</v>
      </c>
      <c r="X53" s="8">
        <f t="shared" si="12"/>
        <v>20</v>
      </c>
      <c r="Y53" s="8">
        <f t="shared" si="17"/>
        <v>30</v>
      </c>
      <c r="AB53" s="20">
        <v>1500</v>
      </c>
      <c r="AC53" s="9">
        <f t="shared" si="18"/>
        <v>20</v>
      </c>
      <c r="AD53" s="9">
        <f t="shared" si="19"/>
        <v>20</v>
      </c>
      <c r="AE53" s="9">
        <f t="shared" si="20"/>
        <v>20</v>
      </c>
      <c r="AG53" s="20">
        <v>1500</v>
      </c>
      <c r="AH53" s="9">
        <f t="shared" si="8"/>
        <v>20</v>
      </c>
      <c r="AI53" s="9">
        <f t="shared" si="13"/>
        <v>20</v>
      </c>
      <c r="AJ53" s="9">
        <f t="shared" si="9"/>
        <v>30</v>
      </c>
      <c r="AM53" s="21">
        <v>1500</v>
      </c>
      <c r="AN53" s="10">
        <v>-10</v>
      </c>
      <c r="AP53" s="10">
        <f t="shared" si="21"/>
        <v>20</v>
      </c>
      <c r="AQ53" s="10">
        <f t="shared" si="22"/>
        <v>30</v>
      </c>
      <c r="AT53" s="12">
        <v>1500</v>
      </c>
      <c r="AU53" s="79"/>
      <c r="AV53" s="67"/>
      <c r="AW53" s="67"/>
      <c r="AX53" s="67"/>
      <c r="AY53" s="67"/>
      <c r="AZ53" s="67"/>
    </row>
    <row r="54" spans="2:52" ht="16.5">
      <c r="B54" s="12">
        <v>1600</v>
      </c>
      <c r="C54" s="71"/>
      <c r="D54" s="71"/>
      <c r="E54" s="71"/>
      <c r="F54" s="74"/>
      <c r="G54" s="71"/>
      <c r="H54" s="71"/>
      <c r="J54" s="12">
        <v>1600</v>
      </c>
      <c r="K54" s="84"/>
      <c r="L54"/>
      <c r="M54"/>
      <c r="N54"/>
      <c r="Q54" s="19">
        <v>1600</v>
      </c>
      <c r="R54" s="8">
        <f t="shared" si="14"/>
        <v>20</v>
      </c>
      <c r="S54" s="8">
        <f t="shared" si="15"/>
        <v>20</v>
      </c>
      <c r="T54" s="8">
        <f t="shared" si="16"/>
        <v>20</v>
      </c>
      <c r="V54" s="19">
        <v>1600</v>
      </c>
      <c r="W54" s="8">
        <f t="shared" si="3"/>
        <v>20</v>
      </c>
      <c r="X54" s="8">
        <f t="shared" si="12"/>
        <v>20</v>
      </c>
      <c r="Y54" s="8">
        <f t="shared" si="17"/>
        <v>30</v>
      </c>
      <c r="AB54" s="20">
        <v>1600</v>
      </c>
      <c r="AC54" s="9">
        <f t="shared" si="18"/>
        <v>20</v>
      </c>
      <c r="AD54" s="9">
        <f t="shared" si="19"/>
        <v>20</v>
      </c>
      <c r="AE54" s="9">
        <f t="shared" si="20"/>
        <v>20</v>
      </c>
      <c r="AG54" s="20">
        <v>1600</v>
      </c>
      <c r="AH54" s="9">
        <f t="shared" si="8"/>
        <v>20</v>
      </c>
      <c r="AI54" s="9">
        <f t="shared" si="13"/>
        <v>20</v>
      </c>
      <c r="AJ54" s="9">
        <f t="shared" si="9"/>
        <v>30</v>
      </c>
      <c r="AM54" s="21">
        <v>1600</v>
      </c>
      <c r="AN54" s="10">
        <v>-10</v>
      </c>
      <c r="AP54" s="10">
        <f t="shared" si="21"/>
        <v>20</v>
      </c>
      <c r="AQ54" s="10">
        <f t="shared" si="22"/>
        <v>30</v>
      </c>
      <c r="AT54" s="12">
        <v>1600</v>
      </c>
      <c r="AU54" s="79"/>
      <c r="AV54" s="67"/>
      <c r="AW54" s="67"/>
      <c r="AX54" s="67"/>
      <c r="AY54" s="67"/>
      <c r="AZ54" s="67"/>
    </row>
    <row r="55" spans="2:52" ht="16.5">
      <c r="B55" s="12">
        <v>1700</v>
      </c>
      <c r="C55" s="71"/>
      <c r="D55" s="71"/>
      <c r="E55" s="71"/>
      <c r="F55" s="74"/>
      <c r="G55" s="71"/>
      <c r="H55" s="71"/>
      <c r="J55" s="12">
        <v>1700</v>
      </c>
      <c r="K55" s="84"/>
      <c r="L55"/>
      <c r="M55"/>
      <c r="N55"/>
      <c r="Q55" s="19">
        <v>1700</v>
      </c>
      <c r="R55" s="8">
        <f t="shared" si="14"/>
        <v>20</v>
      </c>
      <c r="S55" s="8">
        <f t="shared" si="15"/>
        <v>20</v>
      </c>
      <c r="T55" s="8">
        <f t="shared" si="16"/>
        <v>20</v>
      </c>
      <c r="V55" s="19">
        <v>1700</v>
      </c>
      <c r="W55" s="8">
        <f t="shared" si="3"/>
        <v>20</v>
      </c>
      <c r="X55" s="8">
        <f t="shared" si="12"/>
        <v>20</v>
      </c>
      <c r="Y55" s="8">
        <f t="shared" si="17"/>
        <v>30</v>
      </c>
      <c r="AB55" s="20">
        <v>1700</v>
      </c>
      <c r="AC55" s="9">
        <f t="shared" si="18"/>
        <v>20</v>
      </c>
      <c r="AD55" s="9">
        <f t="shared" si="19"/>
        <v>20</v>
      </c>
      <c r="AE55" s="9">
        <f t="shared" si="20"/>
        <v>20</v>
      </c>
      <c r="AG55" s="20">
        <v>1700</v>
      </c>
      <c r="AH55" s="9">
        <f t="shared" si="8"/>
        <v>20</v>
      </c>
      <c r="AI55" s="9">
        <f t="shared" si="13"/>
        <v>20</v>
      </c>
      <c r="AJ55" s="9">
        <f t="shared" si="9"/>
        <v>30</v>
      </c>
      <c r="AM55" s="21">
        <v>1700</v>
      </c>
      <c r="AN55" s="10">
        <v>-10</v>
      </c>
      <c r="AO55" s="10">
        <v>10</v>
      </c>
      <c r="AP55" s="10">
        <f t="shared" si="21"/>
        <v>20</v>
      </c>
      <c r="AQ55" s="10">
        <f t="shared" si="22"/>
        <v>30</v>
      </c>
      <c r="AT55" s="12">
        <v>1700</v>
      </c>
      <c r="AU55" s="79"/>
      <c r="AV55" s="67"/>
      <c r="AW55" s="67"/>
      <c r="AX55" s="67"/>
      <c r="AY55" s="67"/>
      <c r="AZ55" s="67"/>
    </row>
    <row r="56" spans="2:52" ht="16.5">
      <c r="B56" s="12">
        <v>1800</v>
      </c>
      <c r="C56" s="71"/>
      <c r="D56" s="71"/>
      <c r="E56" s="71"/>
      <c r="F56" s="74"/>
      <c r="G56" s="71"/>
      <c r="H56" s="71"/>
      <c r="J56" s="12">
        <v>1800</v>
      </c>
      <c r="K56" s="84"/>
      <c r="L56"/>
      <c r="M56"/>
      <c r="N56"/>
      <c r="Q56" s="19">
        <v>1800</v>
      </c>
      <c r="R56" s="8">
        <f t="shared" si="14"/>
        <v>20</v>
      </c>
      <c r="S56" s="8">
        <f t="shared" si="15"/>
        <v>20</v>
      </c>
      <c r="T56" s="8">
        <f t="shared" si="16"/>
        <v>20</v>
      </c>
      <c r="V56" s="19">
        <v>1800</v>
      </c>
      <c r="W56" s="8">
        <f t="shared" si="3"/>
        <v>20</v>
      </c>
      <c r="X56" s="8">
        <f t="shared" si="12"/>
        <v>20</v>
      </c>
      <c r="Y56" s="8">
        <f t="shared" si="17"/>
        <v>30</v>
      </c>
      <c r="AB56" s="20">
        <v>1800</v>
      </c>
      <c r="AC56" s="9">
        <f t="shared" si="18"/>
        <v>20</v>
      </c>
      <c r="AD56" s="9">
        <f t="shared" si="19"/>
        <v>20</v>
      </c>
      <c r="AE56" s="9">
        <f t="shared" si="20"/>
        <v>20</v>
      </c>
      <c r="AG56" s="20">
        <v>1800</v>
      </c>
      <c r="AH56" s="9">
        <f t="shared" si="8"/>
        <v>20</v>
      </c>
      <c r="AI56" s="9">
        <f t="shared" si="13"/>
        <v>20</v>
      </c>
      <c r="AJ56" s="9">
        <f t="shared" si="9"/>
        <v>30</v>
      </c>
      <c r="AM56" s="21">
        <v>1800</v>
      </c>
      <c r="AN56" s="10">
        <v>-10</v>
      </c>
      <c r="AP56" s="10">
        <f t="shared" si="21"/>
        <v>20</v>
      </c>
      <c r="AQ56" s="10">
        <f t="shared" si="22"/>
        <v>30</v>
      </c>
      <c r="AT56" s="12">
        <v>1800</v>
      </c>
      <c r="AU56" s="79"/>
      <c r="AV56" s="67"/>
      <c r="AW56" s="67"/>
      <c r="AX56" s="67"/>
      <c r="AY56" s="67"/>
      <c r="AZ56" s="67"/>
    </row>
    <row r="57" spans="2:52" ht="16.5">
      <c r="B57" s="12">
        <v>1900</v>
      </c>
      <c r="C57" s="71"/>
      <c r="D57" s="71"/>
      <c r="E57" s="71"/>
      <c r="F57" s="74"/>
      <c r="G57" s="71"/>
      <c r="H57" s="71"/>
      <c r="J57" s="12">
        <v>1900</v>
      </c>
      <c r="K57" s="84"/>
      <c r="L57"/>
      <c r="M57"/>
      <c r="N57"/>
      <c r="Q57" s="19">
        <v>1900</v>
      </c>
      <c r="R57" s="8">
        <f t="shared" si="14"/>
        <v>20</v>
      </c>
      <c r="S57" s="8">
        <f t="shared" si="15"/>
        <v>20</v>
      </c>
      <c r="T57" s="8">
        <f t="shared" si="16"/>
        <v>20</v>
      </c>
      <c r="V57" s="19">
        <v>1900</v>
      </c>
      <c r="W57" s="8">
        <f t="shared" si="3"/>
        <v>20</v>
      </c>
      <c r="X57" s="8">
        <f t="shared" si="12"/>
        <v>20</v>
      </c>
      <c r="Y57" s="8">
        <f t="shared" si="17"/>
        <v>30</v>
      </c>
      <c r="AB57" s="20">
        <v>1900</v>
      </c>
      <c r="AC57" s="9">
        <f t="shared" si="18"/>
        <v>20</v>
      </c>
      <c r="AD57" s="9">
        <f t="shared" si="19"/>
        <v>20</v>
      </c>
      <c r="AE57" s="9">
        <f t="shared" si="20"/>
        <v>20</v>
      </c>
      <c r="AG57" s="20">
        <v>1900</v>
      </c>
      <c r="AH57" s="9">
        <f t="shared" si="8"/>
        <v>20</v>
      </c>
      <c r="AI57" s="9">
        <f t="shared" si="13"/>
        <v>20</v>
      </c>
      <c r="AJ57" s="9">
        <f t="shared" si="9"/>
        <v>30</v>
      </c>
      <c r="AM57" s="21">
        <v>1900</v>
      </c>
      <c r="AN57" s="10">
        <v>-10</v>
      </c>
      <c r="AP57" s="10">
        <f t="shared" si="21"/>
        <v>20</v>
      </c>
      <c r="AQ57" s="10">
        <f t="shared" si="22"/>
        <v>30</v>
      </c>
      <c r="AT57" s="12">
        <v>1900</v>
      </c>
      <c r="AU57" s="79"/>
      <c r="AV57" s="67"/>
      <c r="AW57" s="67"/>
      <c r="AX57" s="67"/>
      <c r="AY57" s="67"/>
      <c r="AZ57" s="67"/>
    </row>
    <row r="58" spans="2:52" ht="16.5">
      <c r="B58" s="12">
        <v>2000</v>
      </c>
      <c r="C58" s="71"/>
      <c r="D58" s="71"/>
      <c r="E58" s="71"/>
      <c r="F58" s="74"/>
      <c r="G58" s="71"/>
      <c r="H58" s="71"/>
      <c r="J58" s="12">
        <v>2000</v>
      </c>
      <c r="K58" s="84"/>
      <c r="L58"/>
      <c r="M58"/>
      <c r="N58"/>
      <c r="Q58" s="19">
        <v>2000</v>
      </c>
      <c r="R58" s="8">
        <f t="shared" si="14"/>
        <v>20</v>
      </c>
      <c r="S58" s="8">
        <f t="shared" si="15"/>
        <v>20</v>
      </c>
      <c r="T58" s="8">
        <f t="shared" si="16"/>
        <v>20</v>
      </c>
      <c r="V58" s="19">
        <v>2000</v>
      </c>
      <c r="W58" s="8">
        <f t="shared" si="3"/>
        <v>20</v>
      </c>
      <c r="X58" s="8">
        <f t="shared" si="12"/>
        <v>20</v>
      </c>
      <c r="Y58" s="8">
        <f t="shared" si="17"/>
        <v>30</v>
      </c>
      <c r="AB58" s="20">
        <v>2000</v>
      </c>
      <c r="AC58" s="9">
        <f t="shared" si="18"/>
        <v>20</v>
      </c>
      <c r="AD58" s="9">
        <f t="shared" si="19"/>
        <v>20</v>
      </c>
      <c r="AE58" s="9">
        <f t="shared" si="20"/>
        <v>20</v>
      </c>
      <c r="AG58" s="20">
        <v>2000</v>
      </c>
      <c r="AH58" s="9">
        <f t="shared" si="8"/>
        <v>20</v>
      </c>
      <c r="AI58" s="9">
        <f t="shared" si="13"/>
        <v>20</v>
      </c>
      <c r="AJ58" s="9">
        <f t="shared" si="9"/>
        <v>30</v>
      </c>
      <c r="AM58" s="21">
        <v>2000</v>
      </c>
      <c r="AN58" s="10">
        <v>-10</v>
      </c>
      <c r="AO58" s="10">
        <v>10</v>
      </c>
      <c r="AP58" s="10">
        <f t="shared" si="21"/>
        <v>20</v>
      </c>
      <c r="AQ58" s="10">
        <f t="shared" si="22"/>
        <v>30</v>
      </c>
      <c r="AT58" s="12">
        <v>2000</v>
      </c>
      <c r="AU58" s="79"/>
      <c r="AV58" s="67"/>
      <c r="AW58" s="67"/>
      <c r="AX58" s="67"/>
      <c r="AY58" s="67"/>
      <c r="AZ58" s="67"/>
    </row>
    <row r="59" spans="2:52" ht="16.5">
      <c r="B59" s="12">
        <v>2120</v>
      </c>
      <c r="C59" s="71"/>
      <c r="D59" s="71"/>
      <c r="E59" s="71"/>
      <c r="F59" s="74"/>
      <c r="G59" s="71"/>
      <c r="H59" s="71"/>
      <c r="J59" s="12">
        <v>2120</v>
      </c>
      <c r="K59" s="84"/>
      <c r="L59"/>
      <c r="M59"/>
      <c r="N59"/>
      <c r="Q59" s="19">
        <v>2120</v>
      </c>
      <c r="R59" s="8">
        <f t="shared" si="14"/>
        <v>20</v>
      </c>
      <c r="S59" s="8">
        <f t="shared" si="15"/>
        <v>20</v>
      </c>
      <c r="T59" s="8">
        <f t="shared" si="16"/>
        <v>20</v>
      </c>
      <c r="V59" s="19">
        <v>2120</v>
      </c>
      <c r="W59" s="8">
        <f t="shared" si="3"/>
        <v>20</v>
      </c>
      <c r="X59" s="8">
        <f t="shared" si="12"/>
        <v>20</v>
      </c>
      <c r="Y59" s="8">
        <f t="shared" si="17"/>
        <v>30</v>
      </c>
      <c r="AB59" s="20">
        <v>2120</v>
      </c>
      <c r="AC59" s="9">
        <f t="shared" si="18"/>
        <v>20</v>
      </c>
      <c r="AD59" s="9">
        <f t="shared" si="19"/>
        <v>20</v>
      </c>
      <c r="AE59" s="9">
        <f t="shared" si="20"/>
        <v>20</v>
      </c>
      <c r="AG59" s="20">
        <v>2120</v>
      </c>
      <c r="AH59" s="9">
        <f t="shared" si="8"/>
        <v>20</v>
      </c>
      <c r="AI59" s="9">
        <f t="shared" si="13"/>
        <v>20</v>
      </c>
      <c r="AJ59" s="9">
        <f t="shared" si="9"/>
        <v>30</v>
      </c>
      <c r="AM59" s="21">
        <v>2120</v>
      </c>
      <c r="AN59" s="10">
        <v>-10</v>
      </c>
      <c r="AP59" s="10">
        <f t="shared" si="21"/>
        <v>20</v>
      </c>
      <c r="AQ59" s="10">
        <f t="shared" si="22"/>
        <v>30</v>
      </c>
      <c r="AT59" s="12">
        <v>2120</v>
      </c>
      <c r="AU59" s="79"/>
      <c r="AV59" s="67"/>
      <c r="AW59" s="67"/>
      <c r="AX59" s="67"/>
      <c r="AY59" s="67"/>
      <c r="AZ59" s="67"/>
    </row>
    <row r="60" spans="2:52" ht="16.5">
      <c r="B60" s="12">
        <v>2240</v>
      </c>
      <c r="C60" s="71"/>
      <c r="D60" s="71"/>
      <c r="E60" s="71"/>
      <c r="F60" s="74"/>
      <c r="G60" s="71"/>
      <c r="H60" s="71"/>
      <c r="J60" s="12">
        <v>2240</v>
      </c>
      <c r="K60" s="84"/>
      <c r="L60"/>
      <c r="M60"/>
      <c r="N60"/>
      <c r="Q60" s="19">
        <v>2240</v>
      </c>
      <c r="R60" s="8">
        <f t="shared" si="14"/>
        <v>20</v>
      </c>
      <c r="S60" s="8">
        <f t="shared" si="15"/>
        <v>20</v>
      </c>
      <c r="T60" s="8">
        <f t="shared" si="16"/>
        <v>20</v>
      </c>
      <c r="V60" s="19">
        <v>2240</v>
      </c>
      <c r="W60" s="8">
        <f t="shared" si="3"/>
        <v>20</v>
      </c>
      <c r="X60" s="8">
        <f t="shared" si="12"/>
        <v>20</v>
      </c>
      <c r="Y60" s="8">
        <f t="shared" si="17"/>
        <v>30</v>
      </c>
      <c r="AB60" s="20">
        <v>2240</v>
      </c>
      <c r="AC60" s="9">
        <f t="shared" si="18"/>
        <v>20</v>
      </c>
      <c r="AD60" s="9">
        <f t="shared" si="19"/>
        <v>20</v>
      </c>
      <c r="AE60" s="9">
        <f t="shared" si="20"/>
        <v>20</v>
      </c>
      <c r="AG60" s="20">
        <v>2240</v>
      </c>
      <c r="AH60" s="9">
        <f t="shared" si="8"/>
        <v>20</v>
      </c>
      <c r="AI60" s="9">
        <f t="shared" si="13"/>
        <v>20</v>
      </c>
      <c r="AJ60" s="9">
        <f t="shared" si="9"/>
        <v>30</v>
      </c>
      <c r="AM60" s="21">
        <v>2240</v>
      </c>
      <c r="AN60" s="10">
        <v>-10</v>
      </c>
      <c r="AP60" s="10">
        <f t="shared" si="21"/>
        <v>20</v>
      </c>
      <c r="AQ60" s="10">
        <f t="shared" si="22"/>
        <v>30</v>
      </c>
      <c r="AT60" s="12">
        <v>2240</v>
      </c>
      <c r="AU60" s="79"/>
      <c r="AV60" s="67"/>
      <c r="AW60" s="67"/>
      <c r="AX60" s="67"/>
      <c r="AY60" s="67"/>
      <c r="AZ60" s="67"/>
    </row>
    <row r="61" spans="2:52" ht="16.5">
      <c r="B61" s="12">
        <v>2360</v>
      </c>
      <c r="C61" s="71"/>
      <c r="D61" s="71"/>
      <c r="E61" s="71"/>
      <c r="F61" s="74"/>
      <c r="G61" s="71"/>
      <c r="H61" s="71"/>
      <c r="J61" s="12">
        <v>2360</v>
      </c>
      <c r="K61" s="84"/>
      <c r="L61"/>
      <c r="M61"/>
      <c r="N61"/>
      <c r="Q61" s="19">
        <v>2360</v>
      </c>
      <c r="R61" s="8">
        <f t="shared" si="14"/>
        <v>20</v>
      </c>
      <c r="S61" s="8">
        <f t="shared" si="15"/>
        <v>20</v>
      </c>
      <c r="T61" s="8">
        <f t="shared" si="16"/>
        <v>20</v>
      </c>
      <c r="V61" s="19">
        <v>2360</v>
      </c>
      <c r="W61" s="8">
        <f t="shared" si="3"/>
        <v>20</v>
      </c>
      <c r="X61" s="8">
        <f t="shared" si="12"/>
        <v>20</v>
      </c>
      <c r="Y61" s="8">
        <f t="shared" si="17"/>
        <v>30</v>
      </c>
      <c r="AB61" s="20">
        <v>2360</v>
      </c>
      <c r="AC61" s="9">
        <f t="shared" si="18"/>
        <v>20</v>
      </c>
      <c r="AD61" s="9">
        <f t="shared" si="19"/>
        <v>20</v>
      </c>
      <c r="AE61" s="9">
        <f t="shared" si="20"/>
        <v>20</v>
      </c>
      <c r="AG61" s="20">
        <v>2360</v>
      </c>
      <c r="AH61" s="9">
        <f t="shared" si="8"/>
        <v>20</v>
      </c>
      <c r="AI61" s="9">
        <f t="shared" si="13"/>
        <v>20</v>
      </c>
      <c r="AJ61" s="9">
        <f t="shared" si="9"/>
        <v>30</v>
      </c>
      <c r="AM61" s="21">
        <v>2360</v>
      </c>
      <c r="AN61" s="10">
        <v>-10</v>
      </c>
      <c r="AO61" s="10">
        <v>10</v>
      </c>
      <c r="AP61" s="10">
        <f t="shared" si="21"/>
        <v>20</v>
      </c>
      <c r="AQ61" s="10">
        <f t="shared" si="22"/>
        <v>30</v>
      </c>
      <c r="AT61" s="12">
        <v>2360</v>
      </c>
      <c r="AU61" s="79"/>
      <c r="AV61" s="67"/>
      <c r="AW61" s="67"/>
      <c r="AX61" s="67"/>
      <c r="AY61" s="67"/>
      <c r="AZ61" s="67"/>
    </row>
    <row r="62" spans="2:52" ht="16.5">
      <c r="B62" s="12">
        <v>2500</v>
      </c>
      <c r="C62" s="71"/>
      <c r="D62" s="71"/>
      <c r="E62" s="71"/>
      <c r="F62" s="74"/>
      <c r="G62" s="71"/>
      <c r="H62" s="71"/>
      <c r="J62" s="12">
        <v>2500</v>
      </c>
      <c r="K62" s="84"/>
      <c r="L62"/>
      <c r="M62"/>
      <c r="N62"/>
      <c r="Q62" s="19">
        <v>2500</v>
      </c>
      <c r="R62" s="8">
        <f t="shared" si="14"/>
        <v>20</v>
      </c>
      <c r="S62" s="8">
        <f t="shared" si="15"/>
        <v>20</v>
      </c>
      <c r="T62" s="8">
        <f t="shared" si="16"/>
        <v>20</v>
      </c>
      <c r="V62" s="19">
        <v>2500</v>
      </c>
      <c r="W62" s="8">
        <f t="shared" si="3"/>
        <v>20</v>
      </c>
      <c r="X62" s="8">
        <f t="shared" si="12"/>
        <v>20</v>
      </c>
      <c r="Y62" s="8">
        <f t="shared" si="17"/>
        <v>30</v>
      </c>
      <c r="AB62" s="20">
        <v>2500</v>
      </c>
      <c r="AC62" s="9">
        <f t="shared" si="18"/>
        <v>20</v>
      </c>
      <c r="AD62" s="9">
        <f t="shared" si="19"/>
        <v>20</v>
      </c>
      <c r="AE62" s="9">
        <f t="shared" si="20"/>
        <v>20</v>
      </c>
      <c r="AG62" s="20">
        <v>2500</v>
      </c>
      <c r="AH62" s="9">
        <f t="shared" si="8"/>
        <v>20</v>
      </c>
      <c r="AI62" s="9">
        <f t="shared" si="13"/>
        <v>20</v>
      </c>
      <c r="AJ62" s="9">
        <f t="shared" si="9"/>
        <v>30</v>
      </c>
      <c r="AM62" s="21">
        <v>2500</v>
      </c>
      <c r="AN62" s="10">
        <v>-10</v>
      </c>
      <c r="AP62" s="10">
        <f t="shared" si="21"/>
        <v>20</v>
      </c>
      <c r="AQ62" s="10">
        <f t="shared" si="22"/>
        <v>30</v>
      </c>
      <c r="AT62" s="12">
        <v>2500</v>
      </c>
      <c r="AU62" s="79"/>
      <c r="AV62" s="67"/>
      <c r="AW62" s="67"/>
      <c r="AX62" s="67"/>
      <c r="AY62" s="67"/>
      <c r="AZ62" s="67"/>
    </row>
    <row r="63" spans="2:52" ht="16.5">
      <c r="B63" s="12">
        <v>2650</v>
      </c>
      <c r="C63" s="71"/>
      <c r="D63" s="71"/>
      <c r="E63" s="71"/>
      <c r="F63" s="74"/>
      <c r="G63" s="71"/>
      <c r="H63" s="71"/>
      <c r="J63" s="12">
        <v>2650</v>
      </c>
      <c r="K63" s="84"/>
      <c r="L63"/>
      <c r="M63"/>
      <c r="N63"/>
      <c r="Q63" s="19">
        <v>2650</v>
      </c>
      <c r="R63" s="8">
        <f t="shared" si="14"/>
        <v>20</v>
      </c>
      <c r="S63" s="8">
        <f t="shared" si="15"/>
        <v>20</v>
      </c>
      <c r="T63" s="8">
        <f t="shared" si="16"/>
        <v>20</v>
      </c>
      <c r="V63" s="19">
        <v>2650</v>
      </c>
      <c r="W63" s="8">
        <f t="shared" si="3"/>
        <v>20</v>
      </c>
      <c r="X63" s="8">
        <f t="shared" si="12"/>
        <v>20</v>
      </c>
      <c r="Y63" s="8">
        <f t="shared" si="17"/>
        <v>30</v>
      </c>
      <c r="AB63" s="20">
        <v>2650</v>
      </c>
      <c r="AC63" s="9">
        <f t="shared" si="18"/>
        <v>20</v>
      </c>
      <c r="AD63" s="9">
        <f t="shared" si="19"/>
        <v>20</v>
      </c>
      <c r="AE63" s="9">
        <f t="shared" si="20"/>
        <v>20</v>
      </c>
      <c r="AG63" s="20">
        <v>2650</v>
      </c>
      <c r="AH63" s="9">
        <f t="shared" si="8"/>
        <v>20</v>
      </c>
      <c r="AI63" s="9">
        <f t="shared" si="13"/>
        <v>20</v>
      </c>
      <c r="AJ63" s="9">
        <f t="shared" si="9"/>
        <v>30</v>
      </c>
      <c r="AM63" s="21">
        <v>2650</v>
      </c>
      <c r="AN63" s="10">
        <v>-10</v>
      </c>
      <c r="AP63" s="10">
        <f t="shared" si="21"/>
        <v>20</v>
      </c>
      <c r="AQ63" s="10">
        <f t="shared" si="22"/>
        <v>30</v>
      </c>
      <c r="AT63" s="12">
        <v>2650</v>
      </c>
      <c r="AU63" s="79"/>
      <c r="AV63" s="67"/>
      <c r="AW63" s="67"/>
      <c r="AX63" s="67"/>
      <c r="AY63" s="67"/>
      <c r="AZ63" s="67"/>
    </row>
    <row r="64" spans="2:52" ht="16.5">
      <c r="B64" s="12">
        <v>2800</v>
      </c>
      <c r="C64" s="71"/>
      <c r="D64" s="71"/>
      <c r="E64" s="71"/>
      <c r="F64" s="74"/>
      <c r="G64" s="71"/>
      <c r="H64" s="71"/>
      <c r="J64" s="12">
        <v>2800</v>
      </c>
      <c r="K64" s="84"/>
      <c r="L64"/>
      <c r="M64"/>
      <c r="N64"/>
      <c r="Q64" s="19">
        <v>2800</v>
      </c>
      <c r="R64" s="8">
        <f t="shared" si="14"/>
        <v>20</v>
      </c>
      <c r="S64" s="8">
        <f t="shared" si="15"/>
        <v>20</v>
      </c>
      <c r="T64" s="8">
        <f t="shared" si="16"/>
        <v>20</v>
      </c>
      <c r="V64" s="19">
        <v>2800</v>
      </c>
      <c r="W64" s="8">
        <f t="shared" si="3"/>
        <v>20</v>
      </c>
      <c r="X64" s="8">
        <f t="shared" si="12"/>
        <v>20</v>
      </c>
      <c r="Y64" s="8">
        <f t="shared" si="17"/>
        <v>30</v>
      </c>
      <c r="AB64" s="20">
        <v>2800</v>
      </c>
      <c r="AC64" s="9">
        <f t="shared" si="18"/>
        <v>20</v>
      </c>
      <c r="AD64" s="9">
        <f t="shared" si="19"/>
        <v>20</v>
      </c>
      <c r="AE64" s="9">
        <f t="shared" si="20"/>
        <v>20</v>
      </c>
      <c r="AG64" s="20">
        <v>2800</v>
      </c>
      <c r="AH64" s="9">
        <f t="shared" si="8"/>
        <v>20</v>
      </c>
      <c r="AI64" s="9">
        <f t="shared" si="13"/>
        <v>20</v>
      </c>
      <c r="AJ64" s="9">
        <f t="shared" si="9"/>
        <v>30</v>
      </c>
      <c r="AM64" s="21">
        <v>2800</v>
      </c>
      <c r="AN64" s="10">
        <v>-10</v>
      </c>
      <c r="AO64" s="10">
        <v>10</v>
      </c>
      <c r="AP64" s="10">
        <f t="shared" si="21"/>
        <v>20</v>
      </c>
      <c r="AQ64" s="10">
        <f t="shared" si="22"/>
        <v>30</v>
      </c>
      <c r="AT64" s="12">
        <v>2800</v>
      </c>
      <c r="AU64" s="79"/>
      <c r="AV64" s="67"/>
      <c r="AW64" s="67"/>
      <c r="AX64" s="67"/>
      <c r="AY64" s="67"/>
      <c r="AZ64" s="67"/>
    </row>
    <row r="65" spans="2:52" ht="16.5">
      <c r="B65" s="12">
        <v>3000</v>
      </c>
      <c r="C65" s="71"/>
      <c r="D65" s="71"/>
      <c r="E65" s="71"/>
      <c r="F65" s="74"/>
      <c r="G65" s="71"/>
      <c r="H65" s="71"/>
      <c r="J65" s="12">
        <v>3000</v>
      </c>
      <c r="K65" s="84"/>
      <c r="L65"/>
      <c r="M65"/>
      <c r="N65"/>
      <c r="Q65" s="19">
        <v>3000</v>
      </c>
      <c r="R65" s="8">
        <f t="shared" si="14"/>
        <v>20</v>
      </c>
      <c r="S65" s="8">
        <f t="shared" si="15"/>
        <v>20</v>
      </c>
      <c r="T65" s="8">
        <f t="shared" si="16"/>
        <v>20</v>
      </c>
      <c r="V65" s="19">
        <v>3000</v>
      </c>
      <c r="W65" s="8">
        <f t="shared" si="3"/>
        <v>20</v>
      </c>
      <c r="X65" s="8">
        <f t="shared" si="12"/>
        <v>20</v>
      </c>
      <c r="Y65" s="8">
        <f t="shared" si="17"/>
        <v>30</v>
      </c>
      <c r="AB65" s="20">
        <v>3000</v>
      </c>
      <c r="AC65" s="9">
        <f t="shared" si="18"/>
        <v>20</v>
      </c>
      <c r="AD65" s="9">
        <f t="shared" si="19"/>
        <v>20</v>
      </c>
      <c r="AE65" s="9">
        <f t="shared" si="20"/>
        <v>20</v>
      </c>
      <c r="AG65" s="20">
        <v>3000</v>
      </c>
      <c r="AH65" s="9">
        <f t="shared" si="8"/>
        <v>20</v>
      </c>
      <c r="AI65" s="9">
        <f t="shared" si="13"/>
        <v>20</v>
      </c>
      <c r="AJ65" s="9">
        <f t="shared" si="9"/>
        <v>30</v>
      </c>
      <c r="AM65" s="21">
        <v>3000</v>
      </c>
      <c r="AN65" s="10">
        <v>-10</v>
      </c>
      <c r="AP65" s="10">
        <f t="shared" si="21"/>
        <v>20</v>
      </c>
      <c r="AQ65" s="10">
        <f t="shared" si="22"/>
        <v>30</v>
      </c>
      <c r="AT65" s="12">
        <v>3000</v>
      </c>
      <c r="AU65" s="79"/>
      <c r="AV65" s="67"/>
      <c r="AW65" s="67"/>
      <c r="AX65" s="67"/>
      <c r="AY65" s="67"/>
      <c r="AZ65" s="67"/>
    </row>
    <row r="66" spans="2:52" ht="16.5">
      <c r="B66" s="12">
        <v>3150</v>
      </c>
      <c r="C66" s="71"/>
      <c r="D66" s="71"/>
      <c r="E66" s="71"/>
      <c r="F66" s="74"/>
      <c r="G66" s="71"/>
      <c r="H66" s="71"/>
      <c r="J66" s="12">
        <v>3150</v>
      </c>
      <c r="K66" s="84"/>
      <c r="L66"/>
      <c r="M66"/>
      <c r="N66"/>
      <c r="Q66" s="19">
        <v>3150</v>
      </c>
      <c r="R66" s="8">
        <f t="shared" si="14"/>
        <v>20</v>
      </c>
      <c r="S66" s="8">
        <f t="shared" si="15"/>
        <v>20</v>
      </c>
      <c r="T66" s="8">
        <f t="shared" si="16"/>
        <v>20</v>
      </c>
      <c r="V66" s="19">
        <v>3150</v>
      </c>
      <c r="W66" s="8">
        <f t="shared" si="3"/>
        <v>20</v>
      </c>
      <c r="X66" s="8">
        <f t="shared" si="12"/>
        <v>20</v>
      </c>
      <c r="Y66" s="8">
        <f t="shared" si="17"/>
        <v>30</v>
      </c>
      <c r="AB66" s="20">
        <v>3150</v>
      </c>
      <c r="AC66" s="9">
        <f t="shared" si="18"/>
        <v>20</v>
      </c>
      <c r="AD66" s="9">
        <f t="shared" si="19"/>
        <v>20</v>
      </c>
      <c r="AE66" s="9">
        <f t="shared" si="20"/>
        <v>20</v>
      </c>
      <c r="AG66" s="20">
        <v>3150</v>
      </c>
      <c r="AH66" s="9">
        <f t="shared" si="8"/>
        <v>20</v>
      </c>
      <c r="AI66" s="9">
        <f t="shared" si="13"/>
        <v>20</v>
      </c>
      <c r="AJ66" s="9">
        <f t="shared" si="9"/>
        <v>30</v>
      </c>
      <c r="AM66" s="21">
        <v>3150</v>
      </c>
      <c r="AN66" s="10">
        <v>-10</v>
      </c>
      <c r="AP66" s="10">
        <f t="shared" si="21"/>
        <v>20</v>
      </c>
      <c r="AQ66" s="10">
        <f t="shared" si="22"/>
        <v>30</v>
      </c>
      <c r="AT66" s="12">
        <v>3150</v>
      </c>
      <c r="AU66" s="79"/>
      <c r="AV66" s="67"/>
      <c r="AW66" s="67"/>
      <c r="AX66" s="67"/>
      <c r="AY66" s="67"/>
      <c r="AZ66" s="67"/>
    </row>
    <row r="67" spans="2:52" ht="16.5">
      <c r="B67" s="12">
        <v>3350</v>
      </c>
      <c r="C67" s="71"/>
      <c r="D67" s="71"/>
      <c r="E67" s="71"/>
      <c r="F67" s="74"/>
      <c r="G67" s="71"/>
      <c r="H67" s="71"/>
      <c r="J67" s="12">
        <v>3350</v>
      </c>
      <c r="K67" s="84"/>
      <c r="L67"/>
      <c r="M67"/>
      <c r="N67"/>
      <c r="Q67" s="19">
        <v>3350</v>
      </c>
      <c r="R67" s="8">
        <f t="shared" si="14"/>
        <v>20</v>
      </c>
      <c r="S67" s="8">
        <f t="shared" si="15"/>
        <v>20</v>
      </c>
      <c r="T67" s="8">
        <f t="shared" si="16"/>
        <v>20</v>
      </c>
      <c r="V67" s="19">
        <v>3350</v>
      </c>
      <c r="W67" s="8">
        <f t="shared" si="3"/>
        <v>20</v>
      </c>
      <c r="X67" s="8">
        <f t="shared" si="12"/>
        <v>20</v>
      </c>
      <c r="Y67" s="8">
        <f t="shared" si="17"/>
        <v>30</v>
      </c>
      <c r="AB67" s="20">
        <v>3350</v>
      </c>
      <c r="AC67" s="9">
        <f t="shared" si="18"/>
        <v>20</v>
      </c>
      <c r="AD67" s="9">
        <f t="shared" si="19"/>
        <v>20</v>
      </c>
      <c r="AE67" s="9">
        <f t="shared" si="20"/>
        <v>20</v>
      </c>
      <c r="AG67" s="20">
        <v>3350</v>
      </c>
      <c r="AH67" s="9">
        <f t="shared" si="8"/>
        <v>20</v>
      </c>
      <c r="AI67" s="9">
        <f t="shared" si="13"/>
        <v>20</v>
      </c>
      <c r="AJ67" s="9">
        <f t="shared" si="9"/>
        <v>30</v>
      </c>
      <c r="AM67" s="21">
        <v>3350</v>
      </c>
      <c r="AN67" s="10">
        <v>-10</v>
      </c>
      <c r="AO67" s="10">
        <v>10</v>
      </c>
      <c r="AP67" s="10">
        <f t="shared" si="21"/>
        <v>20</v>
      </c>
      <c r="AQ67" s="10">
        <f t="shared" si="22"/>
        <v>30</v>
      </c>
      <c r="AT67" s="12">
        <v>3350</v>
      </c>
      <c r="AU67" s="79"/>
      <c r="AV67" s="67"/>
      <c r="AW67" s="67"/>
      <c r="AX67" s="67"/>
      <c r="AY67" s="67"/>
      <c r="AZ67" s="67"/>
    </row>
    <row r="68" spans="2:52" ht="16.5">
      <c r="B68" s="12">
        <v>3550</v>
      </c>
      <c r="C68" s="71"/>
      <c r="D68" s="71"/>
      <c r="E68" s="71"/>
      <c r="F68" s="74"/>
      <c r="G68" s="71"/>
      <c r="H68" s="71"/>
      <c r="J68" s="12">
        <v>3550</v>
      </c>
      <c r="K68" s="84"/>
      <c r="L68"/>
      <c r="M68"/>
      <c r="N68"/>
      <c r="Q68" s="19">
        <v>3550</v>
      </c>
      <c r="R68" s="8">
        <f t="shared" si="14"/>
        <v>20</v>
      </c>
      <c r="S68" s="8">
        <f t="shared" si="15"/>
        <v>20</v>
      </c>
      <c r="T68" s="8">
        <f t="shared" si="16"/>
        <v>20</v>
      </c>
      <c r="V68" s="19">
        <v>3550</v>
      </c>
      <c r="W68" s="8">
        <f t="shared" si="3"/>
        <v>20</v>
      </c>
      <c r="X68" s="8">
        <f t="shared" si="12"/>
        <v>20</v>
      </c>
      <c r="Y68" s="8">
        <f t="shared" si="17"/>
        <v>30</v>
      </c>
      <c r="AB68" s="20">
        <v>3550</v>
      </c>
      <c r="AC68" s="9">
        <f t="shared" si="18"/>
        <v>20</v>
      </c>
      <c r="AD68" s="9">
        <f t="shared" si="19"/>
        <v>20</v>
      </c>
      <c r="AE68" s="9">
        <f t="shared" si="20"/>
        <v>20</v>
      </c>
      <c r="AG68" s="20">
        <v>3550</v>
      </c>
      <c r="AH68" s="9">
        <f t="shared" si="8"/>
        <v>20</v>
      </c>
      <c r="AI68" s="9">
        <f t="shared" si="13"/>
        <v>20</v>
      </c>
      <c r="AJ68" s="9">
        <f t="shared" si="9"/>
        <v>30</v>
      </c>
      <c r="AM68" s="21">
        <v>3550</v>
      </c>
      <c r="AN68" s="10">
        <v>-10</v>
      </c>
      <c r="AP68" s="10">
        <f t="shared" si="21"/>
        <v>20</v>
      </c>
      <c r="AQ68" s="10">
        <f t="shared" si="22"/>
        <v>30</v>
      </c>
      <c r="AT68" s="12">
        <v>3550</v>
      </c>
      <c r="AU68" s="79"/>
      <c r="AV68" s="67"/>
      <c r="AW68" s="67"/>
      <c r="AX68" s="67"/>
      <c r="AY68" s="67"/>
      <c r="AZ68" s="67"/>
    </row>
    <row r="69" spans="2:52" ht="16.5">
      <c r="B69" s="12">
        <v>3750</v>
      </c>
      <c r="C69" s="71"/>
      <c r="D69" s="71"/>
      <c r="E69" s="71"/>
      <c r="F69" s="74"/>
      <c r="G69" s="71"/>
      <c r="H69" s="71"/>
      <c r="J69" s="12">
        <v>3750</v>
      </c>
      <c r="K69" s="84"/>
      <c r="L69"/>
      <c r="M69"/>
      <c r="N69"/>
      <c r="Q69" s="19">
        <v>3750</v>
      </c>
      <c r="R69" s="8">
        <f t="shared" si="14"/>
        <v>20</v>
      </c>
      <c r="S69" s="8">
        <f t="shared" si="15"/>
        <v>20</v>
      </c>
      <c r="T69" s="8">
        <f t="shared" si="16"/>
        <v>20</v>
      </c>
      <c r="V69" s="19">
        <v>3750</v>
      </c>
      <c r="W69" s="8">
        <f t="shared" si="3"/>
        <v>20</v>
      </c>
      <c r="X69" s="8">
        <f t="shared" si="12"/>
        <v>20</v>
      </c>
      <c r="Y69" s="8">
        <f t="shared" si="17"/>
        <v>30</v>
      </c>
      <c r="AB69" s="20">
        <v>3750</v>
      </c>
      <c r="AC69" s="9">
        <f t="shared" si="18"/>
        <v>20</v>
      </c>
      <c r="AD69" s="9">
        <f t="shared" si="19"/>
        <v>20</v>
      </c>
      <c r="AE69" s="9">
        <f t="shared" si="20"/>
        <v>20</v>
      </c>
      <c r="AG69" s="20">
        <v>3750</v>
      </c>
      <c r="AH69" s="9">
        <f t="shared" si="8"/>
        <v>20</v>
      </c>
      <c r="AI69" s="9">
        <f t="shared" si="13"/>
        <v>20</v>
      </c>
      <c r="AJ69" s="9">
        <f t="shared" si="9"/>
        <v>30</v>
      </c>
      <c r="AM69" s="21">
        <v>3750</v>
      </c>
      <c r="AN69" s="10">
        <v>-10</v>
      </c>
      <c r="AP69" s="10">
        <f t="shared" si="21"/>
        <v>20</v>
      </c>
      <c r="AQ69" s="10">
        <f t="shared" si="22"/>
        <v>30</v>
      </c>
      <c r="AT69" s="12">
        <v>3750</v>
      </c>
      <c r="AU69" s="79"/>
      <c r="AV69" s="67"/>
      <c r="AW69" s="67"/>
      <c r="AX69" s="67"/>
      <c r="AY69" s="67"/>
      <c r="AZ69" s="67"/>
    </row>
    <row r="70" spans="2:52" ht="16.5">
      <c r="B70" s="12">
        <v>4000</v>
      </c>
      <c r="C70" s="71"/>
      <c r="D70" s="71"/>
      <c r="E70" s="71"/>
      <c r="F70" s="74"/>
      <c r="G70" s="71"/>
      <c r="H70" s="71"/>
      <c r="J70" s="12">
        <v>4000</v>
      </c>
      <c r="K70" s="84"/>
      <c r="L70"/>
      <c r="M70"/>
      <c r="N70"/>
      <c r="Q70" s="19">
        <v>4000</v>
      </c>
      <c r="R70" s="8">
        <f t="shared" si="14"/>
        <v>20</v>
      </c>
      <c r="S70" s="8">
        <f t="shared" si="15"/>
        <v>20</v>
      </c>
      <c r="T70" s="8">
        <f t="shared" si="16"/>
        <v>20</v>
      </c>
      <c r="V70" s="19">
        <v>4000</v>
      </c>
      <c r="W70" s="8">
        <f t="shared" ref="W70:W86" si="23">+AVERAGE(R70:T70)</f>
        <v>20</v>
      </c>
      <c r="X70" s="8">
        <f t="shared" si="12"/>
        <v>20</v>
      </c>
      <c r="Y70" s="8">
        <f t="shared" ref="Y70:Y86" si="24">+X70-$AN70</f>
        <v>30</v>
      </c>
      <c r="AB70" s="20">
        <v>4000</v>
      </c>
      <c r="AC70" s="9">
        <f t="shared" si="18"/>
        <v>20</v>
      </c>
      <c r="AD70" s="9">
        <f t="shared" si="19"/>
        <v>20</v>
      </c>
      <c r="AE70" s="9">
        <f t="shared" si="20"/>
        <v>20</v>
      </c>
      <c r="AG70" s="20">
        <v>4000</v>
      </c>
      <c r="AH70" s="9">
        <f t="shared" ref="AH70:AH86" si="25">+AVERAGE(AC70:AE70)</f>
        <v>20</v>
      </c>
      <c r="AI70" s="9">
        <f t="shared" si="13"/>
        <v>20</v>
      </c>
      <c r="AJ70" s="9">
        <f t="shared" ref="AJ70:AJ86" si="26">+AI70-$AN70</f>
        <v>30</v>
      </c>
      <c r="AM70" s="21">
        <v>4000</v>
      </c>
      <c r="AN70" s="10">
        <v>-10</v>
      </c>
      <c r="AO70" s="10">
        <v>10</v>
      </c>
      <c r="AP70" s="10">
        <f t="shared" ref="AP70:AP86" si="27">+AVERAGE(AI70,X70)</f>
        <v>20</v>
      </c>
      <c r="AQ70" s="10">
        <f t="shared" ref="AQ70:AQ86" si="28">+AP70-AN70</f>
        <v>30</v>
      </c>
      <c r="AT70" s="12">
        <v>4000</v>
      </c>
      <c r="AU70" s="79"/>
      <c r="AV70" s="67"/>
      <c r="AW70" s="67"/>
      <c r="AX70" s="67"/>
      <c r="AY70" s="67"/>
      <c r="AZ70" s="67"/>
    </row>
    <row r="71" spans="2:52" ht="16.5">
      <c r="B71" s="12">
        <v>4250</v>
      </c>
      <c r="C71" s="71"/>
      <c r="D71" s="71"/>
      <c r="E71" s="71"/>
      <c r="F71" s="74"/>
      <c r="G71" s="71"/>
      <c r="H71" s="71"/>
      <c r="J71" s="12">
        <v>4250</v>
      </c>
      <c r="K71" s="84"/>
      <c r="L71"/>
      <c r="M71"/>
      <c r="N71"/>
      <c r="Q71" s="19">
        <v>4250</v>
      </c>
      <c r="R71" s="8">
        <f t="shared" ref="R71:T86" si="29">+$K71+20-C71</f>
        <v>20</v>
      </c>
      <c r="S71" s="8">
        <f t="shared" si="29"/>
        <v>20</v>
      </c>
      <c r="T71" s="8">
        <f t="shared" si="29"/>
        <v>20</v>
      </c>
      <c r="V71" s="19">
        <v>4250</v>
      </c>
      <c r="W71" s="8">
        <f t="shared" si="23"/>
        <v>20</v>
      </c>
      <c r="X71" s="8">
        <f t="shared" ref="X71:X86" si="30">+K71+20</f>
        <v>20</v>
      </c>
      <c r="Y71" s="8">
        <f t="shared" si="24"/>
        <v>30</v>
      </c>
      <c r="AB71" s="20">
        <v>4250</v>
      </c>
      <c r="AC71" s="9">
        <f t="shared" ref="AC71:AE86" si="31">+$L71+20-F71</f>
        <v>20</v>
      </c>
      <c r="AD71" s="9">
        <f t="shared" si="31"/>
        <v>20</v>
      </c>
      <c r="AE71" s="9">
        <f t="shared" si="31"/>
        <v>20</v>
      </c>
      <c r="AG71" s="20">
        <v>4250</v>
      </c>
      <c r="AH71" s="9">
        <f t="shared" si="25"/>
        <v>20</v>
      </c>
      <c r="AI71" s="9">
        <f t="shared" ref="AI71:AI86" si="32">+L71+20</f>
        <v>20</v>
      </c>
      <c r="AJ71" s="9">
        <f t="shared" si="26"/>
        <v>30</v>
      </c>
      <c r="AM71" s="21">
        <v>4250</v>
      </c>
      <c r="AN71" s="10">
        <v>-10</v>
      </c>
      <c r="AP71" s="10">
        <f t="shared" si="27"/>
        <v>20</v>
      </c>
      <c r="AQ71" s="10">
        <f t="shared" si="28"/>
        <v>30</v>
      </c>
      <c r="AT71" s="12">
        <v>4250</v>
      </c>
      <c r="AU71" s="79"/>
      <c r="AV71" s="67"/>
      <c r="AW71" s="67"/>
      <c r="AX71" s="67"/>
      <c r="AY71" s="67"/>
      <c r="AZ71" s="67"/>
    </row>
    <row r="72" spans="2:52" ht="16.5">
      <c r="B72" s="12">
        <v>4500</v>
      </c>
      <c r="C72" s="71"/>
      <c r="D72" s="71"/>
      <c r="E72" s="71"/>
      <c r="F72" s="74"/>
      <c r="G72" s="71"/>
      <c r="H72" s="71"/>
      <c r="J72" s="12">
        <v>4500</v>
      </c>
      <c r="K72" s="84"/>
      <c r="L72"/>
      <c r="M72"/>
      <c r="N72"/>
      <c r="Q72" s="19">
        <v>4500</v>
      </c>
      <c r="R72" s="8">
        <f t="shared" si="29"/>
        <v>20</v>
      </c>
      <c r="S72" s="8">
        <f t="shared" si="29"/>
        <v>20</v>
      </c>
      <c r="T72" s="8">
        <f t="shared" si="29"/>
        <v>20</v>
      </c>
      <c r="V72" s="19">
        <v>4500</v>
      </c>
      <c r="W72" s="8">
        <f t="shared" si="23"/>
        <v>20</v>
      </c>
      <c r="X72" s="8">
        <f t="shared" si="30"/>
        <v>20</v>
      </c>
      <c r="Y72" s="8">
        <f t="shared" si="24"/>
        <v>30</v>
      </c>
      <c r="AB72" s="20">
        <v>4500</v>
      </c>
      <c r="AC72" s="9">
        <f t="shared" si="31"/>
        <v>20</v>
      </c>
      <c r="AD72" s="9">
        <f t="shared" si="31"/>
        <v>20</v>
      </c>
      <c r="AE72" s="9">
        <f t="shared" si="31"/>
        <v>20</v>
      </c>
      <c r="AG72" s="20">
        <v>4500</v>
      </c>
      <c r="AH72" s="9">
        <f t="shared" si="25"/>
        <v>20</v>
      </c>
      <c r="AI72" s="9">
        <f t="shared" si="32"/>
        <v>20</v>
      </c>
      <c r="AJ72" s="9">
        <f t="shared" si="26"/>
        <v>30</v>
      </c>
      <c r="AM72" s="21">
        <v>4500</v>
      </c>
      <c r="AN72" s="10">
        <v>-10</v>
      </c>
      <c r="AP72" s="10">
        <f t="shared" si="27"/>
        <v>20</v>
      </c>
      <c r="AQ72" s="10">
        <f t="shared" si="28"/>
        <v>30</v>
      </c>
      <c r="AT72" s="12">
        <v>4500</v>
      </c>
      <c r="AU72" s="79"/>
      <c r="AV72" s="67"/>
      <c r="AW72" s="67"/>
      <c r="AX72" s="67"/>
      <c r="AY72" s="67"/>
      <c r="AZ72" s="67"/>
    </row>
    <row r="73" spans="2:52" ht="16.5">
      <c r="B73" s="12">
        <v>4750</v>
      </c>
      <c r="C73" s="71"/>
      <c r="D73" s="71"/>
      <c r="E73" s="71"/>
      <c r="F73" s="74"/>
      <c r="G73" s="71"/>
      <c r="H73" s="71"/>
      <c r="J73" s="12">
        <v>4750</v>
      </c>
      <c r="K73" s="84"/>
      <c r="L73"/>
      <c r="M73"/>
      <c r="N73"/>
      <c r="Q73" s="19">
        <v>4750</v>
      </c>
      <c r="R73" s="8">
        <f t="shared" si="29"/>
        <v>20</v>
      </c>
      <c r="S73" s="8">
        <f t="shared" si="29"/>
        <v>20</v>
      </c>
      <c r="T73" s="8">
        <f t="shared" si="29"/>
        <v>20</v>
      </c>
      <c r="V73" s="19">
        <v>4750</v>
      </c>
      <c r="W73" s="8">
        <f t="shared" si="23"/>
        <v>20</v>
      </c>
      <c r="X73" s="8">
        <f t="shared" si="30"/>
        <v>20</v>
      </c>
      <c r="Y73" s="8">
        <f t="shared" si="24"/>
        <v>30</v>
      </c>
      <c r="AB73" s="20">
        <v>4750</v>
      </c>
      <c r="AC73" s="9">
        <f t="shared" si="31"/>
        <v>20</v>
      </c>
      <c r="AD73" s="9">
        <f t="shared" si="31"/>
        <v>20</v>
      </c>
      <c r="AE73" s="9">
        <f t="shared" si="31"/>
        <v>20</v>
      </c>
      <c r="AG73" s="20">
        <v>4750</v>
      </c>
      <c r="AH73" s="9">
        <f t="shared" si="25"/>
        <v>20</v>
      </c>
      <c r="AI73" s="9">
        <f t="shared" si="32"/>
        <v>20</v>
      </c>
      <c r="AJ73" s="9">
        <f t="shared" si="26"/>
        <v>30</v>
      </c>
      <c r="AM73" s="21">
        <v>4750</v>
      </c>
      <c r="AN73" s="10">
        <v>-10</v>
      </c>
      <c r="AO73" s="10">
        <v>10</v>
      </c>
      <c r="AP73" s="10">
        <f t="shared" si="27"/>
        <v>20</v>
      </c>
      <c r="AQ73" s="10">
        <f t="shared" si="28"/>
        <v>30</v>
      </c>
      <c r="AT73" s="12">
        <v>4750</v>
      </c>
      <c r="AU73" s="79"/>
      <c r="AV73" s="67"/>
      <c r="AW73" s="67"/>
      <c r="AX73" s="67"/>
      <c r="AY73" s="67"/>
      <c r="AZ73" s="67"/>
    </row>
    <row r="74" spans="2:52" ht="16.5">
      <c r="B74" s="12">
        <v>5000</v>
      </c>
      <c r="C74" s="71"/>
      <c r="D74" s="71"/>
      <c r="E74" s="71"/>
      <c r="F74" s="74"/>
      <c r="G74" s="71"/>
      <c r="H74" s="71"/>
      <c r="J74" s="12">
        <v>5000</v>
      </c>
      <c r="K74" s="84"/>
      <c r="L74"/>
      <c r="M74"/>
      <c r="N74"/>
      <c r="Q74" s="19">
        <v>5000</v>
      </c>
      <c r="R74" s="8">
        <f t="shared" si="29"/>
        <v>20</v>
      </c>
      <c r="S74" s="8">
        <f t="shared" si="29"/>
        <v>20</v>
      </c>
      <c r="T74" s="8">
        <f t="shared" si="29"/>
        <v>20</v>
      </c>
      <c r="V74" s="19">
        <v>5000</v>
      </c>
      <c r="W74" s="8">
        <f t="shared" si="23"/>
        <v>20</v>
      </c>
      <c r="X74" s="8">
        <f t="shared" si="30"/>
        <v>20</v>
      </c>
      <c r="Y74" s="8">
        <f t="shared" si="24"/>
        <v>30</v>
      </c>
      <c r="AB74" s="20">
        <v>5000</v>
      </c>
      <c r="AC74" s="9">
        <f t="shared" si="31"/>
        <v>20</v>
      </c>
      <c r="AD74" s="9">
        <f t="shared" si="31"/>
        <v>20</v>
      </c>
      <c r="AE74" s="9">
        <f t="shared" si="31"/>
        <v>20</v>
      </c>
      <c r="AG74" s="20">
        <v>5000</v>
      </c>
      <c r="AH74" s="9">
        <f t="shared" si="25"/>
        <v>20</v>
      </c>
      <c r="AI74" s="9">
        <f t="shared" si="32"/>
        <v>20</v>
      </c>
      <c r="AJ74" s="9">
        <f t="shared" si="26"/>
        <v>30</v>
      </c>
      <c r="AM74" s="21">
        <v>5000</v>
      </c>
      <c r="AN74" s="10">
        <v>-10</v>
      </c>
      <c r="AP74" s="10">
        <f t="shared" si="27"/>
        <v>20</v>
      </c>
      <c r="AQ74" s="10">
        <f t="shared" si="28"/>
        <v>30</v>
      </c>
      <c r="AT74" s="12">
        <v>5000</v>
      </c>
      <c r="AU74" s="79"/>
      <c r="AV74" s="67"/>
      <c r="AW74" s="67"/>
      <c r="AX74" s="67"/>
      <c r="AY74" s="67"/>
      <c r="AZ74" s="67"/>
    </row>
    <row r="75" spans="2:52" ht="16.5">
      <c r="B75" s="12">
        <v>5300</v>
      </c>
      <c r="C75" s="71"/>
      <c r="D75" s="71"/>
      <c r="E75" s="71"/>
      <c r="F75" s="74"/>
      <c r="G75" s="71"/>
      <c r="H75" s="71"/>
      <c r="J75" s="12">
        <v>5300</v>
      </c>
      <c r="K75" s="84"/>
      <c r="L75"/>
      <c r="M75"/>
      <c r="N75"/>
      <c r="Q75" s="19">
        <v>5300</v>
      </c>
      <c r="R75" s="8">
        <f t="shared" si="29"/>
        <v>20</v>
      </c>
      <c r="S75" s="8">
        <f t="shared" si="29"/>
        <v>20</v>
      </c>
      <c r="T75" s="8">
        <f t="shared" si="29"/>
        <v>20</v>
      </c>
      <c r="V75" s="19">
        <v>5300</v>
      </c>
      <c r="W75" s="8">
        <f t="shared" si="23"/>
        <v>20</v>
      </c>
      <c r="X75" s="8">
        <f t="shared" si="30"/>
        <v>20</v>
      </c>
      <c r="Y75" s="8">
        <f t="shared" si="24"/>
        <v>30</v>
      </c>
      <c r="AB75" s="20">
        <v>5300</v>
      </c>
      <c r="AC75" s="9">
        <f t="shared" si="31"/>
        <v>20</v>
      </c>
      <c r="AD75" s="9">
        <f t="shared" si="31"/>
        <v>20</v>
      </c>
      <c r="AE75" s="9">
        <f t="shared" si="31"/>
        <v>20</v>
      </c>
      <c r="AG75" s="20">
        <v>5300</v>
      </c>
      <c r="AH75" s="9">
        <f t="shared" si="25"/>
        <v>20</v>
      </c>
      <c r="AI75" s="9">
        <f t="shared" si="32"/>
        <v>20</v>
      </c>
      <c r="AJ75" s="9">
        <f t="shared" si="26"/>
        <v>30</v>
      </c>
      <c r="AM75" s="21">
        <v>5300</v>
      </c>
      <c r="AN75" s="10">
        <v>-10</v>
      </c>
      <c r="AP75" s="10">
        <f t="shared" si="27"/>
        <v>20</v>
      </c>
      <c r="AQ75" s="10">
        <f t="shared" si="28"/>
        <v>30</v>
      </c>
      <c r="AT75" s="12">
        <v>5300</v>
      </c>
      <c r="AU75" s="79"/>
      <c r="AV75" s="67"/>
      <c r="AW75" s="67"/>
      <c r="AX75" s="67"/>
      <c r="AY75" s="67"/>
      <c r="AZ75" s="67"/>
    </row>
    <row r="76" spans="2:52" ht="16.5">
      <c r="B76" s="12">
        <v>5600</v>
      </c>
      <c r="C76" s="71"/>
      <c r="D76" s="71"/>
      <c r="E76" s="71"/>
      <c r="F76" s="74"/>
      <c r="G76" s="71"/>
      <c r="H76" s="71"/>
      <c r="J76" s="12">
        <v>5600</v>
      </c>
      <c r="K76" s="84"/>
      <c r="L76"/>
      <c r="M76"/>
      <c r="N76"/>
      <c r="Q76" s="19">
        <v>5600</v>
      </c>
      <c r="R76" s="8">
        <f t="shared" si="29"/>
        <v>20</v>
      </c>
      <c r="S76" s="8">
        <f t="shared" si="29"/>
        <v>20</v>
      </c>
      <c r="T76" s="8">
        <f t="shared" si="29"/>
        <v>20</v>
      </c>
      <c r="V76" s="19">
        <v>5600</v>
      </c>
      <c r="W76" s="8">
        <f t="shared" si="23"/>
        <v>20</v>
      </c>
      <c r="X76" s="8">
        <f t="shared" si="30"/>
        <v>20</v>
      </c>
      <c r="Y76" s="8">
        <f t="shared" si="24"/>
        <v>30</v>
      </c>
      <c r="AB76" s="20">
        <v>5600</v>
      </c>
      <c r="AC76" s="9">
        <f t="shared" si="31"/>
        <v>20</v>
      </c>
      <c r="AD76" s="9">
        <f t="shared" si="31"/>
        <v>20</v>
      </c>
      <c r="AE76" s="9">
        <f t="shared" si="31"/>
        <v>20</v>
      </c>
      <c r="AG76" s="20">
        <v>5600</v>
      </c>
      <c r="AH76" s="9">
        <f t="shared" si="25"/>
        <v>20</v>
      </c>
      <c r="AI76" s="9">
        <f t="shared" si="32"/>
        <v>20</v>
      </c>
      <c r="AJ76" s="9">
        <f t="shared" si="26"/>
        <v>30</v>
      </c>
      <c r="AM76" s="21">
        <v>5600</v>
      </c>
      <c r="AN76" s="10">
        <v>-10</v>
      </c>
      <c r="AO76" s="10">
        <v>10</v>
      </c>
      <c r="AP76" s="10">
        <f t="shared" si="27"/>
        <v>20</v>
      </c>
      <c r="AQ76" s="10">
        <f t="shared" si="28"/>
        <v>30</v>
      </c>
      <c r="AT76" s="12">
        <v>5600</v>
      </c>
      <c r="AU76" s="79"/>
      <c r="AV76" s="67"/>
      <c r="AW76" s="67"/>
      <c r="AX76" s="67"/>
      <c r="AY76" s="67"/>
      <c r="AZ76" s="67"/>
    </row>
    <row r="77" spans="2:52" ht="16.5">
      <c r="B77" s="12">
        <v>6000</v>
      </c>
      <c r="C77" s="71"/>
      <c r="D77" s="71"/>
      <c r="E77" s="71"/>
      <c r="F77" s="74"/>
      <c r="G77" s="71"/>
      <c r="H77" s="71"/>
      <c r="J77" s="12">
        <v>6000</v>
      </c>
      <c r="K77" s="84"/>
      <c r="L77"/>
      <c r="M77"/>
      <c r="N77"/>
      <c r="Q77" s="19">
        <v>6000</v>
      </c>
      <c r="R77" s="8">
        <f t="shared" si="29"/>
        <v>20</v>
      </c>
      <c r="S77" s="8">
        <f t="shared" si="29"/>
        <v>20</v>
      </c>
      <c r="T77" s="8">
        <f t="shared" si="29"/>
        <v>20</v>
      </c>
      <c r="V77" s="19">
        <v>6000</v>
      </c>
      <c r="W77" s="8">
        <f t="shared" si="23"/>
        <v>20</v>
      </c>
      <c r="X77" s="8">
        <f t="shared" si="30"/>
        <v>20</v>
      </c>
      <c r="Y77" s="8">
        <f t="shared" si="24"/>
        <v>30</v>
      </c>
      <c r="AB77" s="20">
        <v>6000</v>
      </c>
      <c r="AC77" s="9">
        <f t="shared" si="31"/>
        <v>20</v>
      </c>
      <c r="AD77" s="9">
        <f t="shared" si="31"/>
        <v>20</v>
      </c>
      <c r="AE77" s="9">
        <f t="shared" si="31"/>
        <v>20</v>
      </c>
      <c r="AG77" s="20">
        <v>6000</v>
      </c>
      <c r="AH77" s="9">
        <f t="shared" si="25"/>
        <v>20</v>
      </c>
      <c r="AI77" s="9">
        <f t="shared" si="32"/>
        <v>20</v>
      </c>
      <c r="AJ77" s="9">
        <f t="shared" si="26"/>
        <v>30</v>
      </c>
      <c r="AM77" s="21">
        <v>6000</v>
      </c>
      <c r="AN77" s="10">
        <v>-10</v>
      </c>
      <c r="AP77" s="10">
        <f t="shared" si="27"/>
        <v>20</v>
      </c>
      <c r="AQ77" s="10">
        <f t="shared" si="28"/>
        <v>30</v>
      </c>
      <c r="AT77" s="12">
        <v>6000</v>
      </c>
      <c r="AU77" s="79"/>
      <c r="AV77" s="67"/>
      <c r="AW77" s="67"/>
      <c r="AX77" s="67"/>
      <c r="AY77" s="67"/>
      <c r="AZ77" s="67"/>
    </row>
    <row r="78" spans="2:52" ht="16.5">
      <c r="B78" s="12">
        <v>6300</v>
      </c>
      <c r="C78" s="71"/>
      <c r="D78" s="71"/>
      <c r="E78" s="71"/>
      <c r="F78" s="74"/>
      <c r="G78" s="71"/>
      <c r="H78" s="71"/>
      <c r="J78" s="12">
        <v>6300</v>
      </c>
      <c r="K78" s="84"/>
      <c r="L78"/>
      <c r="M78"/>
      <c r="N78"/>
      <c r="Q78" s="19">
        <v>6300</v>
      </c>
      <c r="R78" s="8">
        <f t="shared" si="29"/>
        <v>20</v>
      </c>
      <c r="S78" s="8">
        <f t="shared" si="29"/>
        <v>20</v>
      </c>
      <c r="T78" s="8">
        <f t="shared" si="29"/>
        <v>20</v>
      </c>
      <c r="V78" s="19">
        <v>6300</v>
      </c>
      <c r="W78" s="8">
        <f t="shared" si="23"/>
        <v>20</v>
      </c>
      <c r="X78" s="8">
        <f t="shared" si="30"/>
        <v>20</v>
      </c>
      <c r="Y78" s="8">
        <f t="shared" si="24"/>
        <v>30</v>
      </c>
      <c r="AB78" s="20">
        <v>6300</v>
      </c>
      <c r="AC78" s="9">
        <f t="shared" si="31"/>
        <v>20</v>
      </c>
      <c r="AD78" s="9">
        <f t="shared" si="31"/>
        <v>20</v>
      </c>
      <c r="AE78" s="9">
        <f t="shared" si="31"/>
        <v>20</v>
      </c>
      <c r="AG78" s="20">
        <v>6300</v>
      </c>
      <c r="AH78" s="9">
        <f t="shared" si="25"/>
        <v>20</v>
      </c>
      <c r="AI78" s="9">
        <f t="shared" si="32"/>
        <v>20</v>
      </c>
      <c r="AJ78" s="9">
        <f t="shared" si="26"/>
        <v>30</v>
      </c>
      <c r="AM78" s="21">
        <v>6300</v>
      </c>
      <c r="AN78" s="10">
        <v>-10</v>
      </c>
      <c r="AP78" s="10">
        <f t="shared" si="27"/>
        <v>20</v>
      </c>
      <c r="AQ78" s="10">
        <f t="shared" si="28"/>
        <v>30</v>
      </c>
      <c r="AT78" s="12">
        <v>6300</v>
      </c>
      <c r="AU78" s="79"/>
      <c r="AV78" s="67"/>
      <c r="AW78" s="67"/>
      <c r="AX78" s="67"/>
      <c r="AY78" s="67"/>
      <c r="AZ78" s="67"/>
    </row>
    <row r="79" spans="2:52" ht="16.5">
      <c r="B79" s="12">
        <v>6700</v>
      </c>
      <c r="C79" s="71"/>
      <c r="D79" s="71"/>
      <c r="E79" s="71"/>
      <c r="F79" s="74"/>
      <c r="G79" s="71"/>
      <c r="H79" s="71"/>
      <c r="J79" s="12">
        <v>6700</v>
      </c>
      <c r="K79" s="84"/>
      <c r="L79"/>
      <c r="M79"/>
      <c r="N79"/>
      <c r="Q79" s="19">
        <v>6700</v>
      </c>
      <c r="R79" s="8">
        <f t="shared" si="29"/>
        <v>20</v>
      </c>
      <c r="S79" s="8">
        <f t="shared" si="29"/>
        <v>20</v>
      </c>
      <c r="T79" s="8">
        <f t="shared" si="29"/>
        <v>20</v>
      </c>
      <c r="V79" s="19">
        <v>6700</v>
      </c>
      <c r="W79" s="8">
        <f t="shared" si="23"/>
        <v>20</v>
      </c>
      <c r="X79" s="8">
        <f t="shared" si="30"/>
        <v>20</v>
      </c>
      <c r="Y79" s="8">
        <f t="shared" si="24"/>
        <v>30</v>
      </c>
      <c r="AB79" s="20">
        <v>6700</v>
      </c>
      <c r="AC79" s="9">
        <f t="shared" si="31"/>
        <v>20</v>
      </c>
      <c r="AD79" s="9">
        <f t="shared" si="31"/>
        <v>20</v>
      </c>
      <c r="AE79" s="9">
        <f t="shared" si="31"/>
        <v>20</v>
      </c>
      <c r="AG79" s="20">
        <v>6700</v>
      </c>
      <c r="AH79" s="9">
        <f t="shared" si="25"/>
        <v>20</v>
      </c>
      <c r="AI79" s="9">
        <f t="shared" si="32"/>
        <v>20</v>
      </c>
      <c r="AJ79" s="9">
        <f t="shared" si="26"/>
        <v>30</v>
      </c>
      <c r="AM79" s="21">
        <v>6700</v>
      </c>
      <c r="AN79" s="10">
        <v>-10</v>
      </c>
      <c r="AO79" s="10">
        <v>10</v>
      </c>
      <c r="AP79" s="10">
        <f t="shared" si="27"/>
        <v>20</v>
      </c>
      <c r="AQ79" s="10">
        <f t="shared" si="28"/>
        <v>30</v>
      </c>
      <c r="AT79" s="12">
        <v>6700</v>
      </c>
      <c r="AU79" s="79"/>
      <c r="AV79" s="67"/>
      <c r="AW79" s="67"/>
      <c r="AX79" s="67"/>
      <c r="AY79" s="67"/>
      <c r="AZ79" s="67"/>
    </row>
    <row r="80" spans="2:52" ht="16.5">
      <c r="B80" s="12">
        <v>7100</v>
      </c>
      <c r="C80" s="71"/>
      <c r="D80" s="71"/>
      <c r="E80" s="71"/>
      <c r="F80" s="74"/>
      <c r="G80" s="71"/>
      <c r="H80" s="71"/>
      <c r="J80" s="12">
        <v>7100</v>
      </c>
      <c r="K80" s="84"/>
      <c r="L80"/>
      <c r="M80"/>
      <c r="N80"/>
      <c r="Q80" s="19">
        <v>7100</v>
      </c>
      <c r="R80" s="8">
        <f t="shared" si="29"/>
        <v>20</v>
      </c>
      <c r="S80" s="8">
        <f t="shared" si="29"/>
        <v>20</v>
      </c>
      <c r="T80" s="8">
        <f t="shared" si="29"/>
        <v>20</v>
      </c>
      <c r="V80" s="19">
        <v>7100</v>
      </c>
      <c r="W80" s="8">
        <f t="shared" si="23"/>
        <v>20</v>
      </c>
      <c r="X80" s="8">
        <f t="shared" si="30"/>
        <v>20</v>
      </c>
      <c r="Y80" s="8">
        <f t="shared" si="24"/>
        <v>30</v>
      </c>
      <c r="AB80" s="20">
        <v>7100</v>
      </c>
      <c r="AC80" s="9">
        <f t="shared" si="31"/>
        <v>20</v>
      </c>
      <c r="AD80" s="9">
        <f t="shared" si="31"/>
        <v>20</v>
      </c>
      <c r="AE80" s="9">
        <f t="shared" si="31"/>
        <v>20</v>
      </c>
      <c r="AG80" s="20">
        <v>7100</v>
      </c>
      <c r="AH80" s="9">
        <f t="shared" si="25"/>
        <v>20</v>
      </c>
      <c r="AI80" s="9">
        <f t="shared" si="32"/>
        <v>20</v>
      </c>
      <c r="AJ80" s="9">
        <f t="shared" si="26"/>
        <v>30</v>
      </c>
      <c r="AM80" s="21">
        <v>7100</v>
      </c>
      <c r="AN80" s="10">
        <v>-10</v>
      </c>
      <c r="AP80" s="10">
        <f t="shared" si="27"/>
        <v>20</v>
      </c>
      <c r="AQ80" s="10">
        <f t="shared" si="28"/>
        <v>30</v>
      </c>
      <c r="AT80" s="12">
        <v>7100</v>
      </c>
      <c r="AU80" s="79"/>
      <c r="AV80" s="67"/>
      <c r="AW80" s="67"/>
      <c r="AX80" s="67"/>
      <c r="AY80" s="67"/>
      <c r="AZ80" s="67"/>
    </row>
    <row r="81" spans="2:80" ht="16.5">
      <c r="B81" s="12">
        <v>7500</v>
      </c>
      <c r="C81" s="71"/>
      <c r="D81" s="71"/>
      <c r="E81" s="71"/>
      <c r="F81" s="74"/>
      <c r="G81" s="71"/>
      <c r="H81" s="71"/>
      <c r="J81" s="12">
        <v>7500</v>
      </c>
      <c r="K81" s="84"/>
      <c r="L81"/>
      <c r="M81"/>
      <c r="N81"/>
      <c r="Q81" s="19">
        <v>7500</v>
      </c>
      <c r="R81" s="8">
        <f t="shared" si="29"/>
        <v>20</v>
      </c>
      <c r="S81" s="8">
        <f t="shared" si="29"/>
        <v>20</v>
      </c>
      <c r="T81" s="8">
        <f t="shared" si="29"/>
        <v>20</v>
      </c>
      <c r="V81" s="19">
        <v>7500</v>
      </c>
      <c r="W81" s="8">
        <f t="shared" si="23"/>
        <v>20</v>
      </c>
      <c r="X81" s="8">
        <f t="shared" si="30"/>
        <v>20</v>
      </c>
      <c r="Y81" s="8">
        <f t="shared" si="24"/>
        <v>30</v>
      </c>
      <c r="AB81" s="20">
        <v>7500</v>
      </c>
      <c r="AC81" s="9">
        <f t="shared" si="31"/>
        <v>20</v>
      </c>
      <c r="AD81" s="9">
        <f t="shared" si="31"/>
        <v>20</v>
      </c>
      <c r="AE81" s="9">
        <f t="shared" si="31"/>
        <v>20</v>
      </c>
      <c r="AG81" s="20">
        <v>7500</v>
      </c>
      <c r="AH81" s="9">
        <f t="shared" si="25"/>
        <v>20</v>
      </c>
      <c r="AI81" s="9">
        <f t="shared" si="32"/>
        <v>20</v>
      </c>
      <c r="AJ81" s="9">
        <f t="shared" si="26"/>
        <v>30</v>
      </c>
      <c r="AM81" s="21">
        <v>7500</v>
      </c>
      <c r="AN81" s="10">
        <v>-10</v>
      </c>
      <c r="AP81" s="10">
        <f t="shared" si="27"/>
        <v>20</v>
      </c>
      <c r="AQ81" s="10">
        <f t="shared" si="28"/>
        <v>30</v>
      </c>
      <c r="AT81" s="12">
        <v>7500</v>
      </c>
      <c r="AU81" s="79"/>
      <c r="AV81" s="67"/>
      <c r="AW81" s="67"/>
      <c r="AX81" s="67"/>
      <c r="AY81" s="67"/>
      <c r="AZ81" s="67"/>
    </row>
    <row r="82" spans="2:80" ht="16.5">
      <c r="B82" s="12">
        <v>8000</v>
      </c>
      <c r="C82" s="71"/>
      <c r="D82" s="71"/>
      <c r="E82" s="71"/>
      <c r="F82" s="74"/>
      <c r="G82" s="71"/>
      <c r="H82" s="71"/>
      <c r="J82" s="12">
        <v>8000</v>
      </c>
      <c r="K82" s="84"/>
      <c r="L82"/>
      <c r="M82"/>
      <c r="N82"/>
      <c r="Q82" s="19">
        <v>8000</v>
      </c>
      <c r="R82" s="8">
        <f t="shared" si="29"/>
        <v>20</v>
      </c>
      <c r="S82" s="8">
        <f t="shared" si="29"/>
        <v>20</v>
      </c>
      <c r="T82" s="8">
        <f t="shared" si="29"/>
        <v>20</v>
      </c>
      <c r="V82" s="19">
        <v>8000</v>
      </c>
      <c r="W82" s="8">
        <f t="shared" si="23"/>
        <v>20</v>
      </c>
      <c r="X82" s="8">
        <f t="shared" si="30"/>
        <v>20</v>
      </c>
      <c r="Y82" s="8">
        <f t="shared" si="24"/>
        <v>30</v>
      </c>
      <c r="AB82" s="20">
        <v>8000</v>
      </c>
      <c r="AC82" s="9">
        <f t="shared" si="31"/>
        <v>20</v>
      </c>
      <c r="AD82" s="9">
        <f t="shared" si="31"/>
        <v>20</v>
      </c>
      <c r="AE82" s="9">
        <f t="shared" si="31"/>
        <v>20</v>
      </c>
      <c r="AG82" s="20">
        <v>8000</v>
      </c>
      <c r="AH82" s="9">
        <f t="shared" si="25"/>
        <v>20</v>
      </c>
      <c r="AI82" s="9">
        <f t="shared" si="32"/>
        <v>20</v>
      </c>
      <c r="AJ82" s="9">
        <f t="shared" si="26"/>
        <v>30</v>
      </c>
      <c r="AM82" s="21">
        <v>8000</v>
      </c>
      <c r="AN82" s="10">
        <v>-10</v>
      </c>
      <c r="AO82" s="10">
        <v>10</v>
      </c>
      <c r="AP82" s="10">
        <f t="shared" si="27"/>
        <v>20</v>
      </c>
      <c r="AQ82" s="10">
        <f t="shared" si="28"/>
        <v>30</v>
      </c>
      <c r="AT82" s="12">
        <v>8000</v>
      </c>
      <c r="AU82" s="79"/>
      <c r="AV82" s="67"/>
      <c r="AW82" s="67"/>
      <c r="AX82" s="67"/>
      <c r="AY82" s="67"/>
      <c r="AZ82" s="67"/>
    </row>
    <row r="83" spans="2:80" ht="16.5">
      <c r="B83" s="12">
        <v>8500</v>
      </c>
      <c r="C83" s="71"/>
      <c r="D83" s="71"/>
      <c r="E83" s="71"/>
      <c r="F83" s="74"/>
      <c r="G83" s="71"/>
      <c r="H83" s="71"/>
      <c r="J83" s="12">
        <v>8500</v>
      </c>
      <c r="K83" s="84"/>
      <c r="L83"/>
      <c r="M83"/>
      <c r="N83"/>
      <c r="Q83" s="19">
        <v>8500</v>
      </c>
      <c r="R83" s="8">
        <f t="shared" si="29"/>
        <v>20</v>
      </c>
      <c r="S83" s="8">
        <f t="shared" si="29"/>
        <v>20</v>
      </c>
      <c r="T83" s="8">
        <f t="shared" si="29"/>
        <v>20</v>
      </c>
      <c r="V83" s="19">
        <v>8500</v>
      </c>
      <c r="W83" s="8">
        <f t="shared" si="23"/>
        <v>20</v>
      </c>
      <c r="X83" s="8">
        <f t="shared" si="30"/>
        <v>20</v>
      </c>
      <c r="Y83" s="8">
        <f t="shared" si="24"/>
        <v>30</v>
      </c>
      <c r="AB83" s="20">
        <v>8500</v>
      </c>
      <c r="AC83" s="9">
        <f t="shared" si="31"/>
        <v>20</v>
      </c>
      <c r="AD83" s="9">
        <f t="shared" si="31"/>
        <v>20</v>
      </c>
      <c r="AE83" s="9">
        <f t="shared" si="31"/>
        <v>20</v>
      </c>
      <c r="AG83" s="20">
        <v>8500</v>
      </c>
      <c r="AH83" s="9">
        <f t="shared" si="25"/>
        <v>20</v>
      </c>
      <c r="AI83" s="9">
        <f t="shared" si="32"/>
        <v>20</v>
      </c>
      <c r="AJ83" s="9">
        <f t="shared" si="26"/>
        <v>30</v>
      </c>
      <c r="AM83" s="21">
        <v>8500</v>
      </c>
      <c r="AN83" s="10">
        <v>-10</v>
      </c>
      <c r="AP83" s="10">
        <f t="shared" si="27"/>
        <v>20</v>
      </c>
      <c r="AQ83" s="10">
        <f t="shared" si="28"/>
        <v>30</v>
      </c>
      <c r="AT83" s="12">
        <v>8500</v>
      </c>
      <c r="AU83" s="79"/>
      <c r="AV83" s="67"/>
      <c r="AW83" s="67"/>
      <c r="AX83" s="67"/>
      <c r="AY83" s="67"/>
      <c r="AZ83" s="67"/>
    </row>
    <row r="84" spans="2:80" ht="16.5">
      <c r="B84" s="12">
        <v>9000</v>
      </c>
      <c r="C84" s="71"/>
      <c r="D84" s="71"/>
      <c r="E84" s="71"/>
      <c r="F84" s="74"/>
      <c r="G84" s="71"/>
      <c r="H84" s="71"/>
      <c r="J84" s="12">
        <v>9000</v>
      </c>
      <c r="K84" s="84"/>
      <c r="L84"/>
      <c r="M84"/>
      <c r="N84"/>
      <c r="Q84" s="19">
        <v>9000</v>
      </c>
      <c r="R84" s="8">
        <f t="shared" si="29"/>
        <v>20</v>
      </c>
      <c r="S84" s="8">
        <f t="shared" si="29"/>
        <v>20</v>
      </c>
      <c r="T84" s="8">
        <f t="shared" si="29"/>
        <v>20</v>
      </c>
      <c r="V84" s="19">
        <v>9000</v>
      </c>
      <c r="W84" s="8">
        <f t="shared" si="23"/>
        <v>20</v>
      </c>
      <c r="X84" s="8">
        <f t="shared" si="30"/>
        <v>20</v>
      </c>
      <c r="Y84" s="8">
        <f t="shared" si="24"/>
        <v>30</v>
      </c>
      <c r="AB84" s="20">
        <v>9000</v>
      </c>
      <c r="AC84" s="9">
        <f t="shared" si="31"/>
        <v>20</v>
      </c>
      <c r="AD84" s="9">
        <f t="shared" si="31"/>
        <v>20</v>
      </c>
      <c r="AE84" s="9">
        <f t="shared" si="31"/>
        <v>20</v>
      </c>
      <c r="AG84" s="20">
        <v>9000</v>
      </c>
      <c r="AH84" s="9">
        <f t="shared" si="25"/>
        <v>20</v>
      </c>
      <c r="AI84" s="9">
        <f t="shared" si="32"/>
        <v>20</v>
      </c>
      <c r="AJ84" s="9">
        <f t="shared" si="26"/>
        <v>30</v>
      </c>
      <c r="AM84" s="21">
        <v>9000</v>
      </c>
      <c r="AN84" s="10">
        <v>-10</v>
      </c>
      <c r="AP84" s="10">
        <f t="shared" si="27"/>
        <v>20</v>
      </c>
      <c r="AQ84" s="10">
        <f t="shared" si="28"/>
        <v>30</v>
      </c>
      <c r="AT84" s="12">
        <v>9000</v>
      </c>
      <c r="AU84" s="79"/>
      <c r="AV84" s="67"/>
      <c r="AW84" s="67"/>
      <c r="AX84" s="67"/>
      <c r="AY84" s="67"/>
      <c r="AZ84" s="67"/>
    </row>
    <row r="85" spans="2:80" ht="16.5">
      <c r="B85" s="12">
        <v>9500</v>
      </c>
      <c r="C85" s="71"/>
      <c r="D85" s="71"/>
      <c r="E85" s="71"/>
      <c r="F85" s="74"/>
      <c r="G85" s="71"/>
      <c r="H85" s="71"/>
      <c r="J85" s="12">
        <v>9500</v>
      </c>
      <c r="K85" s="84"/>
      <c r="L85"/>
      <c r="M85"/>
      <c r="N85"/>
      <c r="Q85" s="19">
        <v>9500</v>
      </c>
      <c r="R85" s="8">
        <f t="shared" si="29"/>
        <v>20</v>
      </c>
      <c r="S85" s="8">
        <f t="shared" si="29"/>
        <v>20</v>
      </c>
      <c r="T85" s="8">
        <f t="shared" si="29"/>
        <v>20</v>
      </c>
      <c r="V85" s="19">
        <v>9500</v>
      </c>
      <c r="W85" s="8">
        <f t="shared" si="23"/>
        <v>20</v>
      </c>
      <c r="X85" s="8">
        <f t="shared" si="30"/>
        <v>20</v>
      </c>
      <c r="Y85" s="8">
        <f t="shared" si="24"/>
        <v>30</v>
      </c>
      <c r="AB85" s="20">
        <v>9500</v>
      </c>
      <c r="AC85" s="9">
        <f t="shared" si="31"/>
        <v>20</v>
      </c>
      <c r="AD85" s="9">
        <f t="shared" si="31"/>
        <v>20</v>
      </c>
      <c r="AE85" s="9">
        <f t="shared" si="31"/>
        <v>20</v>
      </c>
      <c r="AG85" s="20">
        <v>9500</v>
      </c>
      <c r="AH85" s="9">
        <f t="shared" si="25"/>
        <v>20</v>
      </c>
      <c r="AI85" s="9">
        <f t="shared" si="32"/>
        <v>20</v>
      </c>
      <c r="AJ85" s="9">
        <f t="shared" si="26"/>
        <v>30</v>
      </c>
      <c r="AM85" s="21">
        <v>9500</v>
      </c>
      <c r="AN85" s="10">
        <v>-10</v>
      </c>
      <c r="AO85" s="10">
        <v>10</v>
      </c>
      <c r="AP85" s="10">
        <f t="shared" si="27"/>
        <v>20</v>
      </c>
      <c r="AQ85" s="10">
        <f t="shared" si="28"/>
        <v>30</v>
      </c>
      <c r="AT85" s="12">
        <v>9500</v>
      </c>
      <c r="AU85" s="79"/>
      <c r="AV85" s="67"/>
      <c r="AW85" s="67"/>
      <c r="AX85" s="67"/>
      <c r="AY85" s="67"/>
      <c r="AZ85" s="67"/>
    </row>
    <row r="86" spans="2:80" ht="16.5">
      <c r="B86" s="12">
        <v>10000</v>
      </c>
      <c r="C86" s="71"/>
      <c r="D86" s="71"/>
      <c r="E86" s="71"/>
      <c r="F86" s="74"/>
      <c r="G86" s="71"/>
      <c r="H86" s="71"/>
      <c r="J86" s="12">
        <v>10000</v>
      </c>
      <c r="K86" s="84"/>
      <c r="L86"/>
      <c r="M86"/>
      <c r="N86"/>
      <c r="Q86" s="19">
        <v>10000</v>
      </c>
      <c r="R86" s="8">
        <f t="shared" si="29"/>
        <v>20</v>
      </c>
      <c r="S86" s="8">
        <f t="shared" si="29"/>
        <v>20</v>
      </c>
      <c r="T86" s="8">
        <f t="shared" si="29"/>
        <v>20</v>
      </c>
      <c r="V86" s="19">
        <v>10000</v>
      </c>
      <c r="W86" s="8">
        <f t="shared" si="23"/>
        <v>20</v>
      </c>
      <c r="X86" s="8">
        <f t="shared" si="30"/>
        <v>20</v>
      </c>
      <c r="Y86" s="8">
        <f t="shared" si="24"/>
        <v>30</v>
      </c>
      <c r="AB86" s="20">
        <v>10000</v>
      </c>
      <c r="AC86" s="9">
        <f t="shared" si="31"/>
        <v>20</v>
      </c>
      <c r="AD86" s="9">
        <f t="shared" si="31"/>
        <v>20</v>
      </c>
      <c r="AE86" s="9">
        <f t="shared" si="31"/>
        <v>20</v>
      </c>
      <c r="AG86" s="20">
        <v>10000</v>
      </c>
      <c r="AH86" s="9">
        <f t="shared" si="25"/>
        <v>20</v>
      </c>
      <c r="AI86" s="9">
        <f t="shared" si="32"/>
        <v>20</v>
      </c>
      <c r="AJ86" s="9">
        <f t="shared" si="26"/>
        <v>30</v>
      </c>
      <c r="AM86" s="21">
        <v>10000</v>
      </c>
      <c r="AN86" s="10">
        <v>-10</v>
      </c>
      <c r="AP86" s="10">
        <f t="shared" si="27"/>
        <v>20</v>
      </c>
      <c r="AQ86" s="10">
        <f t="shared" si="28"/>
        <v>30</v>
      </c>
      <c r="AT86" s="12">
        <v>10000</v>
      </c>
      <c r="AU86" s="79"/>
      <c r="AV86" s="67"/>
      <c r="AW86" s="67"/>
      <c r="AX86" s="67"/>
      <c r="AY86" s="67"/>
      <c r="AZ86" s="67"/>
    </row>
    <row r="88" spans="2:80">
      <c r="C88" s="11">
        <f>MAX(C6:E86)</f>
        <v>0</v>
      </c>
      <c r="F88" s="11">
        <f>MAX(F6:H86)</f>
        <v>0</v>
      </c>
      <c r="K88" s="11" t="s">
        <v>158</v>
      </c>
      <c r="L88" s="11" t="s">
        <v>158</v>
      </c>
      <c r="AR88" s="10"/>
      <c r="AT88" s="16"/>
      <c r="AU88" s="11">
        <f>MAX(AU6:AW86)</f>
        <v>0</v>
      </c>
      <c r="AX88" s="11">
        <f>MAX(AX6:AZ86)</f>
        <v>0</v>
      </c>
      <c r="AY88" s="16"/>
      <c r="AZ88" s="16"/>
      <c r="CA88" s="16"/>
      <c r="CB88" s="16"/>
    </row>
    <row r="89" spans="2:80">
      <c r="K89" s="11">
        <v>11.881</v>
      </c>
      <c r="L89" s="11">
        <v>11.881</v>
      </c>
    </row>
    <row r="90" spans="2:80">
      <c r="K90" s="11">
        <v>8.76</v>
      </c>
      <c r="L90" s="11">
        <v>8.76</v>
      </c>
    </row>
    <row r="91" spans="2:80">
      <c r="K91" s="11">
        <v>6.5140000000000002</v>
      </c>
      <c r="L91" s="11">
        <v>6.5140000000000002</v>
      </c>
    </row>
    <row r="92" spans="2:80">
      <c r="K92" s="11">
        <v>6.8550000000000004</v>
      </c>
      <c r="L92" s="11">
        <v>6.8550000000000004</v>
      </c>
    </row>
    <row r="93" spans="2:80">
      <c r="K93" s="11">
        <v>8.6539999999999999</v>
      </c>
      <c r="L93" s="11">
        <v>8.6539999999999999</v>
      </c>
    </row>
    <row r="94" spans="2:80">
      <c r="K94" s="11">
        <v>17.741</v>
      </c>
      <c r="L94" s="11">
        <v>17.741</v>
      </c>
    </row>
    <row r="95" spans="2:80">
      <c r="K95" s="11">
        <v>31.66</v>
      </c>
      <c r="L95" s="11">
        <v>31.66</v>
      </c>
    </row>
    <row r="96" spans="2:80">
      <c r="K96" s="11">
        <v>32.92</v>
      </c>
      <c r="L96" s="11">
        <v>32.92</v>
      </c>
    </row>
    <row r="97" spans="11:12">
      <c r="K97" s="11">
        <v>31.78</v>
      </c>
      <c r="L97" s="11">
        <v>31.78</v>
      </c>
    </row>
    <row r="98" spans="11:12">
      <c r="K98" s="11">
        <v>19.960999999999999</v>
      </c>
      <c r="L98" s="11">
        <v>19.960999999999999</v>
      </c>
    </row>
    <row r="99" spans="11:12">
      <c r="K99" s="11">
        <v>9.3350000000000009</v>
      </c>
      <c r="L99" s="11">
        <v>9.3350000000000009</v>
      </c>
    </row>
    <row r="100" spans="11:12">
      <c r="K100" s="11">
        <v>13.329000000000001</v>
      </c>
      <c r="L100" s="11">
        <v>13.329000000000001</v>
      </c>
    </row>
    <row r="101" spans="11:12">
      <c r="K101" s="11">
        <v>13.79</v>
      </c>
      <c r="L101" s="11">
        <v>13.79</v>
      </c>
    </row>
    <row r="102" spans="11:12">
      <c r="K102" s="11">
        <v>12.384</v>
      </c>
      <c r="L102" s="11">
        <v>12.384</v>
      </c>
    </row>
    <row r="103" spans="11:12">
      <c r="K103" s="11">
        <v>14.289</v>
      </c>
      <c r="L103" s="11">
        <v>14.289</v>
      </c>
    </row>
    <row r="104" spans="11:12">
      <c r="K104" s="11">
        <v>20.722000000000001</v>
      </c>
      <c r="L104" s="11">
        <v>20.722000000000001</v>
      </c>
    </row>
    <row r="105" spans="11:12">
      <c r="K105" s="11">
        <v>19.846</v>
      </c>
      <c r="L105" s="11">
        <v>19.846</v>
      </c>
    </row>
    <row r="106" spans="11:12">
      <c r="K106" s="11">
        <v>20.402999999999999</v>
      </c>
      <c r="L106" s="11">
        <v>20.402999999999999</v>
      </c>
    </row>
    <row r="107" spans="11:12">
      <c r="K107" s="11">
        <v>14.987</v>
      </c>
      <c r="L107" s="11">
        <v>14.987</v>
      </c>
    </row>
    <row r="108" spans="11:12">
      <c r="K108" s="11">
        <v>16.187000000000001</v>
      </c>
      <c r="L108" s="11">
        <v>16.187000000000001</v>
      </c>
    </row>
    <row r="109" spans="11:12">
      <c r="K109" s="11">
        <v>20.305</v>
      </c>
      <c r="L109" s="11">
        <v>20.305</v>
      </c>
    </row>
    <row r="110" spans="11:12">
      <c r="K110" s="11">
        <v>22.718</v>
      </c>
      <c r="L110" s="11">
        <v>22.718</v>
      </c>
    </row>
    <row r="111" spans="11:12">
      <c r="K111" s="11">
        <v>24.550999999999998</v>
      </c>
      <c r="L111" s="11">
        <v>24.550999999999998</v>
      </c>
    </row>
    <row r="112" spans="11:12">
      <c r="K112" s="11">
        <v>22.109000000000002</v>
      </c>
      <c r="L112" s="11">
        <v>22.109000000000002</v>
      </c>
    </row>
    <row r="113" spans="11:12">
      <c r="K113" s="11">
        <v>15.401</v>
      </c>
      <c r="L113" s="11">
        <v>15.401</v>
      </c>
    </row>
    <row r="114" spans="11:12">
      <c r="K114" s="11">
        <v>22.251000000000001</v>
      </c>
      <c r="L114" s="11">
        <v>22.251000000000001</v>
      </c>
    </row>
    <row r="115" spans="11:12">
      <c r="K115" s="11">
        <v>24.312000000000001</v>
      </c>
      <c r="L115" s="11">
        <v>24.312000000000001</v>
      </c>
    </row>
    <row r="116" spans="11:12">
      <c r="K116" s="11">
        <v>24.151</v>
      </c>
      <c r="L116" s="11">
        <v>24.151</v>
      </c>
    </row>
    <row r="117" spans="11:12">
      <c r="K117" s="11">
        <v>23.745999999999999</v>
      </c>
      <c r="L117" s="11">
        <v>23.745999999999999</v>
      </c>
    </row>
    <row r="118" spans="11:12">
      <c r="K118" s="11">
        <v>24.975000000000001</v>
      </c>
      <c r="L118" s="11">
        <v>24.975000000000001</v>
      </c>
    </row>
    <row r="119" spans="11:12">
      <c r="K119" s="11">
        <v>25.131</v>
      </c>
      <c r="L119" s="11">
        <v>25.131</v>
      </c>
    </row>
    <row r="120" spans="11:12">
      <c r="K120" s="11">
        <v>26.06</v>
      </c>
      <c r="L120" s="11">
        <v>26.06</v>
      </c>
    </row>
    <row r="121" spans="11:12">
      <c r="K121" s="11">
        <v>22.916</v>
      </c>
      <c r="L121" s="11">
        <v>22.916</v>
      </c>
    </row>
    <row r="122" spans="11:12">
      <c r="K122" s="11">
        <v>23.832000000000001</v>
      </c>
      <c r="L122" s="11">
        <v>23.832000000000001</v>
      </c>
    </row>
    <row r="123" spans="11:12">
      <c r="K123" s="11">
        <v>23.611000000000001</v>
      </c>
      <c r="L123" s="11">
        <v>23.611000000000001</v>
      </c>
    </row>
    <row r="124" spans="11:12">
      <c r="K124" s="11">
        <v>20.37</v>
      </c>
      <c r="L124" s="11">
        <v>20.37</v>
      </c>
    </row>
    <row r="125" spans="11:12">
      <c r="K125" s="11">
        <v>22.321000000000002</v>
      </c>
      <c r="L125" s="11">
        <v>22.321000000000002</v>
      </c>
    </row>
    <row r="126" spans="11:12">
      <c r="K126" s="11">
        <v>23.102</v>
      </c>
      <c r="L126" s="11">
        <v>23.102</v>
      </c>
    </row>
    <row r="127" spans="11:12">
      <c r="K127" s="11">
        <v>24.065999999999999</v>
      </c>
      <c r="L127" s="11">
        <v>24.065999999999999</v>
      </c>
    </row>
    <row r="128" spans="11:12">
      <c r="K128" s="11">
        <v>24.297000000000001</v>
      </c>
      <c r="L128" s="11">
        <v>24.297000000000001</v>
      </c>
    </row>
    <row r="129" spans="11:12">
      <c r="K129" s="11">
        <v>24.593</v>
      </c>
      <c r="L129" s="11">
        <v>24.593</v>
      </c>
    </row>
    <row r="130" spans="11:12">
      <c r="K130" s="11">
        <v>24.638999999999999</v>
      </c>
      <c r="L130" s="11">
        <v>24.638999999999999</v>
      </c>
    </row>
    <row r="131" spans="11:12">
      <c r="K131" s="11">
        <v>25.405999999999999</v>
      </c>
      <c r="L131" s="11">
        <v>25.405999999999999</v>
      </c>
    </row>
    <row r="132" spans="11:12">
      <c r="K132" s="11">
        <v>24.933</v>
      </c>
      <c r="L132" s="11">
        <v>24.933</v>
      </c>
    </row>
    <row r="133" spans="11:12">
      <c r="K133" s="11">
        <v>26.062000000000001</v>
      </c>
      <c r="L133" s="11">
        <v>26.062000000000001</v>
      </c>
    </row>
    <row r="134" spans="11:12">
      <c r="K134" s="11">
        <v>25.966000000000001</v>
      </c>
      <c r="L134" s="11">
        <v>25.966000000000001</v>
      </c>
    </row>
    <row r="135" spans="11:12">
      <c r="K135" s="11">
        <v>25.727</v>
      </c>
      <c r="L135" s="11">
        <v>25.727</v>
      </c>
    </row>
    <row r="136" spans="11:12">
      <c r="K136" s="11">
        <v>26.606000000000002</v>
      </c>
      <c r="L136" s="11">
        <v>26.606000000000002</v>
      </c>
    </row>
    <row r="137" spans="11:12">
      <c r="K137" s="11">
        <v>27.356999999999999</v>
      </c>
      <c r="L137" s="11">
        <v>27.356999999999999</v>
      </c>
    </row>
    <row r="138" spans="11:12">
      <c r="K138" s="11">
        <v>27.53</v>
      </c>
      <c r="L138" s="11">
        <v>27.53</v>
      </c>
    </row>
    <row r="139" spans="11:12">
      <c r="K139" s="11">
        <v>27.815999999999999</v>
      </c>
      <c r="L139" s="11">
        <v>27.815999999999999</v>
      </c>
    </row>
    <row r="140" spans="11:12">
      <c r="K140" s="11">
        <v>28.026</v>
      </c>
      <c r="L140" s="11">
        <v>28.026</v>
      </c>
    </row>
    <row r="141" spans="11:12">
      <c r="K141" s="11">
        <v>28.523</v>
      </c>
      <c r="L141" s="11">
        <v>28.523</v>
      </c>
    </row>
    <row r="142" spans="11:12">
      <c r="K142" s="11">
        <v>28.326000000000001</v>
      </c>
      <c r="L142" s="11">
        <v>28.326000000000001</v>
      </c>
    </row>
    <row r="143" spans="11:12">
      <c r="K143" s="11">
        <v>28.49</v>
      </c>
      <c r="L143" s="11">
        <v>28.49</v>
      </c>
    </row>
    <row r="144" spans="11:12">
      <c r="K144" s="11">
        <v>28.832999999999998</v>
      </c>
      <c r="L144" s="11">
        <v>28.832999999999998</v>
      </c>
    </row>
    <row r="145" spans="11:12">
      <c r="K145" s="11">
        <v>29.292000000000002</v>
      </c>
      <c r="L145" s="11">
        <v>29.292000000000002</v>
      </c>
    </row>
    <row r="146" spans="11:12">
      <c r="K146" s="11">
        <v>29.89</v>
      </c>
      <c r="L146" s="11">
        <v>29.89</v>
      </c>
    </row>
    <row r="147" spans="11:12">
      <c r="K147" s="11">
        <v>30.478000000000002</v>
      </c>
      <c r="L147" s="11">
        <v>30.478000000000002</v>
      </c>
    </row>
    <row r="148" spans="11:12">
      <c r="K148" s="11">
        <v>29.628</v>
      </c>
      <c r="L148" s="11">
        <v>29.628</v>
      </c>
    </row>
    <row r="149" spans="11:12">
      <c r="K149" s="11">
        <v>28.475999999999999</v>
      </c>
      <c r="L149" s="11">
        <v>28.475999999999999</v>
      </c>
    </row>
    <row r="150" spans="11:12">
      <c r="K150" s="11">
        <v>31.68</v>
      </c>
      <c r="L150" s="11">
        <v>31.68</v>
      </c>
    </row>
    <row r="151" spans="11:12">
      <c r="K151" s="11">
        <v>32.590000000000003</v>
      </c>
      <c r="L151" s="11">
        <v>32.590000000000003</v>
      </c>
    </row>
    <row r="152" spans="11:12">
      <c r="K152" s="11">
        <v>31.87</v>
      </c>
      <c r="L152" s="11">
        <v>31.87</v>
      </c>
    </row>
    <row r="153" spans="11:12">
      <c r="K153" s="11">
        <v>31.71</v>
      </c>
      <c r="L153" s="11">
        <v>31.71</v>
      </c>
    </row>
    <row r="154" spans="11:12">
      <c r="K154" s="11">
        <v>32.07</v>
      </c>
      <c r="L154" s="11">
        <v>32.07</v>
      </c>
    </row>
    <row r="155" spans="11:12">
      <c r="K155" s="11">
        <v>32.03</v>
      </c>
      <c r="L155" s="11">
        <v>32.03</v>
      </c>
    </row>
    <row r="156" spans="11:12">
      <c r="K156" s="11">
        <v>32.01</v>
      </c>
      <c r="L156" s="11">
        <v>32.01</v>
      </c>
    </row>
    <row r="157" spans="11:12">
      <c r="K157" s="11">
        <v>32.909999999999997</v>
      </c>
      <c r="L157" s="11">
        <v>32.909999999999997</v>
      </c>
    </row>
    <row r="158" spans="11:12">
      <c r="K158" s="11">
        <v>32.979999999999997</v>
      </c>
      <c r="L158" s="11">
        <v>32.979999999999997</v>
      </c>
    </row>
    <row r="159" spans="11:12">
      <c r="K159" s="11">
        <v>32.69</v>
      </c>
      <c r="L159" s="11">
        <v>32.69</v>
      </c>
    </row>
    <row r="160" spans="11:12">
      <c r="K160" s="11">
        <v>32.94</v>
      </c>
      <c r="L160" s="11">
        <v>32.94</v>
      </c>
    </row>
    <row r="161" spans="11:12">
      <c r="K161" s="11">
        <v>33.21</v>
      </c>
      <c r="L161" s="11">
        <v>33.21</v>
      </c>
    </row>
    <row r="162" spans="11:12">
      <c r="K162" s="11">
        <v>33.36</v>
      </c>
      <c r="L162" s="11">
        <v>33.36</v>
      </c>
    </row>
    <row r="163" spans="11:12">
      <c r="K163" s="11">
        <v>33.380000000000003</v>
      </c>
      <c r="L163" s="11">
        <v>33.380000000000003</v>
      </c>
    </row>
    <row r="164" spans="11:12">
      <c r="K164" s="11">
        <v>33.6</v>
      </c>
      <c r="L164" s="11">
        <v>33.6</v>
      </c>
    </row>
    <row r="165" spans="11:12">
      <c r="K165" s="11">
        <v>33.57</v>
      </c>
      <c r="L165" s="11">
        <v>33.57</v>
      </c>
    </row>
    <row r="166" spans="11:12">
      <c r="K166" s="11">
        <v>33.840000000000003</v>
      </c>
      <c r="L166" s="11">
        <v>33.840000000000003</v>
      </c>
    </row>
    <row r="167" spans="11:12">
      <c r="K167" s="11">
        <v>33.82</v>
      </c>
      <c r="L167" s="11">
        <v>33.82</v>
      </c>
    </row>
    <row r="168" spans="11:12">
      <c r="K168" s="11">
        <v>34</v>
      </c>
      <c r="L168" s="11">
        <v>34</v>
      </c>
    </row>
    <row r="169" spans="11:12">
      <c r="K169" s="11">
        <v>33.96</v>
      </c>
      <c r="L169" s="11">
        <v>33.96</v>
      </c>
    </row>
    <row r="170" spans="11:12">
      <c r="K170" s="11" t="s">
        <v>158</v>
      </c>
      <c r="L170" s="11" t="s">
        <v>158</v>
      </c>
    </row>
    <row r="171" spans="11:12">
      <c r="K171" s="11">
        <v>14.513</v>
      </c>
      <c r="L171" s="11">
        <v>14.513</v>
      </c>
    </row>
    <row r="172" spans="11:12">
      <c r="K172" s="11">
        <v>7.9649999999999999</v>
      </c>
      <c r="L172" s="11">
        <v>7.9649999999999999</v>
      </c>
    </row>
    <row r="173" spans="11:12">
      <c r="K173" s="11">
        <v>10.039999999999999</v>
      </c>
      <c r="L173" s="11">
        <v>10.039999999999999</v>
      </c>
    </row>
    <row r="174" spans="11:12">
      <c r="K174" s="11">
        <v>4.1449999999999996</v>
      </c>
      <c r="L174" s="11">
        <v>4.1449999999999996</v>
      </c>
    </row>
    <row r="175" spans="11:12">
      <c r="K175" s="11">
        <v>9.984</v>
      </c>
      <c r="L175" s="11">
        <v>9.984</v>
      </c>
    </row>
    <row r="176" spans="11:12">
      <c r="K176" s="11">
        <v>16.757999999999999</v>
      </c>
      <c r="L176" s="11">
        <v>16.757999999999999</v>
      </c>
    </row>
    <row r="177" spans="11:12">
      <c r="K177" s="11">
        <v>31.61</v>
      </c>
      <c r="L177" s="11">
        <v>31.61</v>
      </c>
    </row>
    <row r="178" spans="11:12">
      <c r="K178" s="11">
        <v>32.340000000000003</v>
      </c>
      <c r="L178" s="11">
        <v>32.340000000000003</v>
      </c>
    </row>
    <row r="179" spans="11:12">
      <c r="K179" s="11">
        <v>31.88</v>
      </c>
      <c r="L179" s="11">
        <v>31.88</v>
      </c>
    </row>
    <row r="180" spans="11:12">
      <c r="K180" s="11">
        <v>20.681000000000001</v>
      </c>
      <c r="L180" s="11">
        <v>20.681000000000001</v>
      </c>
    </row>
    <row r="181" spans="11:12">
      <c r="K181" s="11">
        <v>10.362</v>
      </c>
      <c r="L181" s="11">
        <v>10.362</v>
      </c>
    </row>
    <row r="182" spans="11:12">
      <c r="K182" s="11">
        <v>12.704000000000001</v>
      </c>
      <c r="L182" s="11">
        <v>12.704000000000001</v>
      </c>
    </row>
    <row r="183" spans="11:12">
      <c r="K183" s="11">
        <v>13.821999999999999</v>
      </c>
      <c r="L183" s="11">
        <v>13.821999999999999</v>
      </c>
    </row>
    <row r="184" spans="11:12">
      <c r="K184" s="11">
        <v>11.457000000000001</v>
      </c>
      <c r="L184" s="11">
        <v>11.457000000000001</v>
      </c>
    </row>
    <row r="185" spans="11:12">
      <c r="K185" s="11">
        <v>13.863</v>
      </c>
      <c r="L185" s="11">
        <v>13.863</v>
      </c>
    </row>
    <row r="186" spans="11:12">
      <c r="K186" s="11">
        <v>21.213999999999999</v>
      </c>
      <c r="L186" s="11">
        <v>21.213999999999999</v>
      </c>
    </row>
    <row r="187" spans="11:12">
      <c r="K187" s="11">
        <v>23.663</v>
      </c>
      <c r="L187" s="11">
        <v>23.663</v>
      </c>
    </row>
    <row r="188" spans="11:12">
      <c r="K188" s="11">
        <v>21.295999999999999</v>
      </c>
      <c r="L188" s="11">
        <v>21.295999999999999</v>
      </c>
    </row>
    <row r="189" spans="11:12">
      <c r="K189" s="11">
        <v>14.651</v>
      </c>
      <c r="L189" s="11">
        <v>14.651</v>
      </c>
    </row>
    <row r="190" spans="11:12">
      <c r="K190" s="11">
        <v>16.155999999999999</v>
      </c>
      <c r="L190" s="11">
        <v>16.155999999999999</v>
      </c>
    </row>
    <row r="191" spans="11:12">
      <c r="K191" s="11">
        <v>18.655000000000001</v>
      </c>
      <c r="L191" s="11">
        <v>18.655000000000001</v>
      </c>
    </row>
    <row r="192" spans="11:12">
      <c r="K192" s="11">
        <v>21.713999999999999</v>
      </c>
      <c r="L192" s="11">
        <v>21.713999999999999</v>
      </c>
    </row>
    <row r="193" spans="11:12">
      <c r="K193" s="11">
        <v>21.745000000000001</v>
      </c>
      <c r="L193" s="11">
        <v>21.745000000000001</v>
      </c>
    </row>
    <row r="194" spans="11:12">
      <c r="K194" s="11">
        <v>20.704999999999998</v>
      </c>
      <c r="L194" s="11">
        <v>20.704999999999998</v>
      </c>
    </row>
    <row r="195" spans="11:12">
      <c r="K195" s="11">
        <v>16.547999999999998</v>
      </c>
      <c r="L195" s="11">
        <v>16.547999999999998</v>
      </c>
    </row>
    <row r="196" spans="11:12">
      <c r="K196" s="11">
        <v>22.452999999999999</v>
      </c>
      <c r="L196" s="11">
        <v>22.452999999999999</v>
      </c>
    </row>
    <row r="197" spans="11:12">
      <c r="K197" s="11">
        <v>23.271000000000001</v>
      </c>
      <c r="L197" s="11">
        <v>23.271000000000001</v>
      </c>
    </row>
    <row r="198" spans="11:12">
      <c r="K198" s="11">
        <v>22.73</v>
      </c>
      <c r="L198" s="11">
        <v>22.73</v>
      </c>
    </row>
    <row r="199" spans="11:12">
      <c r="K199" s="11">
        <v>23.981000000000002</v>
      </c>
      <c r="L199" s="11">
        <v>23.981000000000002</v>
      </c>
    </row>
    <row r="200" spans="11:12">
      <c r="K200" s="11">
        <v>24.734999999999999</v>
      </c>
      <c r="L200" s="11">
        <v>24.734999999999999</v>
      </c>
    </row>
    <row r="201" spans="11:12">
      <c r="K201" s="11">
        <v>24.131</v>
      </c>
      <c r="L201" s="11">
        <v>24.131</v>
      </c>
    </row>
    <row r="202" spans="11:12">
      <c r="K202" s="11">
        <v>26.196000000000002</v>
      </c>
      <c r="L202" s="11">
        <v>26.196000000000002</v>
      </c>
    </row>
    <row r="203" spans="11:12">
      <c r="K203" s="11">
        <v>23.209</v>
      </c>
      <c r="L203" s="11">
        <v>23.209</v>
      </c>
    </row>
    <row r="204" spans="11:12">
      <c r="K204" s="11">
        <v>23.032</v>
      </c>
      <c r="L204" s="11">
        <v>23.032</v>
      </c>
    </row>
    <row r="205" spans="11:12">
      <c r="K205" s="11">
        <v>24.474</v>
      </c>
      <c r="L205" s="11">
        <v>24.474</v>
      </c>
    </row>
    <row r="206" spans="11:12">
      <c r="K206" s="11">
        <v>19.79</v>
      </c>
      <c r="L206" s="11">
        <v>19.79</v>
      </c>
    </row>
    <row r="207" spans="11:12">
      <c r="K207" s="11">
        <v>22.64</v>
      </c>
      <c r="L207" s="11">
        <v>22.64</v>
      </c>
    </row>
    <row r="208" spans="11:12">
      <c r="K208" s="11">
        <v>22.574000000000002</v>
      </c>
      <c r="L208" s="11">
        <v>22.574000000000002</v>
      </c>
    </row>
    <row r="209" spans="11:12">
      <c r="K209" s="11">
        <v>23.780999999999999</v>
      </c>
      <c r="L209" s="11">
        <v>23.780999999999999</v>
      </c>
    </row>
    <row r="210" spans="11:12">
      <c r="K210" s="11">
        <v>24.643999999999998</v>
      </c>
      <c r="L210" s="11">
        <v>24.643999999999998</v>
      </c>
    </row>
    <row r="211" spans="11:12">
      <c r="K211" s="11">
        <v>24.446999999999999</v>
      </c>
      <c r="L211" s="11">
        <v>24.446999999999999</v>
      </c>
    </row>
    <row r="212" spans="11:12">
      <c r="K212" s="11">
        <v>24.872</v>
      </c>
      <c r="L212" s="11">
        <v>24.872</v>
      </c>
    </row>
    <row r="213" spans="11:12">
      <c r="K213" s="11">
        <v>24.472000000000001</v>
      </c>
      <c r="L213" s="11">
        <v>24.472000000000001</v>
      </c>
    </row>
    <row r="214" spans="11:12">
      <c r="K214" s="11">
        <v>25.148</v>
      </c>
      <c r="L214" s="11">
        <v>25.148</v>
      </c>
    </row>
    <row r="215" spans="11:12">
      <c r="K215" s="11">
        <v>25.602</v>
      </c>
      <c r="L215" s="11">
        <v>25.602</v>
      </c>
    </row>
    <row r="216" spans="11:12">
      <c r="K216" s="11">
        <v>25.983000000000001</v>
      </c>
      <c r="L216" s="11">
        <v>25.983000000000001</v>
      </c>
    </row>
    <row r="217" spans="11:12">
      <c r="K217" s="11">
        <v>25.774999999999999</v>
      </c>
      <c r="L217" s="11">
        <v>25.774999999999999</v>
      </c>
    </row>
    <row r="218" spans="11:12">
      <c r="K218" s="11">
        <v>26.423999999999999</v>
      </c>
      <c r="L218" s="11">
        <v>26.423999999999999</v>
      </c>
    </row>
    <row r="219" spans="11:12">
      <c r="K219" s="11">
        <v>27.561</v>
      </c>
      <c r="L219" s="11">
        <v>27.561</v>
      </c>
    </row>
    <row r="220" spans="11:12">
      <c r="K220" s="11">
        <v>27.567</v>
      </c>
      <c r="L220" s="11">
        <v>27.567</v>
      </c>
    </row>
    <row r="221" spans="11:12">
      <c r="K221" s="11">
        <v>27.718</v>
      </c>
      <c r="L221" s="11">
        <v>27.718</v>
      </c>
    </row>
    <row r="222" spans="11:12">
      <c r="K222" s="11">
        <v>28.088999999999999</v>
      </c>
      <c r="L222" s="11">
        <v>28.088999999999999</v>
      </c>
    </row>
    <row r="223" spans="11:12">
      <c r="K223" s="11">
        <v>28.181999999999999</v>
      </c>
      <c r="L223" s="11">
        <v>28.181999999999999</v>
      </c>
    </row>
    <row r="224" spans="11:12">
      <c r="K224" s="11">
        <v>28.677</v>
      </c>
      <c r="L224" s="11">
        <v>28.677</v>
      </c>
    </row>
    <row r="225" spans="11:12">
      <c r="K225" s="11">
        <v>27.928999999999998</v>
      </c>
      <c r="L225" s="11">
        <v>27.928999999999998</v>
      </c>
    </row>
    <row r="226" spans="11:12">
      <c r="K226" s="11">
        <v>28.533999999999999</v>
      </c>
      <c r="L226" s="11">
        <v>28.533999999999999</v>
      </c>
    </row>
    <row r="227" spans="11:12">
      <c r="K227" s="11">
        <v>29.408000000000001</v>
      </c>
      <c r="L227" s="11">
        <v>29.408000000000001</v>
      </c>
    </row>
    <row r="228" spans="11:12">
      <c r="K228" s="11">
        <v>29.954000000000001</v>
      </c>
      <c r="L228" s="11">
        <v>29.954000000000001</v>
      </c>
    </row>
    <row r="229" spans="11:12">
      <c r="K229" s="11">
        <v>30.337</v>
      </c>
      <c r="L229" s="11">
        <v>30.337</v>
      </c>
    </row>
    <row r="230" spans="11:12">
      <c r="K230" s="11">
        <v>29.901</v>
      </c>
      <c r="L230" s="11">
        <v>29.901</v>
      </c>
    </row>
    <row r="231" spans="11:12">
      <c r="K231" s="11">
        <v>28.591000000000001</v>
      </c>
      <c r="L231" s="11">
        <v>28.591000000000001</v>
      </c>
    </row>
    <row r="232" spans="11:12">
      <c r="K232" s="11">
        <v>31.55</v>
      </c>
      <c r="L232" s="11">
        <v>31.55</v>
      </c>
    </row>
    <row r="233" spans="11:12">
      <c r="K233" s="11">
        <v>32.29</v>
      </c>
      <c r="L233" s="11">
        <v>32.29</v>
      </c>
    </row>
    <row r="234" spans="11:12">
      <c r="K234" s="11">
        <v>32.18</v>
      </c>
      <c r="L234" s="11">
        <v>32.18</v>
      </c>
    </row>
    <row r="235" spans="11:12">
      <c r="K235" s="11">
        <v>31.89</v>
      </c>
      <c r="L235" s="11">
        <v>31.89</v>
      </c>
    </row>
    <row r="236" spans="11:12">
      <c r="K236" s="11">
        <v>31.86</v>
      </c>
      <c r="L236" s="11">
        <v>31.86</v>
      </c>
    </row>
    <row r="237" spans="11:12">
      <c r="K237" s="11">
        <v>32.119999999999997</v>
      </c>
      <c r="L237" s="11">
        <v>32.119999999999997</v>
      </c>
    </row>
    <row r="238" spans="11:12">
      <c r="K238" s="11">
        <v>31.99</v>
      </c>
      <c r="L238" s="11">
        <v>31.99</v>
      </c>
    </row>
    <row r="239" spans="11:12">
      <c r="K239" s="11">
        <v>32.67</v>
      </c>
      <c r="L239" s="11">
        <v>32.67</v>
      </c>
    </row>
    <row r="240" spans="11:12">
      <c r="K240" s="11">
        <v>32.94</v>
      </c>
      <c r="L240" s="11">
        <v>32.94</v>
      </c>
    </row>
    <row r="241" spans="11:12">
      <c r="K241" s="11">
        <v>32.619999999999997</v>
      </c>
      <c r="L241" s="11">
        <v>32.619999999999997</v>
      </c>
    </row>
    <row r="242" spans="11:12">
      <c r="K242" s="11">
        <v>33.090000000000003</v>
      </c>
      <c r="L242" s="11">
        <v>33.090000000000003</v>
      </c>
    </row>
    <row r="243" spans="11:12">
      <c r="K243" s="11">
        <v>33.28</v>
      </c>
      <c r="L243" s="11">
        <v>33.28</v>
      </c>
    </row>
    <row r="244" spans="11:12">
      <c r="K244" s="11">
        <v>33.39</v>
      </c>
      <c r="L244" s="11">
        <v>33.39</v>
      </c>
    </row>
    <row r="245" spans="11:12">
      <c r="K245" s="11">
        <v>33.479999999999997</v>
      </c>
      <c r="L245" s="11">
        <v>33.479999999999997</v>
      </c>
    </row>
    <row r="246" spans="11:12">
      <c r="K246" s="11">
        <v>33.43</v>
      </c>
      <c r="L246" s="11">
        <v>33.43</v>
      </c>
    </row>
    <row r="247" spans="11:12">
      <c r="K247" s="11">
        <v>33.69</v>
      </c>
      <c r="L247" s="11">
        <v>33.69</v>
      </c>
    </row>
    <row r="248" spans="11:12">
      <c r="K248" s="11">
        <v>33.82</v>
      </c>
      <c r="L248" s="11">
        <v>33.82</v>
      </c>
    </row>
    <row r="249" spans="11:12">
      <c r="K249" s="11">
        <v>33.869999999999997</v>
      </c>
      <c r="L249" s="11">
        <v>33.869999999999997</v>
      </c>
    </row>
    <row r="250" spans="11:12">
      <c r="K250" s="11">
        <v>33.979999999999997</v>
      </c>
      <c r="L250" s="11">
        <v>33.979999999999997</v>
      </c>
    </row>
    <row r="251" spans="11:12">
      <c r="K251" s="11">
        <v>33.92</v>
      </c>
      <c r="L251" s="11">
        <v>33.92</v>
      </c>
    </row>
  </sheetData>
  <mergeCells count="2">
    <mergeCell ref="B2:G2"/>
    <mergeCell ref="AT2:AY2"/>
  </mergeCells>
  <phoneticPr fontId="2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B251"/>
  <sheetViews>
    <sheetView workbookViewId="0">
      <selection activeCell="I13" sqref="I13"/>
    </sheetView>
  </sheetViews>
  <sheetFormatPr defaultRowHeight="12.75"/>
  <cols>
    <col min="1" max="1" width="19.85546875" style="17" bestFit="1" customWidth="1"/>
    <col min="2" max="2" width="6" style="12" bestFit="1" customWidth="1"/>
    <col min="3" max="3" width="9.140625" style="11"/>
    <col min="4" max="4" width="9.28515625" style="11" bestFit="1" customWidth="1"/>
    <col min="5" max="5" width="7.85546875" style="11" bestFit="1" customWidth="1"/>
    <col min="6" max="6" width="8.7109375" style="11" bestFit="1" customWidth="1"/>
    <col min="7" max="7" width="8.85546875" style="11" bestFit="1" customWidth="1"/>
    <col min="8" max="8" width="7.5703125" style="11" bestFit="1" customWidth="1"/>
    <col min="9" max="9" width="9.140625" style="11"/>
    <col min="10" max="10" width="6" style="12" bestFit="1" customWidth="1"/>
    <col min="11" max="11" width="23.140625" style="11" bestFit="1" customWidth="1"/>
    <col min="12" max="12" width="22.7109375" style="11" bestFit="1" customWidth="1"/>
    <col min="13" max="14" width="22.7109375" style="11" customWidth="1"/>
    <col min="15" max="15" width="11.28515625" style="11" customWidth="1"/>
    <col min="16" max="16" width="26.7109375" style="14" bestFit="1" customWidth="1"/>
    <col min="17" max="17" width="6" style="19" bestFit="1" customWidth="1"/>
    <col min="18" max="18" width="9.85546875" style="8" bestFit="1" customWidth="1"/>
    <col min="19" max="19" width="10" style="8" bestFit="1" customWidth="1"/>
    <col min="20" max="20" width="8.5703125" style="8" bestFit="1" customWidth="1"/>
    <col min="21" max="21" width="9.140625" style="8"/>
    <col min="22" max="22" width="6" style="19" bestFit="1" customWidth="1"/>
    <col min="23" max="23" width="12" style="8" bestFit="1" customWidth="1"/>
    <col min="24" max="24" width="10.7109375" style="8" bestFit="1" customWidth="1"/>
    <col min="25" max="25" width="13.7109375" style="8" bestFit="1" customWidth="1"/>
    <col min="26" max="26" width="12.85546875" style="8" customWidth="1"/>
    <col min="27" max="27" width="25.5703125" style="15" bestFit="1" customWidth="1"/>
    <col min="28" max="28" width="6" style="20" bestFit="1" customWidth="1"/>
    <col min="29" max="29" width="10" style="9" bestFit="1" customWidth="1"/>
    <col min="30" max="30" width="10.140625" style="9" bestFit="1" customWidth="1"/>
    <col min="31" max="31" width="8.7109375" style="9" bestFit="1" customWidth="1"/>
    <col min="32" max="32" width="12.85546875" style="9" customWidth="1"/>
    <col min="33" max="33" width="6" style="20" bestFit="1" customWidth="1"/>
    <col min="34" max="34" width="12" style="9" bestFit="1" customWidth="1"/>
    <col min="35" max="35" width="10.28515625" style="9" bestFit="1" customWidth="1"/>
    <col min="36" max="36" width="13.7109375" style="9" bestFit="1" customWidth="1"/>
    <col min="37" max="37" width="12.85546875" style="9" customWidth="1"/>
    <col min="38" max="38" width="22" style="16" bestFit="1" customWidth="1"/>
    <col min="39" max="39" width="6" style="21" bestFit="1" customWidth="1"/>
    <col min="40" max="40" width="10.85546875" style="10" bestFit="1" customWidth="1"/>
    <col min="41" max="41" width="17.7109375" style="10" bestFit="1" customWidth="1"/>
    <col min="42" max="42" width="13.7109375" style="10" bestFit="1" customWidth="1"/>
    <col min="43" max="43" width="19.140625" style="10" bestFit="1" customWidth="1"/>
    <col min="44" max="45" width="9.140625" style="16"/>
    <col min="46" max="46" width="6" style="12" bestFit="1" customWidth="1"/>
    <col min="47" max="47" width="9.140625" style="11"/>
    <col min="48" max="48" width="9.28515625" style="11" bestFit="1" customWidth="1"/>
    <col min="49" max="49" width="7.85546875" style="11" bestFit="1" customWidth="1"/>
    <col min="50" max="50" width="8.7109375" style="11" bestFit="1" customWidth="1"/>
    <col min="51" max="51" width="8.85546875" style="11" bestFit="1" customWidth="1"/>
    <col min="52" max="52" width="7.5703125" style="11" bestFit="1" customWidth="1"/>
    <col min="53" max="78" width="9.140625" style="16"/>
  </cols>
  <sheetData>
    <row r="1" spans="1:78" s="24" customFormat="1">
      <c r="B1" s="25"/>
      <c r="J1" s="25"/>
      <c r="Q1" s="25"/>
      <c r="V1" s="25"/>
      <c r="AB1" s="25"/>
      <c r="AG1" s="25"/>
      <c r="AM1" s="25"/>
      <c r="AN1" s="25">
        <v>38</v>
      </c>
      <c r="AO1" s="24">
        <v>39</v>
      </c>
      <c r="AT1" s="25"/>
    </row>
    <row r="2" spans="1:78" s="24" customFormat="1" ht="18">
      <c r="A2" s="26" t="s">
        <v>29</v>
      </c>
      <c r="B2" s="118" t="str">
        <f>CONCATENATE(ModelName, "#",SC_Import!D6)</f>
        <v>Delhi80#</v>
      </c>
      <c r="C2" s="118"/>
      <c r="D2" s="118"/>
      <c r="E2" s="118"/>
      <c r="F2" s="118"/>
      <c r="G2" s="118"/>
      <c r="J2" s="25"/>
      <c r="Q2" s="25"/>
      <c r="V2" s="25"/>
      <c r="AB2" s="25"/>
      <c r="AG2" s="25"/>
      <c r="AM2" s="25"/>
      <c r="AT2" s="118"/>
      <c r="AU2" s="118"/>
      <c r="AV2" s="118"/>
      <c r="AW2" s="118"/>
      <c r="AX2" s="118"/>
      <c r="AY2" s="118"/>
    </row>
    <row r="3" spans="1:78" s="24" customFormat="1">
      <c r="B3" s="25"/>
      <c r="J3" s="25"/>
      <c r="Q3" s="25"/>
      <c r="V3" s="25"/>
      <c r="AB3" s="25"/>
      <c r="AG3" s="25"/>
      <c r="AM3" s="25"/>
      <c r="AT3" s="25"/>
    </row>
    <row r="4" spans="1:78" ht="18">
      <c r="A4" s="13" t="s">
        <v>25</v>
      </c>
      <c r="C4" s="12" t="s">
        <v>108</v>
      </c>
      <c r="D4" s="12" t="s">
        <v>109</v>
      </c>
      <c r="E4" s="12" t="s">
        <v>110</v>
      </c>
      <c r="F4" s="12" t="s">
        <v>111</v>
      </c>
      <c r="G4" s="12" t="s">
        <v>112</v>
      </c>
      <c r="H4" s="12" t="s">
        <v>113</v>
      </c>
      <c r="P4" s="13" t="s">
        <v>26</v>
      </c>
      <c r="AA4" s="13" t="s">
        <v>27</v>
      </c>
      <c r="AL4" s="13" t="s">
        <v>32</v>
      </c>
      <c r="AU4" s="12" t="s">
        <v>0</v>
      </c>
      <c r="AV4" s="12" t="s">
        <v>1</v>
      </c>
      <c r="AW4" s="12" t="s">
        <v>68</v>
      </c>
      <c r="AX4" s="12" t="s">
        <v>69</v>
      </c>
      <c r="AY4" s="12" t="s">
        <v>70</v>
      </c>
      <c r="AZ4" s="12" t="s">
        <v>71</v>
      </c>
    </row>
    <row r="5" spans="1:78" s="23" customFormat="1">
      <c r="A5" s="18"/>
      <c r="B5" s="12"/>
      <c r="C5" s="12" t="str">
        <f>CONCATENATE(C4,Settings!$C$5)</f>
        <v>Front_HL1</v>
      </c>
      <c r="D5" s="12" t="str">
        <f>CONCATENATE(D4,Settings!$C$5)</f>
        <v>Front_HR1</v>
      </c>
      <c r="E5" s="12" t="str">
        <f>CONCATENATE(E4,Settings!$C$5)</f>
        <v>Front_L1</v>
      </c>
      <c r="F5" s="12" t="str">
        <f>CONCATENATE(F4,Settings!$C$5)</f>
        <v>Rear_HL1</v>
      </c>
      <c r="G5" s="12" t="str">
        <f>CONCATENATE(G4,Settings!$C$5)</f>
        <v>Rear_HR1</v>
      </c>
      <c r="H5" s="12" t="str">
        <f>CONCATENATE(H4,Settings!$C$5)</f>
        <v>Rear_L1</v>
      </c>
      <c r="I5" s="12"/>
      <c r="J5" s="12"/>
      <c r="K5" s="12" t="s">
        <v>20</v>
      </c>
      <c r="L5" s="12" t="s">
        <v>21</v>
      </c>
      <c r="M5" s="12" t="s">
        <v>228</v>
      </c>
      <c r="N5" s="12" t="s">
        <v>229</v>
      </c>
      <c r="O5" s="12"/>
      <c r="P5" s="18"/>
      <c r="Q5" s="19"/>
      <c r="R5" s="19" t="s">
        <v>2</v>
      </c>
      <c r="S5" s="19" t="s">
        <v>3</v>
      </c>
      <c r="T5" s="19" t="s">
        <v>4</v>
      </c>
      <c r="U5" s="19"/>
      <c r="V5" s="19"/>
      <c r="W5" s="19" t="s">
        <v>8</v>
      </c>
      <c r="X5" s="19" t="s">
        <v>22</v>
      </c>
      <c r="Y5" s="19" t="s">
        <v>10</v>
      </c>
      <c r="Z5" s="19"/>
      <c r="AA5" s="18"/>
      <c r="AB5" s="20"/>
      <c r="AC5" s="20" t="s">
        <v>5</v>
      </c>
      <c r="AD5" s="20" t="s">
        <v>6</v>
      </c>
      <c r="AE5" s="20" t="s">
        <v>7</v>
      </c>
      <c r="AF5" s="20"/>
      <c r="AG5" s="20"/>
      <c r="AH5" s="20" t="s">
        <v>9</v>
      </c>
      <c r="AI5" s="20" t="s">
        <v>23</v>
      </c>
      <c r="AJ5" s="20" t="s">
        <v>10</v>
      </c>
      <c r="AK5" s="20"/>
      <c r="AL5" s="18"/>
      <c r="AM5" s="21"/>
      <c r="AN5" s="21" t="s">
        <v>11</v>
      </c>
      <c r="AO5" s="21" t="s">
        <v>24</v>
      </c>
      <c r="AP5" s="21" t="s">
        <v>33</v>
      </c>
      <c r="AQ5" s="21" t="s">
        <v>34</v>
      </c>
      <c r="AR5" s="22"/>
      <c r="AS5" s="22"/>
      <c r="AT5" s="12"/>
      <c r="AU5" s="12" t="str">
        <f>CONCATENATE(AU4,Settings!$C$6)</f>
        <v>Front_HL</v>
      </c>
      <c r="AV5" s="12" t="str">
        <f>CONCATENATE(AV4,Settings!$C$6)</f>
        <v>Front_HR</v>
      </c>
      <c r="AW5" s="12" t="str">
        <f>CONCATENATE(AW4,Settings!$C$6)</f>
        <v>Front_L</v>
      </c>
      <c r="AX5" s="12" t="str">
        <f>CONCATENATE(AX4,Settings!$C$6)</f>
        <v>Rear_HL</v>
      </c>
      <c r="AY5" s="12" t="str">
        <f>CONCATENATE(AY4,Settings!$C$6)</f>
        <v>Rear_HR</v>
      </c>
      <c r="AZ5" s="12" t="str">
        <f>CONCATENATE(AZ4,Settings!$C$6)</f>
        <v>Rear_L</v>
      </c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</row>
    <row r="6" spans="1:78" ht="16.5">
      <c r="B6" s="12">
        <v>100</v>
      </c>
      <c r="C6" s="72"/>
      <c r="D6" s="72"/>
      <c r="E6" s="72"/>
      <c r="F6" s="74"/>
      <c r="G6" s="72"/>
      <c r="H6" s="72"/>
      <c r="J6" s="12">
        <v>100</v>
      </c>
      <c r="K6" s="102"/>
      <c r="L6" s="102"/>
      <c r="M6"/>
      <c r="N6"/>
      <c r="Q6" s="19">
        <v>100</v>
      </c>
      <c r="R6" s="8">
        <f t="shared" ref="R6:R37" si="0">+$K6+20-C6</f>
        <v>20</v>
      </c>
      <c r="S6" s="8">
        <f t="shared" ref="S6:S37" si="1">+$K6+20-D6</f>
        <v>20</v>
      </c>
      <c r="T6" s="8">
        <f t="shared" ref="T6:T37" si="2">+$K6+20-E6</f>
        <v>20</v>
      </c>
      <c r="V6" s="19">
        <v>100</v>
      </c>
      <c r="W6" s="8">
        <f t="shared" ref="W6:W69" si="3">+AVERAGE(R6:T6)</f>
        <v>20</v>
      </c>
      <c r="X6" s="8">
        <f>+K6+20</f>
        <v>20</v>
      </c>
      <c r="Y6" s="8">
        <f t="shared" ref="Y6:Y37" si="4">+X6-$AN6</f>
        <v>30</v>
      </c>
      <c r="AB6" s="20">
        <v>100</v>
      </c>
      <c r="AC6" s="9">
        <f t="shared" ref="AC6:AC37" si="5">+$L6+20-F6</f>
        <v>20</v>
      </c>
      <c r="AD6" s="9">
        <f t="shared" ref="AD6:AD37" si="6">+$L6+20-G6</f>
        <v>20</v>
      </c>
      <c r="AE6" s="9">
        <f t="shared" ref="AE6:AE37" si="7">+$L6+20-H6</f>
        <v>20</v>
      </c>
      <c r="AG6" s="20">
        <v>100</v>
      </c>
      <c r="AH6" s="9">
        <f t="shared" ref="AH6:AH69" si="8">+AVERAGE(AC6:AE6)</f>
        <v>20</v>
      </c>
      <c r="AI6" s="9">
        <f>+L6+20</f>
        <v>20</v>
      </c>
      <c r="AJ6" s="9">
        <f t="shared" ref="AJ6:AJ69" si="9">+AI6-$AN6</f>
        <v>30</v>
      </c>
      <c r="AM6" s="21">
        <v>100</v>
      </c>
      <c r="AN6" s="10">
        <v>-10</v>
      </c>
      <c r="AP6" s="10">
        <f t="shared" ref="AP6:AP37" si="10">+AVERAGE(AI6,X6)</f>
        <v>20</v>
      </c>
      <c r="AQ6" s="10">
        <f t="shared" ref="AQ6:AQ37" si="11">+AP6-AN6</f>
        <v>30</v>
      </c>
      <c r="AT6" s="12">
        <v>100</v>
      </c>
      <c r="AU6" s="80"/>
      <c r="AV6" s="68"/>
      <c r="AW6" s="68"/>
      <c r="AX6" s="68"/>
      <c r="AY6" s="68"/>
      <c r="AZ6" s="68"/>
    </row>
    <row r="7" spans="1:78" ht="16.5">
      <c r="B7" s="12">
        <v>106</v>
      </c>
      <c r="C7" s="72"/>
      <c r="D7" s="72"/>
      <c r="E7" s="72"/>
      <c r="F7" s="74"/>
      <c r="G7" s="72"/>
      <c r="H7" s="72"/>
      <c r="J7" s="12">
        <v>106</v>
      </c>
      <c r="K7" s="102"/>
      <c r="L7" s="102"/>
      <c r="M7"/>
      <c r="N7"/>
      <c r="Q7" s="19">
        <v>106</v>
      </c>
      <c r="R7" s="8">
        <f t="shared" si="0"/>
        <v>20</v>
      </c>
      <c r="S7" s="8">
        <f t="shared" si="1"/>
        <v>20</v>
      </c>
      <c r="T7" s="8">
        <f t="shared" si="2"/>
        <v>20</v>
      </c>
      <c r="V7" s="19">
        <v>106</v>
      </c>
      <c r="W7" s="8">
        <f t="shared" si="3"/>
        <v>20</v>
      </c>
      <c r="X7" s="8">
        <f t="shared" ref="X7:X70" si="12">+K7+20</f>
        <v>20</v>
      </c>
      <c r="Y7" s="8">
        <f t="shared" si="4"/>
        <v>30</v>
      </c>
      <c r="AB7" s="20">
        <v>106</v>
      </c>
      <c r="AC7" s="9">
        <f t="shared" si="5"/>
        <v>20</v>
      </c>
      <c r="AD7" s="9">
        <f t="shared" si="6"/>
        <v>20</v>
      </c>
      <c r="AE7" s="9">
        <f t="shared" si="7"/>
        <v>20</v>
      </c>
      <c r="AG7" s="20">
        <v>106</v>
      </c>
      <c r="AH7" s="9">
        <f t="shared" si="8"/>
        <v>20</v>
      </c>
      <c r="AI7" s="9">
        <f t="shared" ref="AI7:AI70" si="13">+L7+20</f>
        <v>20</v>
      </c>
      <c r="AJ7" s="9">
        <f t="shared" si="9"/>
        <v>30</v>
      </c>
      <c r="AM7" s="21">
        <v>106</v>
      </c>
      <c r="AN7" s="10">
        <v>-10</v>
      </c>
      <c r="AO7" s="10">
        <v>10</v>
      </c>
      <c r="AP7" s="10">
        <f t="shared" si="10"/>
        <v>20</v>
      </c>
      <c r="AQ7" s="10">
        <f t="shared" si="11"/>
        <v>30</v>
      </c>
      <c r="AT7" s="12">
        <v>106</v>
      </c>
      <c r="AU7" s="80"/>
      <c r="AV7" s="68"/>
      <c r="AW7" s="68"/>
      <c r="AX7" s="68"/>
      <c r="AY7" s="68"/>
      <c r="AZ7" s="68"/>
    </row>
    <row r="8" spans="1:78" ht="16.5">
      <c r="B8" s="12">
        <v>112</v>
      </c>
      <c r="C8" s="72"/>
      <c r="D8" s="72"/>
      <c r="E8" s="72"/>
      <c r="F8" s="74"/>
      <c r="G8" s="72"/>
      <c r="H8" s="72"/>
      <c r="J8" s="12">
        <v>112</v>
      </c>
      <c r="K8" s="102"/>
      <c r="L8" s="102"/>
      <c r="M8"/>
      <c r="N8"/>
      <c r="Q8" s="19">
        <v>112</v>
      </c>
      <c r="R8" s="8">
        <f t="shared" si="0"/>
        <v>20</v>
      </c>
      <c r="S8" s="8">
        <f t="shared" si="1"/>
        <v>20</v>
      </c>
      <c r="T8" s="8">
        <f t="shared" si="2"/>
        <v>20</v>
      </c>
      <c r="V8" s="19">
        <v>112</v>
      </c>
      <c r="W8" s="8">
        <f t="shared" si="3"/>
        <v>20</v>
      </c>
      <c r="X8" s="8">
        <f t="shared" si="12"/>
        <v>20</v>
      </c>
      <c r="Y8" s="8">
        <f t="shared" si="4"/>
        <v>30</v>
      </c>
      <c r="AB8" s="20">
        <v>112</v>
      </c>
      <c r="AC8" s="9">
        <f t="shared" si="5"/>
        <v>20</v>
      </c>
      <c r="AD8" s="9">
        <f t="shared" si="6"/>
        <v>20</v>
      </c>
      <c r="AE8" s="9">
        <f t="shared" si="7"/>
        <v>20</v>
      </c>
      <c r="AG8" s="20">
        <v>112</v>
      </c>
      <c r="AH8" s="9">
        <f t="shared" si="8"/>
        <v>20</v>
      </c>
      <c r="AI8" s="9">
        <f t="shared" si="13"/>
        <v>20</v>
      </c>
      <c r="AJ8" s="9">
        <f t="shared" si="9"/>
        <v>30</v>
      </c>
      <c r="AM8" s="21">
        <v>112</v>
      </c>
      <c r="AN8" s="10">
        <v>-10</v>
      </c>
      <c r="AP8" s="10">
        <f t="shared" si="10"/>
        <v>20</v>
      </c>
      <c r="AQ8" s="10">
        <f t="shared" si="11"/>
        <v>30</v>
      </c>
      <c r="AT8" s="12">
        <v>112</v>
      </c>
      <c r="AU8" s="80"/>
      <c r="AV8" s="68"/>
      <c r="AW8" s="68"/>
      <c r="AX8" s="68"/>
      <c r="AY8" s="68"/>
      <c r="AZ8" s="68"/>
    </row>
    <row r="9" spans="1:78" ht="16.5">
      <c r="B9" s="12">
        <v>118</v>
      </c>
      <c r="C9" s="72"/>
      <c r="D9" s="72"/>
      <c r="E9" s="72"/>
      <c r="F9" s="74"/>
      <c r="G9" s="72"/>
      <c r="H9" s="72"/>
      <c r="J9" s="12">
        <v>118</v>
      </c>
      <c r="K9" s="102"/>
      <c r="L9" s="102"/>
      <c r="M9"/>
      <c r="N9"/>
      <c r="Q9" s="19">
        <v>118</v>
      </c>
      <c r="R9" s="8">
        <f t="shared" si="0"/>
        <v>20</v>
      </c>
      <c r="S9" s="8">
        <f t="shared" si="1"/>
        <v>20</v>
      </c>
      <c r="T9" s="8">
        <f t="shared" si="2"/>
        <v>20</v>
      </c>
      <c r="V9" s="19">
        <v>118</v>
      </c>
      <c r="W9" s="8">
        <f t="shared" si="3"/>
        <v>20</v>
      </c>
      <c r="X9" s="8">
        <f t="shared" si="12"/>
        <v>20</v>
      </c>
      <c r="Y9" s="8">
        <f t="shared" si="4"/>
        <v>30</v>
      </c>
      <c r="AB9" s="20">
        <v>118</v>
      </c>
      <c r="AC9" s="9">
        <f t="shared" si="5"/>
        <v>20</v>
      </c>
      <c r="AD9" s="9">
        <f t="shared" si="6"/>
        <v>20</v>
      </c>
      <c r="AE9" s="9">
        <f t="shared" si="7"/>
        <v>20</v>
      </c>
      <c r="AG9" s="20">
        <v>118</v>
      </c>
      <c r="AH9" s="9">
        <f t="shared" si="8"/>
        <v>20</v>
      </c>
      <c r="AI9" s="9">
        <f t="shared" si="13"/>
        <v>20</v>
      </c>
      <c r="AJ9" s="9">
        <f t="shared" si="9"/>
        <v>30</v>
      </c>
      <c r="AM9" s="21">
        <v>118</v>
      </c>
      <c r="AN9" s="10">
        <v>-10</v>
      </c>
      <c r="AP9" s="10">
        <f t="shared" si="10"/>
        <v>20</v>
      </c>
      <c r="AQ9" s="10">
        <f t="shared" si="11"/>
        <v>30</v>
      </c>
      <c r="AT9" s="12">
        <v>118</v>
      </c>
      <c r="AU9" s="80"/>
      <c r="AV9" s="68"/>
      <c r="AW9" s="68"/>
      <c r="AX9" s="68"/>
      <c r="AY9" s="68"/>
      <c r="AZ9" s="68"/>
    </row>
    <row r="10" spans="1:78" ht="16.5">
      <c r="B10" s="12">
        <v>125</v>
      </c>
      <c r="C10" s="72"/>
      <c r="D10" s="72"/>
      <c r="E10" s="72"/>
      <c r="F10" s="74"/>
      <c r="G10" s="72"/>
      <c r="H10" s="72"/>
      <c r="J10" s="12">
        <v>125</v>
      </c>
      <c r="K10" s="102"/>
      <c r="L10" s="102"/>
      <c r="M10"/>
      <c r="N10"/>
      <c r="Q10" s="19">
        <v>125</v>
      </c>
      <c r="R10" s="8">
        <f t="shared" si="0"/>
        <v>20</v>
      </c>
      <c r="S10" s="8">
        <f t="shared" si="1"/>
        <v>20</v>
      </c>
      <c r="T10" s="8">
        <f t="shared" si="2"/>
        <v>20</v>
      </c>
      <c r="V10" s="19">
        <v>125</v>
      </c>
      <c r="W10" s="8">
        <f t="shared" si="3"/>
        <v>20</v>
      </c>
      <c r="X10" s="8">
        <f t="shared" si="12"/>
        <v>20</v>
      </c>
      <c r="Y10" s="8">
        <f t="shared" si="4"/>
        <v>30</v>
      </c>
      <c r="AB10" s="20">
        <v>125</v>
      </c>
      <c r="AC10" s="9">
        <f t="shared" si="5"/>
        <v>20</v>
      </c>
      <c r="AD10" s="9">
        <f t="shared" si="6"/>
        <v>20</v>
      </c>
      <c r="AE10" s="9">
        <f t="shared" si="7"/>
        <v>20</v>
      </c>
      <c r="AG10" s="20">
        <v>125</v>
      </c>
      <c r="AH10" s="9">
        <f t="shared" si="8"/>
        <v>20</v>
      </c>
      <c r="AI10" s="9">
        <f t="shared" si="13"/>
        <v>20</v>
      </c>
      <c r="AJ10" s="9">
        <f t="shared" si="9"/>
        <v>30</v>
      </c>
      <c r="AM10" s="21">
        <v>125</v>
      </c>
      <c r="AN10" s="10">
        <v>-10</v>
      </c>
      <c r="AO10" s="10">
        <v>10</v>
      </c>
      <c r="AP10" s="10">
        <f t="shared" si="10"/>
        <v>20</v>
      </c>
      <c r="AQ10" s="10">
        <f t="shared" si="11"/>
        <v>30</v>
      </c>
      <c r="AT10" s="12">
        <v>125</v>
      </c>
      <c r="AU10" s="80"/>
      <c r="AV10" s="68"/>
      <c r="AW10" s="68"/>
      <c r="AX10" s="68"/>
      <c r="AY10" s="68"/>
      <c r="AZ10" s="68"/>
    </row>
    <row r="11" spans="1:78" ht="16.5">
      <c r="B11" s="12">
        <v>132</v>
      </c>
      <c r="C11" s="72"/>
      <c r="D11" s="72"/>
      <c r="E11" s="72"/>
      <c r="F11" s="74"/>
      <c r="G11" s="72"/>
      <c r="H11" s="72"/>
      <c r="J11" s="12">
        <v>132</v>
      </c>
      <c r="K11" s="102"/>
      <c r="L11" s="102"/>
      <c r="M11"/>
      <c r="N11"/>
      <c r="Q11" s="19">
        <v>132</v>
      </c>
      <c r="R11" s="8">
        <f t="shared" si="0"/>
        <v>20</v>
      </c>
      <c r="S11" s="8">
        <f t="shared" si="1"/>
        <v>20</v>
      </c>
      <c r="T11" s="8">
        <f t="shared" si="2"/>
        <v>20</v>
      </c>
      <c r="V11" s="19">
        <v>132</v>
      </c>
      <c r="W11" s="8">
        <f t="shared" si="3"/>
        <v>20</v>
      </c>
      <c r="X11" s="8">
        <f t="shared" si="12"/>
        <v>20</v>
      </c>
      <c r="Y11" s="8">
        <f t="shared" si="4"/>
        <v>30</v>
      </c>
      <c r="AB11" s="20">
        <v>132</v>
      </c>
      <c r="AC11" s="9">
        <f t="shared" si="5"/>
        <v>20</v>
      </c>
      <c r="AD11" s="9">
        <f t="shared" si="6"/>
        <v>20</v>
      </c>
      <c r="AE11" s="9">
        <f t="shared" si="7"/>
        <v>20</v>
      </c>
      <c r="AG11" s="20">
        <v>132</v>
      </c>
      <c r="AH11" s="9">
        <f t="shared" si="8"/>
        <v>20</v>
      </c>
      <c r="AI11" s="9">
        <f t="shared" si="13"/>
        <v>20</v>
      </c>
      <c r="AJ11" s="9">
        <f t="shared" si="9"/>
        <v>30</v>
      </c>
      <c r="AM11" s="21">
        <v>132</v>
      </c>
      <c r="AN11" s="10">
        <v>-10</v>
      </c>
      <c r="AP11" s="10">
        <f t="shared" si="10"/>
        <v>20</v>
      </c>
      <c r="AQ11" s="10">
        <f t="shared" si="11"/>
        <v>30</v>
      </c>
      <c r="AT11" s="12">
        <v>132</v>
      </c>
      <c r="AU11" s="80"/>
      <c r="AV11" s="68"/>
      <c r="AW11" s="68"/>
      <c r="AX11" s="68"/>
      <c r="AY11" s="68"/>
      <c r="AZ11" s="68"/>
    </row>
    <row r="12" spans="1:78" ht="16.5">
      <c r="B12" s="12">
        <v>140</v>
      </c>
      <c r="C12" s="72"/>
      <c r="D12" s="72"/>
      <c r="E12" s="72"/>
      <c r="F12" s="74"/>
      <c r="G12" s="72"/>
      <c r="H12" s="72"/>
      <c r="J12" s="12">
        <v>140</v>
      </c>
      <c r="K12" s="102"/>
      <c r="L12" s="102"/>
      <c r="M12"/>
      <c r="N12"/>
      <c r="Q12" s="19">
        <v>140</v>
      </c>
      <c r="R12" s="8">
        <f t="shared" si="0"/>
        <v>20</v>
      </c>
      <c r="S12" s="8">
        <f t="shared" si="1"/>
        <v>20</v>
      </c>
      <c r="T12" s="8">
        <f t="shared" si="2"/>
        <v>20</v>
      </c>
      <c r="V12" s="19">
        <v>140</v>
      </c>
      <c r="W12" s="8">
        <f t="shared" si="3"/>
        <v>20</v>
      </c>
      <c r="X12" s="8">
        <f t="shared" si="12"/>
        <v>20</v>
      </c>
      <c r="Y12" s="8">
        <f t="shared" si="4"/>
        <v>30</v>
      </c>
      <c r="AB12" s="20">
        <v>140</v>
      </c>
      <c r="AC12" s="9">
        <f t="shared" si="5"/>
        <v>20</v>
      </c>
      <c r="AD12" s="9">
        <f t="shared" si="6"/>
        <v>20</v>
      </c>
      <c r="AE12" s="9">
        <f t="shared" si="7"/>
        <v>20</v>
      </c>
      <c r="AG12" s="20">
        <v>140</v>
      </c>
      <c r="AH12" s="9">
        <f t="shared" si="8"/>
        <v>20</v>
      </c>
      <c r="AI12" s="9">
        <f t="shared" si="13"/>
        <v>20</v>
      </c>
      <c r="AJ12" s="9">
        <f t="shared" si="9"/>
        <v>30</v>
      </c>
      <c r="AM12" s="21">
        <v>140</v>
      </c>
      <c r="AN12" s="10">
        <v>-10</v>
      </c>
      <c r="AP12" s="10">
        <f t="shared" si="10"/>
        <v>20</v>
      </c>
      <c r="AQ12" s="10">
        <f t="shared" si="11"/>
        <v>30</v>
      </c>
      <c r="AT12" s="12">
        <v>140</v>
      </c>
      <c r="AU12" s="80"/>
      <c r="AV12" s="68"/>
      <c r="AW12" s="68"/>
      <c r="AX12" s="68"/>
      <c r="AY12" s="68"/>
      <c r="AZ12" s="68"/>
    </row>
    <row r="13" spans="1:78" ht="16.5">
      <c r="B13" s="12">
        <v>150</v>
      </c>
      <c r="C13" s="72"/>
      <c r="D13" s="72"/>
      <c r="E13" s="72"/>
      <c r="F13" s="74"/>
      <c r="G13" s="72"/>
      <c r="H13" s="72"/>
      <c r="J13" s="12">
        <v>150</v>
      </c>
      <c r="K13" s="102"/>
      <c r="L13" s="102"/>
      <c r="M13"/>
      <c r="N13"/>
      <c r="Q13" s="19">
        <v>150</v>
      </c>
      <c r="R13" s="8">
        <f t="shared" si="0"/>
        <v>20</v>
      </c>
      <c r="S13" s="8">
        <f t="shared" si="1"/>
        <v>20</v>
      </c>
      <c r="T13" s="8">
        <f t="shared" si="2"/>
        <v>20</v>
      </c>
      <c r="V13" s="19">
        <v>150</v>
      </c>
      <c r="W13" s="8">
        <f t="shared" si="3"/>
        <v>20</v>
      </c>
      <c r="X13" s="8">
        <f t="shared" si="12"/>
        <v>20</v>
      </c>
      <c r="Y13" s="8">
        <f t="shared" si="4"/>
        <v>30</v>
      </c>
      <c r="AB13" s="20">
        <v>150</v>
      </c>
      <c r="AC13" s="9">
        <f t="shared" si="5"/>
        <v>20</v>
      </c>
      <c r="AD13" s="9">
        <f t="shared" si="6"/>
        <v>20</v>
      </c>
      <c r="AE13" s="9">
        <f t="shared" si="7"/>
        <v>20</v>
      </c>
      <c r="AG13" s="20">
        <v>150</v>
      </c>
      <c r="AH13" s="9">
        <f t="shared" si="8"/>
        <v>20</v>
      </c>
      <c r="AI13" s="9">
        <f t="shared" si="13"/>
        <v>20</v>
      </c>
      <c r="AJ13" s="9">
        <f t="shared" si="9"/>
        <v>30</v>
      </c>
      <c r="AM13" s="21">
        <v>150</v>
      </c>
      <c r="AN13" s="10">
        <v>-10</v>
      </c>
      <c r="AO13" s="10">
        <v>10</v>
      </c>
      <c r="AP13" s="10">
        <f t="shared" si="10"/>
        <v>20</v>
      </c>
      <c r="AQ13" s="10">
        <f t="shared" si="11"/>
        <v>30</v>
      </c>
      <c r="AT13" s="12">
        <v>150</v>
      </c>
      <c r="AU13" s="80"/>
      <c r="AV13" s="68"/>
      <c r="AW13" s="68"/>
      <c r="AX13" s="68"/>
      <c r="AY13" s="68"/>
      <c r="AZ13" s="68"/>
    </row>
    <row r="14" spans="1:78" ht="16.5">
      <c r="B14" s="12">
        <v>160</v>
      </c>
      <c r="C14" s="72"/>
      <c r="D14" s="72"/>
      <c r="E14" s="72"/>
      <c r="F14" s="74"/>
      <c r="G14" s="72"/>
      <c r="H14" s="72"/>
      <c r="J14" s="12">
        <v>160</v>
      </c>
      <c r="K14" s="102"/>
      <c r="L14" s="102"/>
      <c r="M14"/>
      <c r="N14"/>
      <c r="Q14" s="19">
        <v>160</v>
      </c>
      <c r="R14" s="8">
        <f t="shared" si="0"/>
        <v>20</v>
      </c>
      <c r="S14" s="8">
        <f t="shared" si="1"/>
        <v>20</v>
      </c>
      <c r="T14" s="8">
        <f t="shared" si="2"/>
        <v>20</v>
      </c>
      <c r="V14" s="19">
        <v>160</v>
      </c>
      <c r="W14" s="8">
        <f t="shared" si="3"/>
        <v>20</v>
      </c>
      <c r="X14" s="8">
        <f t="shared" si="12"/>
        <v>20</v>
      </c>
      <c r="Y14" s="8">
        <f t="shared" si="4"/>
        <v>30</v>
      </c>
      <c r="AB14" s="20">
        <v>160</v>
      </c>
      <c r="AC14" s="9">
        <f t="shared" si="5"/>
        <v>20</v>
      </c>
      <c r="AD14" s="9">
        <f t="shared" si="6"/>
        <v>20</v>
      </c>
      <c r="AE14" s="9">
        <f t="shared" si="7"/>
        <v>20</v>
      </c>
      <c r="AG14" s="20">
        <v>160</v>
      </c>
      <c r="AH14" s="9">
        <f t="shared" si="8"/>
        <v>20</v>
      </c>
      <c r="AI14" s="9">
        <f t="shared" si="13"/>
        <v>20</v>
      </c>
      <c r="AJ14" s="9">
        <f t="shared" si="9"/>
        <v>30</v>
      </c>
      <c r="AM14" s="21">
        <v>160</v>
      </c>
      <c r="AN14" s="10">
        <v>-10</v>
      </c>
      <c r="AP14" s="10">
        <f t="shared" si="10"/>
        <v>20</v>
      </c>
      <c r="AQ14" s="10">
        <f t="shared" si="11"/>
        <v>30</v>
      </c>
      <c r="AT14" s="12">
        <v>160</v>
      </c>
      <c r="AU14" s="80"/>
      <c r="AV14" s="68"/>
      <c r="AW14" s="68"/>
      <c r="AX14" s="68"/>
      <c r="AY14" s="68"/>
      <c r="AZ14" s="68"/>
    </row>
    <row r="15" spans="1:78" ht="16.5">
      <c r="B15" s="12">
        <v>170</v>
      </c>
      <c r="C15" s="72"/>
      <c r="D15" s="72"/>
      <c r="E15" s="72"/>
      <c r="F15" s="74"/>
      <c r="G15" s="72"/>
      <c r="H15" s="72"/>
      <c r="J15" s="12">
        <v>170</v>
      </c>
      <c r="K15" s="102"/>
      <c r="L15" s="102"/>
      <c r="M15"/>
      <c r="N15"/>
      <c r="Q15" s="19">
        <v>170</v>
      </c>
      <c r="R15" s="8">
        <f t="shared" si="0"/>
        <v>20</v>
      </c>
      <c r="S15" s="8">
        <f t="shared" si="1"/>
        <v>20</v>
      </c>
      <c r="T15" s="8">
        <f t="shared" si="2"/>
        <v>20</v>
      </c>
      <c r="V15" s="19">
        <v>170</v>
      </c>
      <c r="W15" s="8">
        <f t="shared" si="3"/>
        <v>20</v>
      </c>
      <c r="X15" s="8">
        <f t="shared" si="12"/>
        <v>20</v>
      </c>
      <c r="Y15" s="8">
        <f t="shared" si="4"/>
        <v>30</v>
      </c>
      <c r="AB15" s="20">
        <v>170</v>
      </c>
      <c r="AC15" s="9">
        <f t="shared" si="5"/>
        <v>20</v>
      </c>
      <c r="AD15" s="9">
        <f t="shared" si="6"/>
        <v>20</v>
      </c>
      <c r="AE15" s="9">
        <f t="shared" si="7"/>
        <v>20</v>
      </c>
      <c r="AG15" s="20">
        <v>170</v>
      </c>
      <c r="AH15" s="9">
        <f t="shared" si="8"/>
        <v>20</v>
      </c>
      <c r="AI15" s="9">
        <f t="shared" si="13"/>
        <v>20</v>
      </c>
      <c r="AJ15" s="9">
        <f t="shared" si="9"/>
        <v>30</v>
      </c>
      <c r="AM15" s="21">
        <v>170</v>
      </c>
      <c r="AN15" s="10">
        <v>-10</v>
      </c>
      <c r="AP15" s="10">
        <f t="shared" si="10"/>
        <v>20</v>
      </c>
      <c r="AQ15" s="10">
        <f t="shared" si="11"/>
        <v>30</v>
      </c>
      <c r="AT15" s="12">
        <v>170</v>
      </c>
      <c r="AU15" s="80"/>
      <c r="AV15" s="68"/>
      <c r="AW15" s="68"/>
      <c r="AX15" s="68"/>
      <c r="AY15" s="68"/>
      <c r="AZ15" s="68"/>
    </row>
    <row r="16" spans="1:78" ht="16.5">
      <c r="B16" s="12">
        <v>180</v>
      </c>
      <c r="C16" s="72"/>
      <c r="D16" s="72"/>
      <c r="E16" s="72"/>
      <c r="F16" s="74"/>
      <c r="G16" s="72"/>
      <c r="H16" s="72"/>
      <c r="J16" s="12">
        <v>180</v>
      </c>
      <c r="K16" s="102"/>
      <c r="L16" s="102"/>
      <c r="M16"/>
      <c r="N16"/>
      <c r="Q16" s="19">
        <v>180</v>
      </c>
      <c r="R16" s="8">
        <f t="shared" si="0"/>
        <v>20</v>
      </c>
      <c r="S16" s="8">
        <f t="shared" si="1"/>
        <v>20</v>
      </c>
      <c r="T16" s="8">
        <f t="shared" si="2"/>
        <v>20</v>
      </c>
      <c r="V16" s="19">
        <v>180</v>
      </c>
      <c r="W16" s="8">
        <f t="shared" si="3"/>
        <v>20</v>
      </c>
      <c r="X16" s="8">
        <f t="shared" si="12"/>
        <v>20</v>
      </c>
      <c r="Y16" s="8">
        <f t="shared" si="4"/>
        <v>30</v>
      </c>
      <c r="AB16" s="20">
        <v>180</v>
      </c>
      <c r="AC16" s="9">
        <f t="shared" si="5"/>
        <v>20</v>
      </c>
      <c r="AD16" s="9">
        <f t="shared" si="6"/>
        <v>20</v>
      </c>
      <c r="AE16" s="9">
        <f t="shared" si="7"/>
        <v>20</v>
      </c>
      <c r="AG16" s="20">
        <v>180</v>
      </c>
      <c r="AH16" s="9">
        <f t="shared" si="8"/>
        <v>20</v>
      </c>
      <c r="AI16" s="9">
        <f t="shared" si="13"/>
        <v>20</v>
      </c>
      <c r="AJ16" s="9">
        <f t="shared" si="9"/>
        <v>30</v>
      </c>
      <c r="AM16" s="21">
        <v>180</v>
      </c>
      <c r="AN16" s="10">
        <v>-10</v>
      </c>
      <c r="AO16" s="10">
        <v>10</v>
      </c>
      <c r="AP16" s="10">
        <f t="shared" si="10"/>
        <v>20</v>
      </c>
      <c r="AQ16" s="10">
        <f t="shared" si="11"/>
        <v>30</v>
      </c>
      <c r="AT16" s="12">
        <v>180</v>
      </c>
      <c r="AU16" s="80"/>
      <c r="AV16" s="68"/>
      <c r="AW16" s="68"/>
      <c r="AX16" s="68"/>
      <c r="AY16" s="68"/>
      <c r="AZ16" s="68"/>
    </row>
    <row r="17" spans="2:52" ht="16.5">
      <c r="B17" s="12">
        <v>190</v>
      </c>
      <c r="C17" s="72"/>
      <c r="D17" s="72"/>
      <c r="E17" s="72"/>
      <c r="F17" s="74"/>
      <c r="G17" s="72"/>
      <c r="H17" s="72"/>
      <c r="J17" s="12">
        <v>190</v>
      </c>
      <c r="K17" s="102"/>
      <c r="L17" s="102"/>
      <c r="M17"/>
      <c r="N17"/>
      <c r="Q17" s="19">
        <v>190</v>
      </c>
      <c r="R17" s="8">
        <f t="shared" si="0"/>
        <v>20</v>
      </c>
      <c r="S17" s="8">
        <f t="shared" si="1"/>
        <v>20</v>
      </c>
      <c r="T17" s="8">
        <f t="shared" si="2"/>
        <v>20</v>
      </c>
      <c r="V17" s="19">
        <v>190</v>
      </c>
      <c r="W17" s="8">
        <f t="shared" si="3"/>
        <v>20</v>
      </c>
      <c r="X17" s="8">
        <f t="shared" si="12"/>
        <v>20</v>
      </c>
      <c r="Y17" s="8">
        <f t="shared" si="4"/>
        <v>30</v>
      </c>
      <c r="AB17" s="20">
        <v>190</v>
      </c>
      <c r="AC17" s="9">
        <f t="shared" si="5"/>
        <v>20</v>
      </c>
      <c r="AD17" s="9">
        <f t="shared" si="6"/>
        <v>20</v>
      </c>
      <c r="AE17" s="9">
        <f t="shared" si="7"/>
        <v>20</v>
      </c>
      <c r="AG17" s="20">
        <v>190</v>
      </c>
      <c r="AH17" s="9">
        <f t="shared" si="8"/>
        <v>20</v>
      </c>
      <c r="AI17" s="9">
        <f t="shared" si="13"/>
        <v>20</v>
      </c>
      <c r="AJ17" s="9">
        <f t="shared" si="9"/>
        <v>30</v>
      </c>
      <c r="AM17" s="21">
        <v>190</v>
      </c>
      <c r="AN17" s="10">
        <v>-10</v>
      </c>
      <c r="AP17" s="10">
        <f t="shared" si="10"/>
        <v>20</v>
      </c>
      <c r="AQ17" s="10">
        <f t="shared" si="11"/>
        <v>30</v>
      </c>
      <c r="AT17" s="12">
        <v>190</v>
      </c>
      <c r="AU17" s="80"/>
      <c r="AV17" s="68"/>
      <c r="AW17" s="68"/>
      <c r="AX17" s="68"/>
      <c r="AY17" s="68"/>
      <c r="AZ17" s="68"/>
    </row>
    <row r="18" spans="2:52" ht="16.5">
      <c r="B18" s="12">
        <v>200</v>
      </c>
      <c r="C18" s="72"/>
      <c r="D18" s="72"/>
      <c r="E18" s="72"/>
      <c r="F18" s="74"/>
      <c r="G18" s="72"/>
      <c r="H18" s="72"/>
      <c r="J18" s="12">
        <v>200</v>
      </c>
      <c r="K18" s="102"/>
      <c r="L18" s="102"/>
      <c r="M18"/>
      <c r="N18"/>
      <c r="Q18" s="19">
        <v>200</v>
      </c>
      <c r="R18" s="8">
        <f t="shared" si="0"/>
        <v>20</v>
      </c>
      <c r="S18" s="8">
        <f t="shared" si="1"/>
        <v>20</v>
      </c>
      <c r="T18" s="8">
        <f t="shared" si="2"/>
        <v>20</v>
      </c>
      <c r="V18" s="19">
        <v>200</v>
      </c>
      <c r="W18" s="8">
        <f t="shared" si="3"/>
        <v>20</v>
      </c>
      <c r="X18" s="8">
        <f t="shared" si="12"/>
        <v>20</v>
      </c>
      <c r="Y18" s="8">
        <f t="shared" si="4"/>
        <v>30</v>
      </c>
      <c r="AB18" s="20">
        <v>200</v>
      </c>
      <c r="AC18" s="9">
        <f t="shared" si="5"/>
        <v>20</v>
      </c>
      <c r="AD18" s="9">
        <f t="shared" si="6"/>
        <v>20</v>
      </c>
      <c r="AE18" s="9">
        <f t="shared" si="7"/>
        <v>20</v>
      </c>
      <c r="AG18" s="20">
        <v>200</v>
      </c>
      <c r="AH18" s="9">
        <f t="shared" si="8"/>
        <v>20</v>
      </c>
      <c r="AI18" s="9">
        <f t="shared" si="13"/>
        <v>20</v>
      </c>
      <c r="AJ18" s="9">
        <f t="shared" si="9"/>
        <v>30</v>
      </c>
      <c r="AM18" s="21">
        <v>200</v>
      </c>
      <c r="AN18" s="10">
        <v>-10</v>
      </c>
      <c r="AP18" s="10">
        <f t="shared" si="10"/>
        <v>20</v>
      </c>
      <c r="AQ18" s="10">
        <f t="shared" si="11"/>
        <v>30</v>
      </c>
      <c r="AT18" s="12">
        <v>200</v>
      </c>
      <c r="AU18" s="80"/>
      <c r="AV18" s="68"/>
      <c r="AW18" s="68"/>
      <c r="AX18" s="68"/>
      <c r="AY18" s="68"/>
      <c r="AZ18" s="68"/>
    </row>
    <row r="19" spans="2:52" ht="16.5">
      <c r="B19" s="12">
        <v>212</v>
      </c>
      <c r="C19" s="72"/>
      <c r="D19" s="72"/>
      <c r="E19" s="72"/>
      <c r="F19" s="74"/>
      <c r="G19" s="72"/>
      <c r="H19" s="72"/>
      <c r="J19" s="12">
        <v>212</v>
      </c>
      <c r="K19" s="102"/>
      <c r="L19" s="102"/>
      <c r="M19"/>
      <c r="N19"/>
      <c r="Q19" s="19">
        <v>212</v>
      </c>
      <c r="R19" s="8">
        <f t="shared" si="0"/>
        <v>20</v>
      </c>
      <c r="S19" s="8">
        <f t="shared" si="1"/>
        <v>20</v>
      </c>
      <c r="T19" s="8">
        <f t="shared" si="2"/>
        <v>20</v>
      </c>
      <c r="V19" s="19">
        <v>212</v>
      </c>
      <c r="W19" s="8">
        <f t="shared" si="3"/>
        <v>20</v>
      </c>
      <c r="X19" s="8">
        <f t="shared" si="12"/>
        <v>20</v>
      </c>
      <c r="Y19" s="8">
        <f t="shared" si="4"/>
        <v>30</v>
      </c>
      <c r="AB19" s="20">
        <v>212</v>
      </c>
      <c r="AC19" s="9">
        <f t="shared" si="5"/>
        <v>20</v>
      </c>
      <c r="AD19" s="9">
        <f t="shared" si="6"/>
        <v>20</v>
      </c>
      <c r="AE19" s="9">
        <f t="shared" si="7"/>
        <v>20</v>
      </c>
      <c r="AG19" s="20">
        <v>212</v>
      </c>
      <c r="AH19" s="9">
        <f t="shared" si="8"/>
        <v>20</v>
      </c>
      <c r="AI19" s="9">
        <f t="shared" si="13"/>
        <v>20</v>
      </c>
      <c r="AJ19" s="9">
        <f t="shared" si="9"/>
        <v>30</v>
      </c>
      <c r="AM19" s="21">
        <v>212</v>
      </c>
      <c r="AN19" s="10">
        <v>-10</v>
      </c>
      <c r="AO19" s="10">
        <v>10</v>
      </c>
      <c r="AP19" s="10">
        <f t="shared" si="10"/>
        <v>20</v>
      </c>
      <c r="AQ19" s="10">
        <f t="shared" si="11"/>
        <v>30</v>
      </c>
      <c r="AT19" s="12">
        <v>212</v>
      </c>
      <c r="AU19" s="80"/>
      <c r="AV19" s="68"/>
      <c r="AW19" s="68"/>
      <c r="AX19" s="68"/>
      <c r="AY19" s="68"/>
      <c r="AZ19" s="68"/>
    </row>
    <row r="20" spans="2:52" ht="16.5">
      <c r="B20" s="12">
        <v>224</v>
      </c>
      <c r="C20" s="72"/>
      <c r="D20" s="72"/>
      <c r="E20" s="72"/>
      <c r="F20" s="74"/>
      <c r="G20" s="72"/>
      <c r="H20" s="72"/>
      <c r="J20" s="12">
        <v>224</v>
      </c>
      <c r="K20" s="102"/>
      <c r="L20" s="102"/>
      <c r="M20"/>
      <c r="N20"/>
      <c r="Q20" s="19">
        <v>224</v>
      </c>
      <c r="R20" s="8">
        <f t="shared" si="0"/>
        <v>20</v>
      </c>
      <c r="S20" s="8">
        <f t="shared" si="1"/>
        <v>20</v>
      </c>
      <c r="T20" s="8">
        <f t="shared" si="2"/>
        <v>20</v>
      </c>
      <c r="V20" s="19">
        <v>224</v>
      </c>
      <c r="W20" s="8">
        <f t="shared" si="3"/>
        <v>20</v>
      </c>
      <c r="X20" s="8">
        <f t="shared" si="12"/>
        <v>20</v>
      </c>
      <c r="Y20" s="8">
        <f t="shared" si="4"/>
        <v>30</v>
      </c>
      <c r="AB20" s="20">
        <v>224</v>
      </c>
      <c r="AC20" s="9">
        <f t="shared" si="5"/>
        <v>20</v>
      </c>
      <c r="AD20" s="9">
        <f t="shared" si="6"/>
        <v>20</v>
      </c>
      <c r="AE20" s="9">
        <f t="shared" si="7"/>
        <v>20</v>
      </c>
      <c r="AG20" s="20">
        <v>224</v>
      </c>
      <c r="AH20" s="9">
        <f t="shared" si="8"/>
        <v>20</v>
      </c>
      <c r="AI20" s="9">
        <f t="shared" si="13"/>
        <v>20</v>
      </c>
      <c r="AJ20" s="9">
        <f t="shared" si="9"/>
        <v>30</v>
      </c>
      <c r="AM20" s="21">
        <v>224</v>
      </c>
      <c r="AN20" s="10">
        <v>-10</v>
      </c>
      <c r="AP20" s="10">
        <f t="shared" si="10"/>
        <v>20</v>
      </c>
      <c r="AQ20" s="10">
        <f t="shared" si="11"/>
        <v>30</v>
      </c>
      <c r="AT20" s="12">
        <v>224</v>
      </c>
      <c r="AU20" s="80"/>
      <c r="AV20" s="68"/>
      <c r="AW20" s="68"/>
      <c r="AX20" s="68"/>
      <c r="AY20" s="68"/>
      <c r="AZ20" s="68"/>
    </row>
    <row r="21" spans="2:52" ht="16.5">
      <c r="B21" s="12">
        <v>236</v>
      </c>
      <c r="C21" s="72"/>
      <c r="D21" s="72"/>
      <c r="E21" s="72"/>
      <c r="F21" s="74"/>
      <c r="G21" s="72"/>
      <c r="H21" s="72"/>
      <c r="J21" s="12">
        <v>236</v>
      </c>
      <c r="K21" s="102"/>
      <c r="L21" s="102"/>
      <c r="M21"/>
      <c r="N21"/>
      <c r="Q21" s="19">
        <v>236</v>
      </c>
      <c r="R21" s="8">
        <f t="shared" si="0"/>
        <v>20</v>
      </c>
      <c r="S21" s="8">
        <f t="shared" si="1"/>
        <v>20</v>
      </c>
      <c r="T21" s="8">
        <f t="shared" si="2"/>
        <v>20</v>
      </c>
      <c r="V21" s="19">
        <v>236</v>
      </c>
      <c r="W21" s="8">
        <f t="shared" si="3"/>
        <v>20</v>
      </c>
      <c r="X21" s="8">
        <f t="shared" si="12"/>
        <v>20</v>
      </c>
      <c r="Y21" s="8">
        <f t="shared" si="4"/>
        <v>30</v>
      </c>
      <c r="AB21" s="20">
        <v>236</v>
      </c>
      <c r="AC21" s="9">
        <f t="shared" si="5"/>
        <v>20</v>
      </c>
      <c r="AD21" s="9">
        <f t="shared" si="6"/>
        <v>20</v>
      </c>
      <c r="AE21" s="9">
        <f t="shared" si="7"/>
        <v>20</v>
      </c>
      <c r="AG21" s="20">
        <v>236</v>
      </c>
      <c r="AH21" s="9">
        <f t="shared" si="8"/>
        <v>20</v>
      </c>
      <c r="AI21" s="9">
        <f t="shared" si="13"/>
        <v>20</v>
      </c>
      <c r="AJ21" s="9">
        <f t="shared" si="9"/>
        <v>30</v>
      </c>
      <c r="AM21" s="21">
        <v>236</v>
      </c>
      <c r="AN21" s="10">
        <v>-10</v>
      </c>
      <c r="AP21" s="10">
        <f t="shared" si="10"/>
        <v>20</v>
      </c>
      <c r="AQ21" s="10">
        <f t="shared" si="11"/>
        <v>30</v>
      </c>
      <c r="AT21" s="12">
        <v>236</v>
      </c>
      <c r="AU21" s="80"/>
      <c r="AV21" s="68"/>
      <c r="AW21" s="68"/>
      <c r="AX21" s="68"/>
      <c r="AY21" s="68"/>
      <c r="AZ21" s="68"/>
    </row>
    <row r="22" spans="2:52" ht="16.5">
      <c r="B22" s="12">
        <v>250</v>
      </c>
      <c r="C22" s="72"/>
      <c r="D22" s="72"/>
      <c r="E22" s="72"/>
      <c r="F22" s="74"/>
      <c r="G22" s="72"/>
      <c r="H22" s="72"/>
      <c r="J22" s="12">
        <v>250</v>
      </c>
      <c r="K22" s="102"/>
      <c r="L22" s="102"/>
      <c r="M22"/>
      <c r="N22"/>
      <c r="Q22" s="19">
        <v>250</v>
      </c>
      <c r="R22" s="8">
        <f t="shared" si="0"/>
        <v>20</v>
      </c>
      <c r="S22" s="8">
        <f t="shared" si="1"/>
        <v>20</v>
      </c>
      <c r="T22" s="8">
        <f t="shared" si="2"/>
        <v>20</v>
      </c>
      <c r="V22" s="19">
        <v>250</v>
      </c>
      <c r="W22" s="8">
        <f t="shared" si="3"/>
        <v>20</v>
      </c>
      <c r="X22" s="8">
        <f t="shared" si="12"/>
        <v>20</v>
      </c>
      <c r="Y22" s="8">
        <f t="shared" si="4"/>
        <v>30</v>
      </c>
      <c r="AB22" s="20">
        <v>250</v>
      </c>
      <c r="AC22" s="9">
        <f t="shared" si="5"/>
        <v>20</v>
      </c>
      <c r="AD22" s="9">
        <f t="shared" si="6"/>
        <v>20</v>
      </c>
      <c r="AE22" s="9">
        <f t="shared" si="7"/>
        <v>20</v>
      </c>
      <c r="AG22" s="20">
        <v>250</v>
      </c>
      <c r="AH22" s="9">
        <f t="shared" si="8"/>
        <v>20</v>
      </c>
      <c r="AI22" s="9">
        <f t="shared" si="13"/>
        <v>20</v>
      </c>
      <c r="AJ22" s="9">
        <f t="shared" si="9"/>
        <v>30</v>
      </c>
      <c r="AM22" s="21">
        <v>250</v>
      </c>
      <c r="AN22" s="10">
        <v>-10</v>
      </c>
      <c r="AO22" s="10">
        <v>10</v>
      </c>
      <c r="AP22" s="10">
        <f t="shared" si="10"/>
        <v>20</v>
      </c>
      <c r="AQ22" s="10">
        <f t="shared" si="11"/>
        <v>30</v>
      </c>
      <c r="AT22" s="12">
        <v>250</v>
      </c>
      <c r="AU22" s="80"/>
      <c r="AV22" s="68"/>
      <c r="AW22" s="68"/>
      <c r="AX22" s="68"/>
      <c r="AY22" s="68"/>
      <c r="AZ22" s="68"/>
    </row>
    <row r="23" spans="2:52" ht="16.5">
      <c r="B23" s="12">
        <v>265</v>
      </c>
      <c r="C23" s="72"/>
      <c r="D23" s="72"/>
      <c r="E23" s="72"/>
      <c r="F23" s="74"/>
      <c r="G23" s="72"/>
      <c r="H23" s="72"/>
      <c r="J23" s="12">
        <v>265</v>
      </c>
      <c r="K23" s="102"/>
      <c r="L23" s="102"/>
      <c r="M23"/>
      <c r="N23"/>
      <c r="Q23" s="19">
        <v>265</v>
      </c>
      <c r="R23" s="8">
        <f t="shared" si="0"/>
        <v>20</v>
      </c>
      <c r="S23" s="8">
        <f t="shared" si="1"/>
        <v>20</v>
      </c>
      <c r="T23" s="8">
        <f t="shared" si="2"/>
        <v>20</v>
      </c>
      <c r="V23" s="19">
        <v>265</v>
      </c>
      <c r="W23" s="8">
        <f t="shared" si="3"/>
        <v>20</v>
      </c>
      <c r="X23" s="8">
        <f t="shared" si="12"/>
        <v>20</v>
      </c>
      <c r="Y23" s="8">
        <f t="shared" si="4"/>
        <v>30</v>
      </c>
      <c r="AB23" s="20">
        <v>265</v>
      </c>
      <c r="AC23" s="9">
        <f t="shared" si="5"/>
        <v>20</v>
      </c>
      <c r="AD23" s="9">
        <f t="shared" si="6"/>
        <v>20</v>
      </c>
      <c r="AE23" s="9">
        <f t="shared" si="7"/>
        <v>20</v>
      </c>
      <c r="AG23" s="20">
        <v>265</v>
      </c>
      <c r="AH23" s="9">
        <f t="shared" si="8"/>
        <v>20</v>
      </c>
      <c r="AI23" s="9">
        <f t="shared" si="13"/>
        <v>20</v>
      </c>
      <c r="AJ23" s="9">
        <f t="shared" si="9"/>
        <v>30</v>
      </c>
      <c r="AM23" s="21">
        <v>265</v>
      </c>
      <c r="AN23" s="10">
        <v>-10</v>
      </c>
      <c r="AP23" s="10">
        <f t="shared" si="10"/>
        <v>20</v>
      </c>
      <c r="AQ23" s="10">
        <f t="shared" si="11"/>
        <v>30</v>
      </c>
      <c r="AT23" s="12">
        <v>265</v>
      </c>
      <c r="AU23" s="80"/>
      <c r="AV23" s="68"/>
      <c r="AW23" s="68"/>
      <c r="AX23" s="68"/>
      <c r="AY23" s="68"/>
      <c r="AZ23" s="68"/>
    </row>
    <row r="24" spans="2:52" ht="16.5">
      <c r="B24" s="12">
        <v>280</v>
      </c>
      <c r="C24" s="72"/>
      <c r="D24" s="72"/>
      <c r="E24" s="72"/>
      <c r="F24" s="74"/>
      <c r="G24" s="72"/>
      <c r="H24" s="72"/>
      <c r="J24" s="12">
        <v>280</v>
      </c>
      <c r="K24" s="102"/>
      <c r="L24" s="102"/>
      <c r="M24"/>
      <c r="N24"/>
      <c r="Q24" s="19">
        <v>280</v>
      </c>
      <c r="R24" s="8">
        <f t="shared" si="0"/>
        <v>20</v>
      </c>
      <c r="S24" s="8">
        <f t="shared" si="1"/>
        <v>20</v>
      </c>
      <c r="T24" s="8">
        <f t="shared" si="2"/>
        <v>20</v>
      </c>
      <c r="V24" s="19">
        <v>280</v>
      </c>
      <c r="W24" s="8">
        <f t="shared" si="3"/>
        <v>20</v>
      </c>
      <c r="X24" s="8">
        <f t="shared" si="12"/>
        <v>20</v>
      </c>
      <c r="Y24" s="8">
        <f t="shared" si="4"/>
        <v>30</v>
      </c>
      <c r="AB24" s="20">
        <v>280</v>
      </c>
      <c r="AC24" s="9">
        <f t="shared" si="5"/>
        <v>20</v>
      </c>
      <c r="AD24" s="9">
        <f t="shared" si="6"/>
        <v>20</v>
      </c>
      <c r="AE24" s="9">
        <f t="shared" si="7"/>
        <v>20</v>
      </c>
      <c r="AG24" s="20">
        <v>280</v>
      </c>
      <c r="AH24" s="9">
        <f t="shared" si="8"/>
        <v>20</v>
      </c>
      <c r="AI24" s="9">
        <f t="shared" si="13"/>
        <v>20</v>
      </c>
      <c r="AJ24" s="9">
        <f t="shared" si="9"/>
        <v>30</v>
      </c>
      <c r="AM24" s="21">
        <v>280</v>
      </c>
      <c r="AN24" s="10">
        <v>-10</v>
      </c>
      <c r="AP24" s="10">
        <f t="shared" si="10"/>
        <v>20</v>
      </c>
      <c r="AQ24" s="10">
        <f t="shared" si="11"/>
        <v>30</v>
      </c>
      <c r="AT24" s="12">
        <v>280</v>
      </c>
      <c r="AU24" s="80"/>
      <c r="AV24" s="68"/>
      <c r="AW24" s="68"/>
      <c r="AX24" s="68"/>
      <c r="AY24" s="68"/>
      <c r="AZ24" s="68"/>
    </row>
    <row r="25" spans="2:52" ht="16.5">
      <c r="B25" s="12">
        <v>300</v>
      </c>
      <c r="C25" s="72"/>
      <c r="D25" s="72"/>
      <c r="E25" s="72"/>
      <c r="F25" s="74"/>
      <c r="G25" s="72"/>
      <c r="H25" s="72"/>
      <c r="J25" s="12">
        <v>300</v>
      </c>
      <c r="K25" s="102"/>
      <c r="L25" s="102"/>
      <c r="M25"/>
      <c r="N25"/>
      <c r="Q25" s="19">
        <v>300</v>
      </c>
      <c r="R25" s="8">
        <f t="shared" si="0"/>
        <v>20</v>
      </c>
      <c r="S25" s="8">
        <f t="shared" si="1"/>
        <v>20</v>
      </c>
      <c r="T25" s="8">
        <f t="shared" si="2"/>
        <v>20</v>
      </c>
      <c r="V25" s="19">
        <v>300</v>
      </c>
      <c r="W25" s="8">
        <f t="shared" si="3"/>
        <v>20</v>
      </c>
      <c r="X25" s="8">
        <f t="shared" si="12"/>
        <v>20</v>
      </c>
      <c r="Y25" s="8">
        <f t="shared" si="4"/>
        <v>30</v>
      </c>
      <c r="AB25" s="20">
        <v>300</v>
      </c>
      <c r="AC25" s="9">
        <f t="shared" si="5"/>
        <v>20</v>
      </c>
      <c r="AD25" s="9">
        <f t="shared" si="6"/>
        <v>20</v>
      </c>
      <c r="AE25" s="9">
        <f t="shared" si="7"/>
        <v>20</v>
      </c>
      <c r="AG25" s="20">
        <v>300</v>
      </c>
      <c r="AH25" s="9">
        <f t="shared" si="8"/>
        <v>20</v>
      </c>
      <c r="AI25" s="9">
        <f t="shared" si="13"/>
        <v>20</v>
      </c>
      <c r="AJ25" s="9">
        <f t="shared" si="9"/>
        <v>30</v>
      </c>
      <c r="AM25" s="21">
        <v>300</v>
      </c>
      <c r="AN25" s="10">
        <v>-10</v>
      </c>
      <c r="AO25" s="10">
        <v>10</v>
      </c>
      <c r="AP25" s="10">
        <f t="shared" si="10"/>
        <v>20</v>
      </c>
      <c r="AQ25" s="10">
        <f t="shared" si="11"/>
        <v>30</v>
      </c>
      <c r="AT25" s="12">
        <v>300</v>
      </c>
      <c r="AU25" s="80"/>
      <c r="AV25" s="68"/>
      <c r="AW25" s="68"/>
      <c r="AX25" s="68"/>
      <c r="AY25" s="68"/>
      <c r="AZ25" s="68"/>
    </row>
    <row r="26" spans="2:52" ht="16.5">
      <c r="B26" s="12">
        <v>315</v>
      </c>
      <c r="C26" s="72"/>
      <c r="D26" s="72"/>
      <c r="E26" s="72"/>
      <c r="F26" s="74"/>
      <c r="G26" s="72"/>
      <c r="H26" s="72"/>
      <c r="J26" s="12">
        <v>315</v>
      </c>
      <c r="K26" s="102"/>
      <c r="L26" s="102"/>
      <c r="M26"/>
      <c r="N26"/>
      <c r="Q26" s="19">
        <v>315</v>
      </c>
      <c r="R26" s="8">
        <f t="shared" si="0"/>
        <v>20</v>
      </c>
      <c r="S26" s="8">
        <f t="shared" si="1"/>
        <v>20</v>
      </c>
      <c r="T26" s="8">
        <f t="shared" si="2"/>
        <v>20</v>
      </c>
      <c r="V26" s="19">
        <v>315</v>
      </c>
      <c r="W26" s="8">
        <f t="shared" si="3"/>
        <v>20</v>
      </c>
      <c r="X26" s="8">
        <f t="shared" si="12"/>
        <v>20</v>
      </c>
      <c r="Y26" s="8">
        <f t="shared" si="4"/>
        <v>30</v>
      </c>
      <c r="AB26" s="20">
        <v>315</v>
      </c>
      <c r="AC26" s="9">
        <f t="shared" si="5"/>
        <v>20</v>
      </c>
      <c r="AD26" s="9">
        <f t="shared" si="6"/>
        <v>20</v>
      </c>
      <c r="AE26" s="9">
        <f t="shared" si="7"/>
        <v>20</v>
      </c>
      <c r="AG26" s="20">
        <v>315</v>
      </c>
      <c r="AH26" s="9">
        <f t="shared" si="8"/>
        <v>20</v>
      </c>
      <c r="AI26" s="9">
        <f t="shared" si="13"/>
        <v>20</v>
      </c>
      <c r="AJ26" s="9">
        <f t="shared" si="9"/>
        <v>30</v>
      </c>
      <c r="AM26" s="21">
        <v>315</v>
      </c>
      <c r="AN26" s="10">
        <v>-10</v>
      </c>
      <c r="AP26" s="10">
        <f t="shared" si="10"/>
        <v>20</v>
      </c>
      <c r="AQ26" s="10">
        <f t="shared" si="11"/>
        <v>30</v>
      </c>
      <c r="AT26" s="12">
        <v>315</v>
      </c>
      <c r="AU26" s="80"/>
      <c r="AV26" s="68"/>
      <c r="AW26" s="68"/>
      <c r="AX26" s="68"/>
      <c r="AY26" s="68"/>
      <c r="AZ26" s="68"/>
    </row>
    <row r="27" spans="2:52" ht="16.5">
      <c r="B27" s="12">
        <v>335</v>
      </c>
      <c r="C27" s="72"/>
      <c r="D27" s="72"/>
      <c r="E27" s="72"/>
      <c r="F27" s="74"/>
      <c r="G27" s="72"/>
      <c r="H27" s="72"/>
      <c r="J27" s="12">
        <v>335</v>
      </c>
      <c r="K27" s="102"/>
      <c r="L27" s="102"/>
      <c r="M27"/>
      <c r="N27"/>
      <c r="Q27" s="19">
        <v>335</v>
      </c>
      <c r="R27" s="8">
        <f t="shared" si="0"/>
        <v>20</v>
      </c>
      <c r="S27" s="8">
        <f t="shared" si="1"/>
        <v>20</v>
      </c>
      <c r="T27" s="8">
        <f t="shared" si="2"/>
        <v>20</v>
      </c>
      <c r="V27" s="19">
        <v>335</v>
      </c>
      <c r="W27" s="8">
        <f t="shared" si="3"/>
        <v>20</v>
      </c>
      <c r="X27" s="8">
        <f t="shared" si="12"/>
        <v>20</v>
      </c>
      <c r="Y27" s="8">
        <f t="shared" si="4"/>
        <v>30</v>
      </c>
      <c r="AB27" s="20">
        <v>335</v>
      </c>
      <c r="AC27" s="9">
        <f t="shared" si="5"/>
        <v>20</v>
      </c>
      <c r="AD27" s="9">
        <f t="shared" si="6"/>
        <v>20</v>
      </c>
      <c r="AE27" s="9">
        <f t="shared" si="7"/>
        <v>20</v>
      </c>
      <c r="AG27" s="20">
        <v>335</v>
      </c>
      <c r="AH27" s="9">
        <f t="shared" si="8"/>
        <v>20</v>
      </c>
      <c r="AI27" s="9">
        <f t="shared" si="13"/>
        <v>20</v>
      </c>
      <c r="AJ27" s="9">
        <f t="shared" si="9"/>
        <v>30</v>
      </c>
      <c r="AM27" s="21">
        <v>335</v>
      </c>
      <c r="AN27" s="10">
        <v>-10</v>
      </c>
      <c r="AP27" s="10">
        <f t="shared" si="10"/>
        <v>20</v>
      </c>
      <c r="AQ27" s="10">
        <f t="shared" si="11"/>
        <v>30</v>
      </c>
      <c r="AT27" s="12">
        <v>335</v>
      </c>
      <c r="AU27" s="80"/>
      <c r="AV27" s="68"/>
      <c r="AW27" s="68"/>
      <c r="AX27" s="68"/>
      <c r="AY27" s="68"/>
      <c r="AZ27" s="68"/>
    </row>
    <row r="28" spans="2:52" ht="16.5">
      <c r="B28" s="12">
        <v>355</v>
      </c>
      <c r="C28" s="72"/>
      <c r="D28" s="72"/>
      <c r="E28" s="72"/>
      <c r="F28" s="74"/>
      <c r="G28" s="72"/>
      <c r="H28" s="72"/>
      <c r="J28" s="12">
        <v>355</v>
      </c>
      <c r="K28" s="102"/>
      <c r="L28" s="102"/>
      <c r="M28"/>
      <c r="N28"/>
      <c r="Q28" s="19">
        <v>355</v>
      </c>
      <c r="R28" s="8">
        <f t="shared" si="0"/>
        <v>20</v>
      </c>
      <c r="S28" s="8">
        <f t="shared" si="1"/>
        <v>20</v>
      </c>
      <c r="T28" s="8">
        <f t="shared" si="2"/>
        <v>20</v>
      </c>
      <c r="V28" s="19">
        <v>355</v>
      </c>
      <c r="W28" s="8">
        <f t="shared" si="3"/>
        <v>20</v>
      </c>
      <c r="X28" s="8">
        <f t="shared" si="12"/>
        <v>20</v>
      </c>
      <c r="Y28" s="8">
        <f t="shared" si="4"/>
        <v>30</v>
      </c>
      <c r="AB28" s="20">
        <v>355</v>
      </c>
      <c r="AC28" s="9">
        <f t="shared" si="5"/>
        <v>20</v>
      </c>
      <c r="AD28" s="9">
        <f t="shared" si="6"/>
        <v>20</v>
      </c>
      <c r="AE28" s="9">
        <f t="shared" si="7"/>
        <v>20</v>
      </c>
      <c r="AG28" s="20">
        <v>355</v>
      </c>
      <c r="AH28" s="9">
        <f t="shared" si="8"/>
        <v>20</v>
      </c>
      <c r="AI28" s="9">
        <f t="shared" si="13"/>
        <v>20</v>
      </c>
      <c r="AJ28" s="9">
        <f t="shared" si="9"/>
        <v>30</v>
      </c>
      <c r="AM28" s="21">
        <v>355</v>
      </c>
      <c r="AN28" s="10">
        <v>-10</v>
      </c>
      <c r="AO28" s="10">
        <v>10</v>
      </c>
      <c r="AP28" s="10">
        <f t="shared" si="10"/>
        <v>20</v>
      </c>
      <c r="AQ28" s="10">
        <f t="shared" si="11"/>
        <v>30</v>
      </c>
      <c r="AT28" s="12">
        <v>355</v>
      </c>
      <c r="AU28" s="80"/>
      <c r="AV28" s="68"/>
      <c r="AW28" s="68"/>
      <c r="AX28" s="68"/>
      <c r="AY28" s="68"/>
      <c r="AZ28" s="68"/>
    </row>
    <row r="29" spans="2:52" ht="16.5">
      <c r="B29" s="12">
        <v>375</v>
      </c>
      <c r="C29" s="72"/>
      <c r="D29" s="72"/>
      <c r="E29" s="72"/>
      <c r="F29" s="74"/>
      <c r="G29" s="72"/>
      <c r="H29" s="72"/>
      <c r="J29" s="12">
        <v>375</v>
      </c>
      <c r="K29" s="102"/>
      <c r="L29" s="102"/>
      <c r="M29"/>
      <c r="N29"/>
      <c r="Q29" s="19">
        <v>375</v>
      </c>
      <c r="R29" s="8">
        <f t="shared" si="0"/>
        <v>20</v>
      </c>
      <c r="S29" s="8">
        <f t="shared" si="1"/>
        <v>20</v>
      </c>
      <c r="T29" s="8">
        <f t="shared" si="2"/>
        <v>20</v>
      </c>
      <c r="V29" s="19">
        <v>375</v>
      </c>
      <c r="W29" s="8">
        <f t="shared" si="3"/>
        <v>20</v>
      </c>
      <c r="X29" s="8">
        <f t="shared" si="12"/>
        <v>20</v>
      </c>
      <c r="Y29" s="8">
        <f t="shared" si="4"/>
        <v>30</v>
      </c>
      <c r="AB29" s="20">
        <v>375</v>
      </c>
      <c r="AC29" s="9">
        <f t="shared" si="5"/>
        <v>20</v>
      </c>
      <c r="AD29" s="9">
        <f t="shared" si="6"/>
        <v>20</v>
      </c>
      <c r="AE29" s="9">
        <f t="shared" si="7"/>
        <v>20</v>
      </c>
      <c r="AG29" s="20">
        <v>375</v>
      </c>
      <c r="AH29" s="9">
        <f t="shared" si="8"/>
        <v>20</v>
      </c>
      <c r="AI29" s="9">
        <f t="shared" si="13"/>
        <v>20</v>
      </c>
      <c r="AJ29" s="9">
        <f t="shared" si="9"/>
        <v>30</v>
      </c>
      <c r="AM29" s="21">
        <v>375</v>
      </c>
      <c r="AN29" s="10">
        <v>-10</v>
      </c>
      <c r="AP29" s="10">
        <f t="shared" si="10"/>
        <v>20</v>
      </c>
      <c r="AQ29" s="10">
        <f t="shared" si="11"/>
        <v>30</v>
      </c>
      <c r="AT29" s="12">
        <v>375</v>
      </c>
      <c r="AU29" s="80"/>
      <c r="AV29" s="68"/>
      <c r="AW29" s="68"/>
      <c r="AX29" s="68"/>
      <c r="AY29" s="68"/>
      <c r="AZ29" s="68"/>
    </row>
    <row r="30" spans="2:52" ht="16.5">
      <c r="B30" s="12">
        <v>400</v>
      </c>
      <c r="C30" s="72"/>
      <c r="D30" s="72"/>
      <c r="E30" s="72"/>
      <c r="F30" s="74"/>
      <c r="G30" s="72"/>
      <c r="H30" s="72"/>
      <c r="J30" s="12">
        <v>400</v>
      </c>
      <c r="K30" s="102"/>
      <c r="L30" s="102"/>
      <c r="M30"/>
      <c r="N30"/>
      <c r="Q30" s="19">
        <v>400</v>
      </c>
      <c r="R30" s="8">
        <f t="shared" si="0"/>
        <v>20</v>
      </c>
      <c r="S30" s="8">
        <f t="shared" si="1"/>
        <v>20</v>
      </c>
      <c r="T30" s="8">
        <f t="shared" si="2"/>
        <v>20</v>
      </c>
      <c r="V30" s="19">
        <v>400</v>
      </c>
      <c r="W30" s="8">
        <f t="shared" si="3"/>
        <v>20</v>
      </c>
      <c r="X30" s="8">
        <f t="shared" si="12"/>
        <v>20</v>
      </c>
      <c r="Y30" s="8">
        <f t="shared" si="4"/>
        <v>30</v>
      </c>
      <c r="AB30" s="20">
        <v>400</v>
      </c>
      <c r="AC30" s="9">
        <f t="shared" si="5"/>
        <v>20</v>
      </c>
      <c r="AD30" s="9">
        <f t="shared" si="6"/>
        <v>20</v>
      </c>
      <c r="AE30" s="9">
        <f t="shared" si="7"/>
        <v>20</v>
      </c>
      <c r="AG30" s="20">
        <v>400</v>
      </c>
      <c r="AH30" s="9">
        <f t="shared" si="8"/>
        <v>20</v>
      </c>
      <c r="AI30" s="9">
        <f t="shared" si="13"/>
        <v>20</v>
      </c>
      <c r="AJ30" s="9">
        <f t="shared" si="9"/>
        <v>30</v>
      </c>
      <c r="AM30" s="21">
        <v>400</v>
      </c>
      <c r="AN30" s="10">
        <v>-10</v>
      </c>
      <c r="AP30" s="10">
        <f t="shared" si="10"/>
        <v>20</v>
      </c>
      <c r="AQ30" s="10">
        <f t="shared" si="11"/>
        <v>30</v>
      </c>
      <c r="AT30" s="12">
        <v>400</v>
      </c>
      <c r="AU30" s="80"/>
      <c r="AV30" s="68"/>
      <c r="AW30" s="68"/>
      <c r="AX30" s="68"/>
      <c r="AY30" s="68"/>
      <c r="AZ30" s="68"/>
    </row>
    <row r="31" spans="2:52" ht="16.5">
      <c r="B31" s="12">
        <v>425</v>
      </c>
      <c r="C31" s="72"/>
      <c r="D31" s="72"/>
      <c r="E31" s="72"/>
      <c r="F31" s="74"/>
      <c r="G31" s="72"/>
      <c r="H31" s="72"/>
      <c r="J31" s="12">
        <v>425</v>
      </c>
      <c r="K31" s="102"/>
      <c r="L31" s="102"/>
      <c r="M31"/>
      <c r="N31"/>
      <c r="Q31" s="19">
        <v>425</v>
      </c>
      <c r="R31" s="8">
        <f t="shared" si="0"/>
        <v>20</v>
      </c>
      <c r="S31" s="8">
        <f t="shared" si="1"/>
        <v>20</v>
      </c>
      <c r="T31" s="8">
        <f t="shared" si="2"/>
        <v>20</v>
      </c>
      <c r="V31" s="19">
        <v>425</v>
      </c>
      <c r="W31" s="8">
        <f t="shared" si="3"/>
        <v>20</v>
      </c>
      <c r="X31" s="8">
        <f t="shared" si="12"/>
        <v>20</v>
      </c>
      <c r="Y31" s="8">
        <f t="shared" si="4"/>
        <v>30</v>
      </c>
      <c r="AB31" s="20">
        <v>425</v>
      </c>
      <c r="AC31" s="9">
        <f t="shared" si="5"/>
        <v>20</v>
      </c>
      <c r="AD31" s="9">
        <f t="shared" si="6"/>
        <v>20</v>
      </c>
      <c r="AE31" s="9">
        <f t="shared" si="7"/>
        <v>20</v>
      </c>
      <c r="AG31" s="20">
        <v>425</v>
      </c>
      <c r="AH31" s="9">
        <f t="shared" si="8"/>
        <v>20</v>
      </c>
      <c r="AI31" s="9">
        <f t="shared" si="13"/>
        <v>20</v>
      </c>
      <c r="AJ31" s="9">
        <f t="shared" si="9"/>
        <v>30</v>
      </c>
      <c r="AM31" s="21">
        <v>425</v>
      </c>
      <c r="AN31" s="10">
        <v>-10</v>
      </c>
      <c r="AO31" s="10">
        <v>10</v>
      </c>
      <c r="AP31" s="10">
        <f t="shared" si="10"/>
        <v>20</v>
      </c>
      <c r="AQ31" s="10">
        <f t="shared" si="11"/>
        <v>30</v>
      </c>
      <c r="AT31" s="12">
        <v>425</v>
      </c>
      <c r="AU31" s="80"/>
      <c r="AV31" s="68"/>
      <c r="AW31" s="68"/>
      <c r="AX31" s="68"/>
      <c r="AY31" s="68"/>
      <c r="AZ31" s="68"/>
    </row>
    <row r="32" spans="2:52" ht="16.5">
      <c r="B32" s="12">
        <v>450</v>
      </c>
      <c r="C32" s="72"/>
      <c r="D32" s="72"/>
      <c r="E32" s="72"/>
      <c r="F32" s="74"/>
      <c r="G32" s="72"/>
      <c r="H32" s="72"/>
      <c r="J32" s="12">
        <v>450</v>
      </c>
      <c r="K32" s="102"/>
      <c r="L32" s="102"/>
      <c r="M32"/>
      <c r="N32"/>
      <c r="Q32" s="19">
        <v>450</v>
      </c>
      <c r="R32" s="8">
        <f t="shared" si="0"/>
        <v>20</v>
      </c>
      <c r="S32" s="8">
        <f t="shared" si="1"/>
        <v>20</v>
      </c>
      <c r="T32" s="8">
        <f t="shared" si="2"/>
        <v>20</v>
      </c>
      <c r="V32" s="19">
        <v>450</v>
      </c>
      <c r="W32" s="8">
        <f t="shared" si="3"/>
        <v>20</v>
      </c>
      <c r="X32" s="8">
        <f t="shared" si="12"/>
        <v>20</v>
      </c>
      <c r="Y32" s="8">
        <f t="shared" si="4"/>
        <v>30</v>
      </c>
      <c r="AB32" s="20">
        <v>450</v>
      </c>
      <c r="AC32" s="9">
        <f t="shared" si="5"/>
        <v>20</v>
      </c>
      <c r="AD32" s="9">
        <f t="shared" si="6"/>
        <v>20</v>
      </c>
      <c r="AE32" s="9">
        <f t="shared" si="7"/>
        <v>20</v>
      </c>
      <c r="AG32" s="20">
        <v>450</v>
      </c>
      <c r="AH32" s="9">
        <f t="shared" si="8"/>
        <v>20</v>
      </c>
      <c r="AI32" s="9">
        <f t="shared" si="13"/>
        <v>20</v>
      </c>
      <c r="AJ32" s="9">
        <f t="shared" si="9"/>
        <v>30</v>
      </c>
      <c r="AM32" s="21">
        <v>450</v>
      </c>
      <c r="AN32" s="10">
        <v>-10</v>
      </c>
      <c r="AP32" s="10">
        <f t="shared" si="10"/>
        <v>20</v>
      </c>
      <c r="AQ32" s="10">
        <f t="shared" si="11"/>
        <v>30</v>
      </c>
      <c r="AT32" s="12">
        <v>450</v>
      </c>
      <c r="AU32" s="80"/>
      <c r="AV32" s="68"/>
      <c r="AW32" s="68"/>
      <c r="AX32" s="68"/>
      <c r="AY32" s="68"/>
      <c r="AZ32" s="68"/>
    </row>
    <row r="33" spans="2:52" ht="16.5">
      <c r="B33" s="12">
        <v>475</v>
      </c>
      <c r="C33" s="72"/>
      <c r="D33" s="72"/>
      <c r="E33" s="72"/>
      <c r="F33" s="74"/>
      <c r="G33" s="72"/>
      <c r="H33" s="72"/>
      <c r="J33" s="12">
        <v>475</v>
      </c>
      <c r="K33" s="102"/>
      <c r="L33" s="102"/>
      <c r="M33"/>
      <c r="N33"/>
      <c r="Q33" s="19">
        <v>475</v>
      </c>
      <c r="R33" s="8">
        <f t="shared" si="0"/>
        <v>20</v>
      </c>
      <c r="S33" s="8">
        <f t="shared" si="1"/>
        <v>20</v>
      </c>
      <c r="T33" s="8">
        <f t="shared" si="2"/>
        <v>20</v>
      </c>
      <c r="V33" s="19">
        <v>475</v>
      </c>
      <c r="W33" s="8">
        <f t="shared" si="3"/>
        <v>20</v>
      </c>
      <c r="X33" s="8">
        <f t="shared" si="12"/>
        <v>20</v>
      </c>
      <c r="Y33" s="8">
        <f t="shared" si="4"/>
        <v>30</v>
      </c>
      <c r="AB33" s="20">
        <v>475</v>
      </c>
      <c r="AC33" s="9">
        <f t="shared" si="5"/>
        <v>20</v>
      </c>
      <c r="AD33" s="9">
        <f t="shared" si="6"/>
        <v>20</v>
      </c>
      <c r="AE33" s="9">
        <f t="shared" si="7"/>
        <v>20</v>
      </c>
      <c r="AG33" s="20">
        <v>475</v>
      </c>
      <c r="AH33" s="9">
        <f t="shared" si="8"/>
        <v>20</v>
      </c>
      <c r="AI33" s="9">
        <f t="shared" si="13"/>
        <v>20</v>
      </c>
      <c r="AJ33" s="9">
        <f t="shared" si="9"/>
        <v>30</v>
      </c>
      <c r="AM33" s="21">
        <v>475</v>
      </c>
      <c r="AN33" s="10">
        <v>-10</v>
      </c>
      <c r="AP33" s="10">
        <f t="shared" si="10"/>
        <v>20</v>
      </c>
      <c r="AQ33" s="10">
        <f t="shared" si="11"/>
        <v>30</v>
      </c>
      <c r="AT33" s="12">
        <v>475</v>
      </c>
      <c r="AU33" s="80"/>
      <c r="AV33" s="68"/>
      <c r="AW33" s="68"/>
      <c r="AX33" s="68"/>
      <c r="AY33" s="68"/>
      <c r="AZ33" s="68"/>
    </row>
    <row r="34" spans="2:52" ht="16.5">
      <c r="B34" s="12">
        <v>500</v>
      </c>
      <c r="C34" s="72"/>
      <c r="D34" s="72"/>
      <c r="E34" s="72"/>
      <c r="F34" s="74"/>
      <c r="G34" s="72"/>
      <c r="H34" s="72"/>
      <c r="J34" s="12">
        <v>500</v>
      </c>
      <c r="K34" s="102"/>
      <c r="L34" s="102"/>
      <c r="M34"/>
      <c r="N34"/>
      <c r="Q34" s="19">
        <v>500</v>
      </c>
      <c r="R34" s="8">
        <f t="shared" si="0"/>
        <v>20</v>
      </c>
      <c r="S34" s="8">
        <f t="shared" si="1"/>
        <v>20</v>
      </c>
      <c r="T34" s="8">
        <f t="shared" si="2"/>
        <v>20</v>
      </c>
      <c r="V34" s="19">
        <v>500</v>
      </c>
      <c r="W34" s="8">
        <f t="shared" si="3"/>
        <v>20</v>
      </c>
      <c r="X34" s="8">
        <f t="shared" si="12"/>
        <v>20</v>
      </c>
      <c r="Y34" s="8">
        <f t="shared" si="4"/>
        <v>30</v>
      </c>
      <c r="AB34" s="20">
        <v>500</v>
      </c>
      <c r="AC34" s="9">
        <f t="shared" si="5"/>
        <v>20</v>
      </c>
      <c r="AD34" s="9">
        <f t="shared" si="6"/>
        <v>20</v>
      </c>
      <c r="AE34" s="9">
        <f t="shared" si="7"/>
        <v>20</v>
      </c>
      <c r="AG34" s="20">
        <v>500</v>
      </c>
      <c r="AH34" s="9">
        <f t="shared" si="8"/>
        <v>20</v>
      </c>
      <c r="AI34" s="9">
        <f t="shared" si="13"/>
        <v>20</v>
      </c>
      <c r="AJ34" s="9">
        <f t="shared" si="9"/>
        <v>30</v>
      </c>
      <c r="AM34" s="21">
        <v>500</v>
      </c>
      <c r="AN34" s="10">
        <v>-10</v>
      </c>
      <c r="AO34" s="10">
        <v>10</v>
      </c>
      <c r="AP34" s="10">
        <f t="shared" si="10"/>
        <v>20</v>
      </c>
      <c r="AQ34" s="10">
        <f t="shared" si="11"/>
        <v>30</v>
      </c>
      <c r="AT34" s="12">
        <v>500</v>
      </c>
      <c r="AU34" s="80"/>
      <c r="AV34" s="68"/>
      <c r="AW34" s="68"/>
      <c r="AX34" s="68"/>
      <c r="AY34" s="68"/>
      <c r="AZ34" s="68"/>
    </row>
    <row r="35" spans="2:52" ht="16.5">
      <c r="B35" s="12">
        <v>530</v>
      </c>
      <c r="C35" s="72"/>
      <c r="D35" s="72"/>
      <c r="E35" s="72"/>
      <c r="F35" s="74"/>
      <c r="G35" s="72"/>
      <c r="H35" s="72"/>
      <c r="J35" s="12">
        <v>530</v>
      </c>
      <c r="K35" s="102"/>
      <c r="L35" s="102"/>
      <c r="M35"/>
      <c r="N35"/>
      <c r="Q35" s="19">
        <v>530</v>
      </c>
      <c r="R35" s="8">
        <f t="shared" si="0"/>
        <v>20</v>
      </c>
      <c r="S35" s="8">
        <f t="shared" si="1"/>
        <v>20</v>
      </c>
      <c r="T35" s="8">
        <f t="shared" si="2"/>
        <v>20</v>
      </c>
      <c r="V35" s="19">
        <v>530</v>
      </c>
      <c r="W35" s="8">
        <f t="shared" si="3"/>
        <v>20</v>
      </c>
      <c r="X35" s="8">
        <f t="shared" si="12"/>
        <v>20</v>
      </c>
      <c r="Y35" s="8">
        <f t="shared" si="4"/>
        <v>30</v>
      </c>
      <c r="AB35" s="20">
        <v>530</v>
      </c>
      <c r="AC35" s="9">
        <f t="shared" si="5"/>
        <v>20</v>
      </c>
      <c r="AD35" s="9">
        <f t="shared" si="6"/>
        <v>20</v>
      </c>
      <c r="AE35" s="9">
        <f t="shared" si="7"/>
        <v>20</v>
      </c>
      <c r="AG35" s="20">
        <v>530</v>
      </c>
      <c r="AH35" s="9">
        <f t="shared" si="8"/>
        <v>20</v>
      </c>
      <c r="AI35" s="9">
        <f t="shared" si="13"/>
        <v>20</v>
      </c>
      <c r="AJ35" s="9">
        <f t="shared" si="9"/>
        <v>30</v>
      </c>
      <c r="AM35" s="21">
        <v>530</v>
      </c>
      <c r="AN35" s="10">
        <v>-10</v>
      </c>
      <c r="AP35" s="10">
        <f t="shared" si="10"/>
        <v>20</v>
      </c>
      <c r="AQ35" s="10">
        <f t="shared" si="11"/>
        <v>30</v>
      </c>
      <c r="AT35" s="12">
        <v>530</v>
      </c>
      <c r="AU35" s="80"/>
      <c r="AV35" s="68"/>
      <c r="AW35" s="68"/>
      <c r="AX35" s="68"/>
      <c r="AY35" s="68"/>
      <c r="AZ35" s="68"/>
    </row>
    <row r="36" spans="2:52" ht="16.5">
      <c r="B36" s="12">
        <v>560</v>
      </c>
      <c r="C36" s="72"/>
      <c r="D36" s="72"/>
      <c r="E36" s="72"/>
      <c r="F36" s="74"/>
      <c r="G36" s="72"/>
      <c r="H36" s="72"/>
      <c r="J36" s="12">
        <v>560</v>
      </c>
      <c r="K36" s="102"/>
      <c r="L36" s="102"/>
      <c r="M36"/>
      <c r="N36"/>
      <c r="Q36" s="19">
        <v>560</v>
      </c>
      <c r="R36" s="8">
        <f t="shared" si="0"/>
        <v>20</v>
      </c>
      <c r="S36" s="8">
        <f t="shared" si="1"/>
        <v>20</v>
      </c>
      <c r="T36" s="8">
        <f t="shared" si="2"/>
        <v>20</v>
      </c>
      <c r="V36" s="19">
        <v>560</v>
      </c>
      <c r="W36" s="8">
        <f t="shared" si="3"/>
        <v>20</v>
      </c>
      <c r="X36" s="8">
        <f t="shared" si="12"/>
        <v>20</v>
      </c>
      <c r="Y36" s="8">
        <f t="shared" si="4"/>
        <v>30</v>
      </c>
      <c r="AB36" s="20">
        <v>560</v>
      </c>
      <c r="AC36" s="9">
        <f t="shared" si="5"/>
        <v>20</v>
      </c>
      <c r="AD36" s="9">
        <f t="shared" si="6"/>
        <v>20</v>
      </c>
      <c r="AE36" s="9">
        <f t="shared" si="7"/>
        <v>20</v>
      </c>
      <c r="AG36" s="20">
        <v>560</v>
      </c>
      <c r="AH36" s="9">
        <f t="shared" si="8"/>
        <v>20</v>
      </c>
      <c r="AI36" s="9">
        <f t="shared" si="13"/>
        <v>20</v>
      </c>
      <c r="AJ36" s="9">
        <f t="shared" si="9"/>
        <v>30</v>
      </c>
      <c r="AM36" s="21">
        <v>560</v>
      </c>
      <c r="AN36" s="10">
        <v>-10</v>
      </c>
      <c r="AP36" s="10">
        <f t="shared" si="10"/>
        <v>20</v>
      </c>
      <c r="AQ36" s="10">
        <f t="shared" si="11"/>
        <v>30</v>
      </c>
      <c r="AT36" s="12">
        <v>560</v>
      </c>
      <c r="AU36" s="80"/>
      <c r="AV36" s="68"/>
      <c r="AW36" s="68"/>
      <c r="AX36" s="68"/>
      <c r="AY36" s="68"/>
      <c r="AZ36" s="68"/>
    </row>
    <row r="37" spans="2:52" ht="16.5">
      <c r="B37" s="12">
        <v>600</v>
      </c>
      <c r="C37" s="72"/>
      <c r="D37" s="72"/>
      <c r="E37" s="72"/>
      <c r="F37" s="74"/>
      <c r="G37" s="72"/>
      <c r="H37" s="72"/>
      <c r="J37" s="12">
        <v>600</v>
      </c>
      <c r="K37" s="102"/>
      <c r="L37" s="102"/>
      <c r="M37"/>
      <c r="N37"/>
      <c r="Q37" s="19">
        <v>600</v>
      </c>
      <c r="R37" s="8">
        <f t="shared" si="0"/>
        <v>20</v>
      </c>
      <c r="S37" s="8">
        <f t="shared" si="1"/>
        <v>20</v>
      </c>
      <c r="T37" s="8">
        <f t="shared" si="2"/>
        <v>20</v>
      </c>
      <c r="V37" s="19">
        <v>600</v>
      </c>
      <c r="W37" s="8">
        <f t="shared" si="3"/>
        <v>20</v>
      </c>
      <c r="X37" s="8">
        <f t="shared" si="12"/>
        <v>20</v>
      </c>
      <c r="Y37" s="8">
        <f t="shared" si="4"/>
        <v>30</v>
      </c>
      <c r="AB37" s="20">
        <v>600</v>
      </c>
      <c r="AC37" s="9">
        <f t="shared" si="5"/>
        <v>20</v>
      </c>
      <c r="AD37" s="9">
        <f t="shared" si="6"/>
        <v>20</v>
      </c>
      <c r="AE37" s="9">
        <f t="shared" si="7"/>
        <v>20</v>
      </c>
      <c r="AG37" s="20">
        <v>600</v>
      </c>
      <c r="AH37" s="9">
        <f t="shared" si="8"/>
        <v>20</v>
      </c>
      <c r="AI37" s="9">
        <f t="shared" si="13"/>
        <v>20</v>
      </c>
      <c r="AJ37" s="9">
        <f t="shared" si="9"/>
        <v>30</v>
      </c>
      <c r="AM37" s="21">
        <v>600</v>
      </c>
      <c r="AN37" s="10">
        <v>-10</v>
      </c>
      <c r="AO37" s="10">
        <v>10</v>
      </c>
      <c r="AP37" s="10">
        <f t="shared" si="10"/>
        <v>20</v>
      </c>
      <c r="AQ37" s="10">
        <f t="shared" si="11"/>
        <v>30</v>
      </c>
      <c r="AT37" s="12">
        <v>600</v>
      </c>
      <c r="AU37" s="80"/>
      <c r="AV37" s="68"/>
      <c r="AW37" s="68"/>
      <c r="AX37" s="68"/>
      <c r="AY37" s="68"/>
      <c r="AZ37" s="68"/>
    </row>
    <row r="38" spans="2:52" ht="16.5">
      <c r="B38" s="12">
        <v>630</v>
      </c>
      <c r="C38" s="72"/>
      <c r="D38" s="72"/>
      <c r="E38" s="72"/>
      <c r="F38" s="74"/>
      <c r="G38" s="72"/>
      <c r="H38" s="72"/>
      <c r="J38" s="12">
        <v>630</v>
      </c>
      <c r="K38" s="102"/>
      <c r="L38" s="102"/>
      <c r="M38"/>
      <c r="N38"/>
      <c r="Q38" s="19">
        <v>630</v>
      </c>
      <c r="R38" s="8">
        <f t="shared" ref="R38:R70" si="14">+$K38+20-C38</f>
        <v>20</v>
      </c>
      <c r="S38" s="8">
        <f t="shared" ref="S38:S70" si="15">+$K38+20-D38</f>
        <v>20</v>
      </c>
      <c r="T38" s="8">
        <f t="shared" ref="T38:T70" si="16">+$K38+20-E38</f>
        <v>20</v>
      </c>
      <c r="V38" s="19">
        <v>630</v>
      </c>
      <c r="W38" s="8">
        <f t="shared" si="3"/>
        <v>20</v>
      </c>
      <c r="X38" s="8">
        <f t="shared" si="12"/>
        <v>20</v>
      </c>
      <c r="Y38" s="8">
        <f t="shared" ref="Y38:Y69" si="17">+X38-$AN38</f>
        <v>30</v>
      </c>
      <c r="AB38" s="20">
        <v>630</v>
      </c>
      <c r="AC38" s="9">
        <f t="shared" ref="AC38:AC70" si="18">+$L38+20-F38</f>
        <v>20</v>
      </c>
      <c r="AD38" s="9">
        <f t="shared" ref="AD38:AD70" si="19">+$L38+20-G38</f>
        <v>20</v>
      </c>
      <c r="AE38" s="9">
        <f t="shared" ref="AE38:AE70" si="20">+$L38+20-H38</f>
        <v>20</v>
      </c>
      <c r="AG38" s="20">
        <v>630</v>
      </c>
      <c r="AH38" s="9">
        <f t="shared" si="8"/>
        <v>20</v>
      </c>
      <c r="AI38" s="9">
        <f t="shared" si="13"/>
        <v>20</v>
      </c>
      <c r="AJ38" s="9">
        <f t="shared" si="9"/>
        <v>30</v>
      </c>
      <c r="AM38" s="21">
        <v>630</v>
      </c>
      <c r="AN38" s="10">
        <v>-10</v>
      </c>
      <c r="AP38" s="10">
        <f t="shared" ref="AP38:AP69" si="21">+AVERAGE(AI38,X38)</f>
        <v>20</v>
      </c>
      <c r="AQ38" s="10">
        <f t="shared" ref="AQ38:AQ69" si="22">+AP38-AN38</f>
        <v>30</v>
      </c>
      <c r="AT38" s="12">
        <v>630</v>
      </c>
      <c r="AU38" s="80"/>
      <c r="AV38" s="68"/>
      <c r="AW38" s="68"/>
      <c r="AX38" s="68"/>
      <c r="AY38" s="68"/>
      <c r="AZ38" s="68"/>
    </row>
    <row r="39" spans="2:52" ht="16.5">
      <c r="B39" s="12">
        <v>670</v>
      </c>
      <c r="C39" s="72"/>
      <c r="D39" s="72"/>
      <c r="E39" s="72"/>
      <c r="F39" s="74"/>
      <c r="G39" s="72"/>
      <c r="H39" s="72"/>
      <c r="J39" s="12">
        <v>670</v>
      </c>
      <c r="K39" s="102"/>
      <c r="L39" s="102"/>
      <c r="M39"/>
      <c r="N39"/>
      <c r="Q39" s="19">
        <v>670</v>
      </c>
      <c r="R39" s="8">
        <f t="shared" si="14"/>
        <v>20</v>
      </c>
      <c r="S39" s="8">
        <f t="shared" si="15"/>
        <v>20</v>
      </c>
      <c r="T39" s="8">
        <f t="shared" si="16"/>
        <v>20</v>
      </c>
      <c r="V39" s="19">
        <v>670</v>
      </c>
      <c r="W39" s="8">
        <f t="shared" si="3"/>
        <v>20</v>
      </c>
      <c r="X39" s="8">
        <f t="shared" si="12"/>
        <v>20</v>
      </c>
      <c r="Y39" s="8">
        <f t="shared" si="17"/>
        <v>30</v>
      </c>
      <c r="AB39" s="20">
        <v>670</v>
      </c>
      <c r="AC39" s="9">
        <f t="shared" si="18"/>
        <v>20</v>
      </c>
      <c r="AD39" s="9">
        <f t="shared" si="19"/>
        <v>20</v>
      </c>
      <c r="AE39" s="9">
        <f t="shared" si="20"/>
        <v>20</v>
      </c>
      <c r="AG39" s="20">
        <v>670</v>
      </c>
      <c r="AH39" s="9">
        <f t="shared" si="8"/>
        <v>20</v>
      </c>
      <c r="AI39" s="9">
        <f t="shared" si="13"/>
        <v>20</v>
      </c>
      <c r="AJ39" s="9">
        <f t="shared" si="9"/>
        <v>30</v>
      </c>
      <c r="AM39" s="21">
        <v>670</v>
      </c>
      <c r="AN39" s="10">
        <v>-10</v>
      </c>
      <c r="AP39" s="10">
        <f t="shared" si="21"/>
        <v>20</v>
      </c>
      <c r="AQ39" s="10">
        <f t="shared" si="22"/>
        <v>30</v>
      </c>
      <c r="AT39" s="12">
        <v>670</v>
      </c>
      <c r="AU39" s="80"/>
      <c r="AV39" s="68"/>
      <c r="AW39" s="68"/>
      <c r="AX39" s="68"/>
      <c r="AY39" s="68"/>
      <c r="AZ39" s="68"/>
    </row>
    <row r="40" spans="2:52" ht="16.5">
      <c r="B40" s="12">
        <v>710</v>
      </c>
      <c r="C40" s="72"/>
      <c r="D40" s="72"/>
      <c r="E40" s="72"/>
      <c r="F40" s="74"/>
      <c r="G40" s="72"/>
      <c r="H40" s="72"/>
      <c r="J40" s="12">
        <v>710</v>
      </c>
      <c r="K40" s="102"/>
      <c r="L40" s="102"/>
      <c r="M40"/>
      <c r="N40"/>
      <c r="Q40" s="19">
        <v>710</v>
      </c>
      <c r="R40" s="8">
        <f t="shared" si="14"/>
        <v>20</v>
      </c>
      <c r="S40" s="8">
        <f t="shared" si="15"/>
        <v>20</v>
      </c>
      <c r="T40" s="8">
        <f t="shared" si="16"/>
        <v>20</v>
      </c>
      <c r="V40" s="19">
        <v>710</v>
      </c>
      <c r="W40" s="8">
        <f t="shared" si="3"/>
        <v>20</v>
      </c>
      <c r="X40" s="8">
        <f t="shared" si="12"/>
        <v>20</v>
      </c>
      <c r="Y40" s="8">
        <f t="shared" si="17"/>
        <v>30</v>
      </c>
      <c r="AB40" s="20">
        <v>710</v>
      </c>
      <c r="AC40" s="9">
        <f t="shared" si="18"/>
        <v>20</v>
      </c>
      <c r="AD40" s="9">
        <f t="shared" si="19"/>
        <v>20</v>
      </c>
      <c r="AE40" s="9">
        <f t="shared" si="20"/>
        <v>20</v>
      </c>
      <c r="AG40" s="20">
        <v>710</v>
      </c>
      <c r="AH40" s="9">
        <f t="shared" si="8"/>
        <v>20</v>
      </c>
      <c r="AI40" s="9">
        <f t="shared" si="13"/>
        <v>20</v>
      </c>
      <c r="AJ40" s="9">
        <f t="shared" si="9"/>
        <v>30</v>
      </c>
      <c r="AM40" s="21">
        <v>710</v>
      </c>
      <c r="AN40" s="10">
        <v>-10</v>
      </c>
      <c r="AO40" s="10">
        <v>10</v>
      </c>
      <c r="AP40" s="10">
        <f t="shared" si="21"/>
        <v>20</v>
      </c>
      <c r="AQ40" s="10">
        <f t="shared" si="22"/>
        <v>30</v>
      </c>
      <c r="AT40" s="12">
        <v>710</v>
      </c>
      <c r="AU40" s="80"/>
      <c r="AV40" s="68"/>
      <c r="AW40" s="68"/>
      <c r="AX40" s="68"/>
      <c r="AY40" s="68"/>
      <c r="AZ40" s="68"/>
    </row>
    <row r="41" spans="2:52" ht="16.5">
      <c r="B41" s="12">
        <v>750</v>
      </c>
      <c r="C41" s="72"/>
      <c r="D41" s="72"/>
      <c r="E41" s="72"/>
      <c r="F41" s="74"/>
      <c r="G41" s="72"/>
      <c r="H41" s="72"/>
      <c r="J41" s="12">
        <v>750</v>
      </c>
      <c r="K41" s="102"/>
      <c r="L41" s="102"/>
      <c r="M41"/>
      <c r="N41"/>
      <c r="Q41" s="19">
        <v>750</v>
      </c>
      <c r="R41" s="8">
        <f t="shared" si="14"/>
        <v>20</v>
      </c>
      <c r="S41" s="8">
        <f t="shared" si="15"/>
        <v>20</v>
      </c>
      <c r="T41" s="8">
        <f t="shared" si="16"/>
        <v>20</v>
      </c>
      <c r="V41" s="19">
        <v>750</v>
      </c>
      <c r="W41" s="8">
        <f t="shared" si="3"/>
        <v>20</v>
      </c>
      <c r="X41" s="8">
        <f t="shared" si="12"/>
        <v>20</v>
      </c>
      <c r="Y41" s="8">
        <f t="shared" si="17"/>
        <v>30</v>
      </c>
      <c r="AB41" s="20">
        <v>750</v>
      </c>
      <c r="AC41" s="9">
        <f t="shared" si="18"/>
        <v>20</v>
      </c>
      <c r="AD41" s="9">
        <f t="shared" si="19"/>
        <v>20</v>
      </c>
      <c r="AE41" s="9">
        <f t="shared" si="20"/>
        <v>20</v>
      </c>
      <c r="AG41" s="20">
        <v>750</v>
      </c>
      <c r="AH41" s="9">
        <f t="shared" si="8"/>
        <v>20</v>
      </c>
      <c r="AI41" s="9">
        <f t="shared" si="13"/>
        <v>20</v>
      </c>
      <c r="AJ41" s="9">
        <f t="shared" si="9"/>
        <v>30</v>
      </c>
      <c r="AM41" s="21">
        <v>750</v>
      </c>
      <c r="AN41" s="10">
        <v>-10</v>
      </c>
      <c r="AP41" s="10">
        <f t="shared" si="21"/>
        <v>20</v>
      </c>
      <c r="AQ41" s="10">
        <f t="shared" si="22"/>
        <v>30</v>
      </c>
      <c r="AT41" s="12">
        <v>750</v>
      </c>
      <c r="AU41" s="80"/>
      <c r="AV41" s="68"/>
      <c r="AW41" s="68"/>
      <c r="AX41" s="68"/>
      <c r="AY41" s="68"/>
      <c r="AZ41" s="68"/>
    </row>
    <row r="42" spans="2:52" ht="16.5">
      <c r="B42" s="12">
        <v>800</v>
      </c>
      <c r="C42" s="72"/>
      <c r="D42" s="72"/>
      <c r="E42" s="72"/>
      <c r="F42" s="74"/>
      <c r="G42" s="72"/>
      <c r="H42" s="72"/>
      <c r="J42" s="12">
        <v>800</v>
      </c>
      <c r="K42" s="102"/>
      <c r="L42" s="102"/>
      <c r="M42"/>
      <c r="N42"/>
      <c r="Q42" s="19">
        <v>800</v>
      </c>
      <c r="R42" s="8">
        <f t="shared" si="14"/>
        <v>20</v>
      </c>
      <c r="S42" s="8">
        <f t="shared" si="15"/>
        <v>20</v>
      </c>
      <c r="T42" s="8">
        <f t="shared" si="16"/>
        <v>20</v>
      </c>
      <c r="V42" s="19">
        <v>800</v>
      </c>
      <c r="W42" s="8">
        <f t="shared" si="3"/>
        <v>20</v>
      </c>
      <c r="X42" s="8">
        <f t="shared" si="12"/>
        <v>20</v>
      </c>
      <c r="Y42" s="8">
        <f t="shared" si="17"/>
        <v>30</v>
      </c>
      <c r="AB42" s="20">
        <v>800</v>
      </c>
      <c r="AC42" s="9">
        <f t="shared" si="18"/>
        <v>20</v>
      </c>
      <c r="AD42" s="9">
        <f t="shared" si="19"/>
        <v>20</v>
      </c>
      <c r="AE42" s="9">
        <f t="shared" si="20"/>
        <v>20</v>
      </c>
      <c r="AG42" s="20">
        <v>800</v>
      </c>
      <c r="AH42" s="9">
        <f t="shared" si="8"/>
        <v>20</v>
      </c>
      <c r="AI42" s="9">
        <f t="shared" si="13"/>
        <v>20</v>
      </c>
      <c r="AJ42" s="9">
        <f t="shared" si="9"/>
        <v>30</v>
      </c>
      <c r="AM42" s="21">
        <v>800</v>
      </c>
      <c r="AN42" s="10">
        <v>-10</v>
      </c>
      <c r="AP42" s="10">
        <f t="shared" si="21"/>
        <v>20</v>
      </c>
      <c r="AQ42" s="10">
        <f t="shared" si="22"/>
        <v>30</v>
      </c>
      <c r="AT42" s="12">
        <v>800</v>
      </c>
      <c r="AU42" s="80"/>
      <c r="AV42" s="68"/>
      <c r="AW42" s="68"/>
      <c r="AX42" s="68"/>
      <c r="AY42" s="68"/>
      <c r="AZ42" s="68"/>
    </row>
    <row r="43" spans="2:52" ht="16.5">
      <c r="B43" s="12">
        <v>850</v>
      </c>
      <c r="C43" s="72"/>
      <c r="D43" s="72"/>
      <c r="E43" s="72"/>
      <c r="F43" s="74"/>
      <c r="G43" s="72"/>
      <c r="H43" s="72"/>
      <c r="J43" s="12">
        <v>850</v>
      </c>
      <c r="K43" s="102"/>
      <c r="L43" s="102"/>
      <c r="M43"/>
      <c r="N43"/>
      <c r="Q43" s="19">
        <v>850</v>
      </c>
      <c r="R43" s="8">
        <f t="shared" si="14"/>
        <v>20</v>
      </c>
      <c r="S43" s="8">
        <f t="shared" si="15"/>
        <v>20</v>
      </c>
      <c r="T43" s="8">
        <f t="shared" si="16"/>
        <v>20</v>
      </c>
      <c r="V43" s="19">
        <v>850</v>
      </c>
      <c r="W43" s="8">
        <f t="shared" si="3"/>
        <v>20</v>
      </c>
      <c r="X43" s="8">
        <f t="shared" si="12"/>
        <v>20</v>
      </c>
      <c r="Y43" s="8">
        <f t="shared" si="17"/>
        <v>30</v>
      </c>
      <c r="AB43" s="20">
        <v>850</v>
      </c>
      <c r="AC43" s="9">
        <f t="shared" si="18"/>
        <v>20</v>
      </c>
      <c r="AD43" s="9">
        <f t="shared" si="19"/>
        <v>20</v>
      </c>
      <c r="AE43" s="9">
        <f t="shared" si="20"/>
        <v>20</v>
      </c>
      <c r="AG43" s="20">
        <v>850</v>
      </c>
      <c r="AH43" s="9">
        <f t="shared" si="8"/>
        <v>20</v>
      </c>
      <c r="AI43" s="9">
        <f t="shared" si="13"/>
        <v>20</v>
      </c>
      <c r="AJ43" s="9">
        <f t="shared" si="9"/>
        <v>30</v>
      </c>
      <c r="AM43" s="21">
        <v>850</v>
      </c>
      <c r="AN43" s="10">
        <v>-10</v>
      </c>
      <c r="AO43" s="10">
        <v>10</v>
      </c>
      <c r="AP43" s="10">
        <f t="shared" si="21"/>
        <v>20</v>
      </c>
      <c r="AQ43" s="10">
        <f t="shared" si="22"/>
        <v>30</v>
      </c>
      <c r="AT43" s="12">
        <v>850</v>
      </c>
      <c r="AU43" s="80"/>
      <c r="AV43" s="68"/>
      <c r="AW43" s="68"/>
      <c r="AX43" s="68"/>
      <c r="AY43" s="68"/>
      <c r="AZ43" s="68"/>
    </row>
    <row r="44" spans="2:52" ht="16.5">
      <c r="B44" s="12">
        <v>900</v>
      </c>
      <c r="C44" s="72"/>
      <c r="D44" s="72"/>
      <c r="E44" s="72"/>
      <c r="F44" s="74"/>
      <c r="G44" s="72"/>
      <c r="H44" s="72"/>
      <c r="J44" s="12">
        <v>900</v>
      </c>
      <c r="K44" s="102"/>
      <c r="L44" s="102"/>
      <c r="M44"/>
      <c r="N44"/>
      <c r="Q44" s="19">
        <v>900</v>
      </c>
      <c r="R44" s="8">
        <f t="shared" si="14"/>
        <v>20</v>
      </c>
      <c r="S44" s="8">
        <f t="shared" si="15"/>
        <v>20</v>
      </c>
      <c r="T44" s="8">
        <f t="shared" si="16"/>
        <v>20</v>
      </c>
      <c r="V44" s="19">
        <v>900</v>
      </c>
      <c r="W44" s="8">
        <f t="shared" si="3"/>
        <v>20</v>
      </c>
      <c r="X44" s="8">
        <f t="shared" si="12"/>
        <v>20</v>
      </c>
      <c r="Y44" s="8">
        <f t="shared" si="17"/>
        <v>30</v>
      </c>
      <c r="AB44" s="20">
        <v>900</v>
      </c>
      <c r="AC44" s="9">
        <f t="shared" si="18"/>
        <v>20</v>
      </c>
      <c r="AD44" s="9">
        <f t="shared" si="19"/>
        <v>20</v>
      </c>
      <c r="AE44" s="9">
        <f t="shared" si="20"/>
        <v>20</v>
      </c>
      <c r="AG44" s="20">
        <v>900</v>
      </c>
      <c r="AH44" s="9">
        <f t="shared" si="8"/>
        <v>20</v>
      </c>
      <c r="AI44" s="9">
        <f t="shared" si="13"/>
        <v>20</v>
      </c>
      <c r="AJ44" s="9">
        <f t="shared" si="9"/>
        <v>30</v>
      </c>
      <c r="AM44" s="21">
        <v>900</v>
      </c>
      <c r="AN44" s="10">
        <v>-10</v>
      </c>
      <c r="AP44" s="10">
        <f t="shared" si="21"/>
        <v>20</v>
      </c>
      <c r="AQ44" s="10">
        <f t="shared" si="22"/>
        <v>30</v>
      </c>
      <c r="AT44" s="12">
        <v>900</v>
      </c>
      <c r="AU44" s="80"/>
      <c r="AV44" s="68"/>
      <c r="AW44" s="68"/>
      <c r="AX44" s="68"/>
      <c r="AY44" s="68"/>
      <c r="AZ44" s="68"/>
    </row>
    <row r="45" spans="2:52" ht="16.5">
      <c r="B45" s="12">
        <v>950</v>
      </c>
      <c r="C45" s="72"/>
      <c r="D45" s="72"/>
      <c r="E45" s="72"/>
      <c r="F45" s="74"/>
      <c r="G45" s="72"/>
      <c r="H45" s="72"/>
      <c r="J45" s="12">
        <v>950</v>
      </c>
      <c r="K45" s="102"/>
      <c r="L45" s="102"/>
      <c r="M45"/>
      <c r="N45"/>
      <c r="Q45" s="19">
        <v>950</v>
      </c>
      <c r="R45" s="8">
        <f t="shared" si="14"/>
        <v>20</v>
      </c>
      <c r="S45" s="8">
        <f t="shared" si="15"/>
        <v>20</v>
      </c>
      <c r="T45" s="8">
        <f t="shared" si="16"/>
        <v>20</v>
      </c>
      <c r="V45" s="19">
        <v>950</v>
      </c>
      <c r="W45" s="8">
        <f t="shared" si="3"/>
        <v>20</v>
      </c>
      <c r="X45" s="8">
        <f t="shared" si="12"/>
        <v>20</v>
      </c>
      <c r="Y45" s="8">
        <f t="shared" si="17"/>
        <v>30</v>
      </c>
      <c r="AB45" s="20">
        <v>950</v>
      </c>
      <c r="AC45" s="9">
        <f t="shared" si="18"/>
        <v>20</v>
      </c>
      <c r="AD45" s="9">
        <f t="shared" si="19"/>
        <v>20</v>
      </c>
      <c r="AE45" s="9">
        <f t="shared" si="20"/>
        <v>20</v>
      </c>
      <c r="AG45" s="20">
        <v>950</v>
      </c>
      <c r="AH45" s="9">
        <f t="shared" si="8"/>
        <v>20</v>
      </c>
      <c r="AI45" s="9">
        <f t="shared" si="13"/>
        <v>20</v>
      </c>
      <c r="AJ45" s="9">
        <f t="shared" si="9"/>
        <v>30</v>
      </c>
      <c r="AM45" s="21">
        <v>950</v>
      </c>
      <c r="AN45" s="10">
        <v>-10</v>
      </c>
      <c r="AP45" s="10">
        <f t="shared" si="21"/>
        <v>20</v>
      </c>
      <c r="AQ45" s="10">
        <f t="shared" si="22"/>
        <v>30</v>
      </c>
      <c r="AT45" s="12">
        <v>950</v>
      </c>
      <c r="AU45" s="80"/>
      <c r="AV45" s="68"/>
      <c r="AW45" s="68"/>
      <c r="AX45" s="68"/>
      <c r="AY45" s="68"/>
      <c r="AZ45" s="68"/>
    </row>
    <row r="46" spans="2:52" ht="16.5">
      <c r="B46" s="12">
        <v>1000</v>
      </c>
      <c r="C46" s="72"/>
      <c r="D46" s="72"/>
      <c r="E46" s="72"/>
      <c r="F46" s="74"/>
      <c r="G46" s="72"/>
      <c r="H46" s="72"/>
      <c r="J46" s="12">
        <v>1000</v>
      </c>
      <c r="K46" s="102"/>
      <c r="L46" s="102"/>
      <c r="M46"/>
      <c r="N46"/>
      <c r="Q46" s="19">
        <v>1000</v>
      </c>
      <c r="R46" s="8">
        <f t="shared" si="14"/>
        <v>20</v>
      </c>
      <c r="S46" s="8">
        <f t="shared" si="15"/>
        <v>20</v>
      </c>
      <c r="T46" s="8">
        <f t="shared" si="16"/>
        <v>20</v>
      </c>
      <c r="V46" s="19">
        <v>1000</v>
      </c>
      <c r="W46" s="8">
        <f t="shared" si="3"/>
        <v>20</v>
      </c>
      <c r="X46" s="8">
        <f t="shared" si="12"/>
        <v>20</v>
      </c>
      <c r="Y46" s="8">
        <f t="shared" si="17"/>
        <v>30</v>
      </c>
      <c r="AB46" s="20">
        <v>1000</v>
      </c>
      <c r="AC46" s="9">
        <f t="shared" si="18"/>
        <v>20</v>
      </c>
      <c r="AD46" s="9">
        <f t="shared" si="19"/>
        <v>20</v>
      </c>
      <c r="AE46" s="9">
        <f t="shared" si="20"/>
        <v>20</v>
      </c>
      <c r="AG46" s="20">
        <v>1000</v>
      </c>
      <c r="AH46" s="9">
        <f t="shared" si="8"/>
        <v>20</v>
      </c>
      <c r="AI46" s="9">
        <f t="shared" si="13"/>
        <v>20</v>
      </c>
      <c r="AJ46" s="9">
        <f t="shared" si="9"/>
        <v>30</v>
      </c>
      <c r="AM46" s="21">
        <v>1000</v>
      </c>
      <c r="AN46" s="10">
        <v>-10</v>
      </c>
      <c r="AO46" s="10">
        <v>10</v>
      </c>
      <c r="AP46" s="10">
        <f t="shared" si="21"/>
        <v>20</v>
      </c>
      <c r="AQ46" s="10">
        <f t="shared" si="22"/>
        <v>30</v>
      </c>
      <c r="AT46" s="12">
        <v>1000</v>
      </c>
      <c r="AU46" s="80"/>
      <c r="AV46" s="68"/>
      <c r="AW46" s="68"/>
      <c r="AX46" s="68"/>
      <c r="AY46" s="68"/>
      <c r="AZ46" s="68"/>
    </row>
    <row r="47" spans="2:52" ht="16.5">
      <c r="B47" s="12">
        <v>1060</v>
      </c>
      <c r="C47" s="72"/>
      <c r="D47" s="72"/>
      <c r="E47" s="72"/>
      <c r="F47" s="74"/>
      <c r="G47" s="72"/>
      <c r="H47" s="72"/>
      <c r="J47" s="12">
        <v>1060</v>
      </c>
      <c r="K47" s="102"/>
      <c r="L47" s="102"/>
      <c r="M47"/>
      <c r="N47"/>
      <c r="Q47" s="19">
        <v>1060</v>
      </c>
      <c r="R47" s="8">
        <f t="shared" si="14"/>
        <v>20</v>
      </c>
      <c r="S47" s="8">
        <f t="shared" si="15"/>
        <v>20</v>
      </c>
      <c r="T47" s="8">
        <f t="shared" si="16"/>
        <v>20</v>
      </c>
      <c r="V47" s="19">
        <v>1060</v>
      </c>
      <c r="W47" s="8">
        <f t="shared" si="3"/>
        <v>20</v>
      </c>
      <c r="X47" s="8">
        <f t="shared" si="12"/>
        <v>20</v>
      </c>
      <c r="Y47" s="8">
        <f t="shared" si="17"/>
        <v>30</v>
      </c>
      <c r="AB47" s="20">
        <v>1060</v>
      </c>
      <c r="AC47" s="9">
        <f t="shared" si="18"/>
        <v>20</v>
      </c>
      <c r="AD47" s="9">
        <f t="shared" si="19"/>
        <v>20</v>
      </c>
      <c r="AE47" s="9">
        <f t="shared" si="20"/>
        <v>20</v>
      </c>
      <c r="AG47" s="20">
        <v>1060</v>
      </c>
      <c r="AH47" s="9">
        <f t="shared" si="8"/>
        <v>20</v>
      </c>
      <c r="AI47" s="9">
        <f t="shared" si="13"/>
        <v>20</v>
      </c>
      <c r="AJ47" s="9">
        <f t="shared" si="9"/>
        <v>30</v>
      </c>
      <c r="AM47" s="21">
        <v>1060</v>
      </c>
      <c r="AN47" s="10">
        <v>-10</v>
      </c>
      <c r="AP47" s="10">
        <f t="shared" si="21"/>
        <v>20</v>
      </c>
      <c r="AQ47" s="10">
        <f t="shared" si="22"/>
        <v>30</v>
      </c>
      <c r="AT47" s="12">
        <v>1060</v>
      </c>
      <c r="AU47" s="80"/>
      <c r="AV47" s="68"/>
      <c r="AW47" s="68"/>
      <c r="AX47" s="68"/>
      <c r="AY47" s="68"/>
      <c r="AZ47" s="68"/>
    </row>
    <row r="48" spans="2:52" ht="16.5">
      <c r="B48" s="12">
        <v>1120</v>
      </c>
      <c r="C48" s="72"/>
      <c r="D48" s="72"/>
      <c r="E48" s="72"/>
      <c r="F48" s="74"/>
      <c r="G48" s="72"/>
      <c r="H48" s="72"/>
      <c r="J48" s="12">
        <v>1120</v>
      </c>
      <c r="K48" s="102"/>
      <c r="L48" s="102"/>
      <c r="M48"/>
      <c r="N48"/>
      <c r="Q48" s="19">
        <v>1120</v>
      </c>
      <c r="R48" s="8">
        <f t="shared" si="14"/>
        <v>20</v>
      </c>
      <c r="S48" s="8">
        <f t="shared" si="15"/>
        <v>20</v>
      </c>
      <c r="T48" s="8">
        <f t="shared" si="16"/>
        <v>20</v>
      </c>
      <c r="V48" s="19">
        <v>1120</v>
      </c>
      <c r="W48" s="8">
        <f t="shared" si="3"/>
        <v>20</v>
      </c>
      <c r="X48" s="8">
        <f t="shared" si="12"/>
        <v>20</v>
      </c>
      <c r="Y48" s="8">
        <f t="shared" si="17"/>
        <v>30</v>
      </c>
      <c r="AB48" s="20">
        <v>1120</v>
      </c>
      <c r="AC48" s="9">
        <f t="shared" si="18"/>
        <v>20</v>
      </c>
      <c r="AD48" s="9">
        <f t="shared" si="19"/>
        <v>20</v>
      </c>
      <c r="AE48" s="9">
        <f t="shared" si="20"/>
        <v>20</v>
      </c>
      <c r="AG48" s="20">
        <v>1120</v>
      </c>
      <c r="AH48" s="9">
        <f t="shared" si="8"/>
        <v>20</v>
      </c>
      <c r="AI48" s="9">
        <f t="shared" si="13"/>
        <v>20</v>
      </c>
      <c r="AJ48" s="9">
        <f t="shared" si="9"/>
        <v>30</v>
      </c>
      <c r="AM48" s="21">
        <v>1120</v>
      </c>
      <c r="AN48" s="10">
        <v>-10</v>
      </c>
      <c r="AP48" s="10">
        <f t="shared" si="21"/>
        <v>20</v>
      </c>
      <c r="AQ48" s="10">
        <f t="shared" si="22"/>
        <v>30</v>
      </c>
      <c r="AT48" s="12">
        <v>1120</v>
      </c>
      <c r="AU48" s="80"/>
      <c r="AV48" s="68"/>
      <c r="AW48" s="68"/>
      <c r="AX48" s="68"/>
      <c r="AY48" s="68"/>
      <c r="AZ48" s="68"/>
    </row>
    <row r="49" spans="2:52" ht="16.5">
      <c r="B49" s="12">
        <v>1180</v>
      </c>
      <c r="C49" s="72"/>
      <c r="D49" s="72"/>
      <c r="E49" s="72"/>
      <c r="F49" s="74"/>
      <c r="G49" s="72"/>
      <c r="H49" s="72"/>
      <c r="J49" s="12">
        <v>1180</v>
      </c>
      <c r="K49" s="102"/>
      <c r="L49" s="102"/>
      <c r="M49"/>
      <c r="N49"/>
      <c r="Q49" s="19">
        <v>1180</v>
      </c>
      <c r="R49" s="8">
        <f t="shared" si="14"/>
        <v>20</v>
      </c>
      <c r="S49" s="8">
        <f t="shared" si="15"/>
        <v>20</v>
      </c>
      <c r="T49" s="8">
        <f t="shared" si="16"/>
        <v>20</v>
      </c>
      <c r="V49" s="19">
        <v>1180</v>
      </c>
      <c r="W49" s="8">
        <f t="shared" si="3"/>
        <v>20</v>
      </c>
      <c r="X49" s="8">
        <f t="shared" si="12"/>
        <v>20</v>
      </c>
      <c r="Y49" s="8">
        <f t="shared" si="17"/>
        <v>30</v>
      </c>
      <c r="AB49" s="20">
        <v>1180</v>
      </c>
      <c r="AC49" s="9">
        <f t="shared" si="18"/>
        <v>20</v>
      </c>
      <c r="AD49" s="9">
        <f t="shared" si="19"/>
        <v>20</v>
      </c>
      <c r="AE49" s="9">
        <f t="shared" si="20"/>
        <v>20</v>
      </c>
      <c r="AG49" s="20">
        <v>1180</v>
      </c>
      <c r="AH49" s="9">
        <f t="shared" si="8"/>
        <v>20</v>
      </c>
      <c r="AI49" s="9">
        <f t="shared" si="13"/>
        <v>20</v>
      </c>
      <c r="AJ49" s="9">
        <f t="shared" si="9"/>
        <v>30</v>
      </c>
      <c r="AM49" s="21">
        <v>1180</v>
      </c>
      <c r="AN49" s="10">
        <v>-10</v>
      </c>
      <c r="AO49" s="10">
        <v>10</v>
      </c>
      <c r="AP49" s="10">
        <f t="shared" si="21"/>
        <v>20</v>
      </c>
      <c r="AQ49" s="10">
        <f t="shared" si="22"/>
        <v>30</v>
      </c>
      <c r="AT49" s="12">
        <v>1180</v>
      </c>
      <c r="AU49" s="80"/>
      <c r="AV49" s="68"/>
      <c r="AW49" s="68"/>
      <c r="AX49" s="68"/>
      <c r="AY49" s="68"/>
      <c r="AZ49" s="68"/>
    </row>
    <row r="50" spans="2:52" ht="16.5">
      <c r="B50" s="12">
        <v>1250</v>
      </c>
      <c r="C50" s="72"/>
      <c r="D50" s="72"/>
      <c r="E50" s="72"/>
      <c r="F50" s="74"/>
      <c r="G50" s="72"/>
      <c r="H50" s="72"/>
      <c r="J50" s="12">
        <v>1250</v>
      </c>
      <c r="K50" s="102"/>
      <c r="L50" s="102"/>
      <c r="M50"/>
      <c r="N50"/>
      <c r="Q50" s="19">
        <v>1250</v>
      </c>
      <c r="R50" s="8">
        <f t="shared" si="14"/>
        <v>20</v>
      </c>
      <c r="S50" s="8">
        <f t="shared" si="15"/>
        <v>20</v>
      </c>
      <c r="T50" s="8">
        <f t="shared" si="16"/>
        <v>20</v>
      </c>
      <c r="V50" s="19">
        <v>1250</v>
      </c>
      <c r="W50" s="8">
        <f t="shared" si="3"/>
        <v>20</v>
      </c>
      <c r="X50" s="8">
        <f t="shared" si="12"/>
        <v>20</v>
      </c>
      <c r="Y50" s="8">
        <f t="shared" si="17"/>
        <v>30</v>
      </c>
      <c r="AB50" s="20">
        <v>1250</v>
      </c>
      <c r="AC50" s="9">
        <f t="shared" si="18"/>
        <v>20</v>
      </c>
      <c r="AD50" s="9">
        <f t="shared" si="19"/>
        <v>20</v>
      </c>
      <c r="AE50" s="9">
        <f t="shared" si="20"/>
        <v>20</v>
      </c>
      <c r="AG50" s="20">
        <v>1250</v>
      </c>
      <c r="AH50" s="9">
        <f t="shared" si="8"/>
        <v>20</v>
      </c>
      <c r="AI50" s="9">
        <f t="shared" si="13"/>
        <v>20</v>
      </c>
      <c r="AJ50" s="9">
        <f t="shared" si="9"/>
        <v>30</v>
      </c>
      <c r="AM50" s="21">
        <v>1250</v>
      </c>
      <c r="AN50" s="10">
        <v>-10</v>
      </c>
      <c r="AP50" s="10">
        <f t="shared" si="21"/>
        <v>20</v>
      </c>
      <c r="AQ50" s="10">
        <f t="shared" si="22"/>
        <v>30</v>
      </c>
      <c r="AT50" s="12">
        <v>1250</v>
      </c>
      <c r="AU50" s="80"/>
      <c r="AV50" s="68"/>
      <c r="AW50" s="68"/>
      <c r="AX50" s="68"/>
      <c r="AY50" s="68"/>
      <c r="AZ50" s="68"/>
    </row>
    <row r="51" spans="2:52" ht="16.5">
      <c r="B51" s="12">
        <v>1320</v>
      </c>
      <c r="C51" s="72"/>
      <c r="D51" s="72"/>
      <c r="E51" s="72"/>
      <c r="F51" s="74"/>
      <c r="G51" s="72"/>
      <c r="H51" s="72"/>
      <c r="J51" s="12">
        <v>1320</v>
      </c>
      <c r="K51" s="102"/>
      <c r="L51" s="102"/>
      <c r="M51"/>
      <c r="N51"/>
      <c r="Q51" s="19">
        <v>1320</v>
      </c>
      <c r="R51" s="8">
        <f t="shared" si="14"/>
        <v>20</v>
      </c>
      <c r="S51" s="8">
        <f t="shared" si="15"/>
        <v>20</v>
      </c>
      <c r="T51" s="8">
        <f t="shared" si="16"/>
        <v>20</v>
      </c>
      <c r="V51" s="19">
        <v>1320</v>
      </c>
      <c r="W51" s="8">
        <f t="shared" si="3"/>
        <v>20</v>
      </c>
      <c r="X51" s="8">
        <f t="shared" si="12"/>
        <v>20</v>
      </c>
      <c r="Y51" s="8">
        <f t="shared" si="17"/>
        <v>30</v>
      </c>
      <c r="AB51" s="20">
        <v>1320</v>
      </c>
      <c r="AC51" s="9">
        <f t="shared" si="18"/>
        <v>20</v>
      </c>
      <c r="AD51" s="9">
        <f t="shared" si="19"/>
        <v>20</v>
      </c>
      <c r="AE51" s="9">
        <f t="shared" si="20"/>
        <v>20</v>
      </c>
      <c r="AG51" s="20">
        <v>1320</v>
      </c>
      <c r="AH51" s="9">
        <f t="shared" si="8"/>
        <v>20</v>
      </c>
      <c r="AI51" s="9">
        <f t="shared" si="13"/>
        <v>20</v>
      </c>
      <c r="AJ51" s="9">
        <f t="shared" si="9"/>
        <v>30</v>
      </c>
      <c r="AM51" s="21">
        <v>1320</v>
      </c>
      <c r="AN51" s="10">
        <v>-10</v>
      </c>
      <c r="AP51" s="10">
        <f t="shared" si="21"/>
        <v>20</v>
      </c>
      <c r="AQ51" s="10">
        <f t="shared" si="22"/>
        <v>30</v>
      </c>
      <c r="AT51" s="12">
        <v>1320</v>
      </c>
      <c r="AU51" s="80"/>
      <c r="AV51" s="68"/>
      <c r="AW51" s="68"/>
      <c r="AX51" s="68"/>
      <c r="AY51" s="68"/>
      <c r="AZ51" s="68"/>
    </row>
    <row r="52" spans="2:52" ht="16.5">
      <c r="B52" s="12">
        <v>1400</v>
      </c>
      <c r="C52" s="72"/>
      <c r="D52" s="72"/>
      <c r="E52" s="72"/>
      <c r="F52" s="74"/>
      <c r="G52" s="72"/>
      <c r="H52" s="72"/>
      <c r="J52" s="12">
        <v>1400</v>
      </c>
      <c r="K52" s="102"/>
      <c r="L52" s="102"/>
      <c r="M52"/>
      <c r="N52"/>
      <c r="Q52" s="19">
        <v>1400</v>
      </c>
      <c r="R52" s="8">
        <f t="shared" si="14"/>
        <v>20</v>
      </c>
      <c r="S52" s="8">
        <f t="shared" si="15"/>
        <v>20</v>
      </c>
      <c r="T52" s="8">
        <f t="shared" si="16"/>
        <v>20</v>
      </c>
      <c r="V52" s="19">
        <v>1400</v>
      </c>
      <c r="W52" s="8">
        <f t="shared" si="3"/>
        <v>20</v>
      </c>
      <c r="X52" s="8">
        <f t="shared" si="12"/>
        <v>20</v>
      </c>
      <c r="Y52" s="8">
        <f t="shared" si="17"/>
        <v>30</v>
      </c>
      <c r="AB52" s="20">
        <v>1400</v>
      </c>
      <c r="AC52" s="9">
        <f t="shared" si="18"/>
        <v>20</v>
      </c>
      <c r="AD52" s="9">
        <f t="shared" si="19"/>
        <v>20</v>
      </c>
      <c r="AE52" s="9">
        <f t="shared" si="20"/>
        <v>20</v>
      </c>
      <c r="AG52" s="20">
        <v>1400</v>
      </c>
      <c r="AH52" s="9">
        <f t="shared" si="8"/>
        <v>20</v>
      </c>
      <c r="AI52" s="9">
        <f t="shared" si="13"/>
        <v>20</v>
      </c>
      <c r="AJ52" s="9">
        <f t="shared" si="9"/>
        <v>30</v>
      </c>
      <c r="AM52" s="21">
        <v>1400</v>
      </c>
      <c r="AN52" s="10">
        <v>-10</v>
      </c>
      <c r="AO52" s="10">
        <v>10</v>
      </c>
      <c r="AP52" s="10">
        <f t="shared" si="21"/>
        <v>20</v>
      </c>
      <c r="AQ52" s="10">
        <f t="shared" si="22"/>
        <v>30</v>
      </c>
      <c r="AT52" s="12">
        <v>1400</v>
      </c>
      <c r="AU52" s="80"/>
      <c r="AV52" s="68"/>
      <c r="AW52" s="68"/>
      <c r="AX52" s="68"/>
      <c r="AY52" s="68"/>
      <c r="AZ52" s="68"/>
    </row>
    <row r="53" spans="2:52" ht="16.5">
      <c r="B53" s="12">
        <v>1500</v>
      </c>
      <c r="C53" s="72"/>
      <c r="D53" s="72"/>
      <c r="E53" s="72"/>
      <c r="F53" s="74"/>
      <c r="G53" s="72"/>
      <c r="H53" s="72"/>
      <c r="J53" s="12">
        <v>1500</v>
      </c>
      <c r="K53" s="102"/>
      <c r="L53" s="102"/>
      <c r="M53"/>
      <c r="N53"/>
      <c r="Q53" s="19">
        <v>1500</v>
      </c>
      <c r="R53" s="8">
        <f t="shared" si="14"/>
        <v>20</v>
      </c>
      <c r="S53" s="8">
        <f t="shared" si="15"/>
        <v>20</v>
      </c>
      <c r="T53" s="8">
        <f t="shared" si="16"/>
        <v>20</v>
      </c>
      <c r="V53" s="19">
        <v>1500</v>
      </c>
      <c r="W53" s="8">
        <f t="shared" si="3"/>
        <v>20</v>
      </c>
      <c r="X53" s="8">
        <f t="shared" si="12"/>
        <v>20</v>
      </c>
      <c r="Y53" s="8">
        <f t="shared" si="17"/>
        <v>30</v>
      </c>
      <c r="AB53" s="20">
        <v>1500</v>
      </c>
      <c r="AC53" s="9">
        <f t="shared" si="18"/>
        <v>20</v>
      </c>
      <c r="AD53" s="9">
        <f t="shared" si="19"/>
        <v>20</v>
      </c>
      <c r="AE53" s="9">
        <f t="shared" si="20"/>
        <v>20</v>
      </c>
      <c r="AG53" s="20">
        <v>1500</v>
      </c>
      <c r="AH53" s="9">
        <f t="shared" si="8"/>
        <v>20</v>
      </c>
      <c r="AI53" s="9">
        <f t="shared" si="13"/>
        <v>20</v>
      </c>
      <c r="AJ53" s="9">
        <f t="shared" si="9"/>
        <v>30</v>
      </c>
      <c r="AM53" s="21">
        <v>1500</v>
      </c>
      <c r="AN53" s="10">
        <v>-10</v>
      </c>
      <c r="AP53" s="10">
        <f t="shared" si="21"/>
        <v>20</v>
      </c>
      <c r="AQ53" s="10">
        <f t="shared" si="22"/>
        <v>30</v>
      </c>
      <c r="AT53" s="12">
        <v>1500</v>
      </c>
      <c r="AU53" s="80"/>
      <c r="AV53" s="68"/>
      <c r="AW53" s="68"/>
      <c r="AX53" s="68"/>
      <c r="AY53" s="68"/>
      <c r="AZ53" s="68"/>
    </row>
    <row r="54" spans="2:52" ht="16.5">
      <c r="B54" s="12">
        <v>1600</v>
      </c>
      <c r="C54" s="72"/>
      <c r="D54" s="72"/>
      <c r="E54" s="72"/>
      <c r="F54" s="74"/>
      <c r="G54" s="72"/>
      <c r="H54" s="72"/>
      <c r="J54" s="12">
        <v>1600</v>
      </c>
      <c r="K54" s="102"/>
      <c r="L54" s="102"/>
      <c r="M54"/>
      <c r="N54"/>
      <c r="Q54" s="19">
        <v>1600</v>
      </c>
      <c r="R54" s="8">
        <f t="shared" si="14"/>
        <v>20</v>
      </c>
      <c r="S54" s="8">
        <f t="shared" si="15"/>
        <v>20</v>
      </c>
      <c r="T54" s="8">
        <f t="shared" si="16"/>
        <v>20</v>
      </c>
      <c r="V54" s="19">
        <v>1600</v>
      </c>
      <c r="W54" s="8">
        <f t="shared" si="3"/>
        <v>20</v>
      </c>
      <c r="X54" s="8">
        <f t="shared" si="12"/>
        <v>20</v>
      </c>
      <c r="Y54" s="8">
        <f t="shared" si="17"/>
        <v>30</v>
      </c>
      <c r="AB54" s="20">
        <v>1600</v>
      </c>
      <c r="AC54" s="9">
        <f t="shared" si="18"/>
        <v>20</v>
      </c>
      <c r="AD54" s="9">
        <f t="shared" si="19"/>
        <v>20</v>
      </c>
      <c r="AE54" s="9">
        <f t="shared" si="20"/>
        <v>20</v>
      </c>
      <c r="AG54" s="20">
        <v>1600</v>
      </c>
      <c r="AH54" s="9">
        <f t="shared" si="8"/>
        <v>20</v>
      </c>
      <c r="AI54" s="9">
        <f t="shared" si="13"/>
        <v>20</v>
      </c>
      <c r="AJ54" s="9">
        <f t="shared" si="9"/>
        <v>30</v>
      </c>
      <c r="AM54" s="21">
        <v>1600</v>
      </c>
      <c r="AN54" s="10">
        <v>-10</v>
      </c>
      <c r="AP54" s="10">
        <f t="shared" si="21"/>
        <v>20</v>
      </c>
      <c r="AQ54" s="10">
        <f t="shared" si="22"/>
        <v>30</v>
      </c>
      <c r="AT54" s="12">
        <v>1600</v>
      </c>
      <c r="AU54" s="80"/>
      <c r="AV54" s="68"/>
      <c r="AW54" s="68"/>
      <c r="AX54" s="68"/>
      <c r="AY54" s="68"/>
      <c r="AZ54" s="68"/>
    </row>
    <row r="55" spans="2:52" ht="16.5">
      <c r="B55" s="12">
        <v>1700</v>
      </c>
      <c r="C55" s="72"/>
      <c r="D55" s="72"/>
      <c r="E55" s="72"/>
      <c r="F55" s="74"/>
      <c r="G55" s="72"/>
      <c r="H55" s="72"/>
      <c r="J55" s="12">
        <v>1700</v>
      </c>
      <c r="K55" s="102"/>
      <c r="L55" s="102"/>
      <c r="M55"/>
      <c r="N55"/>
      <c r="Q55" s="19">
        <v>1700</v>
      </c>
      <c r="R55" s="8">
        <f t="shared" si="14"/>
        <v>20</v>
      </c>
      <c r="S55" s="8">
        <f t="shared" si="15"/>
        <v>20</v>
      </c>
      <c r="T55" s="8">
        <f t="shared" si="16"/>
        <v>20</v>
      </c>
      <c r="V55" s="19">
        <v>1700</v>
      </c>
      <c r="W55" s="8">
        <f t="shared" si="3"/>
        <v>20</v>
      </c>
      <c r="X55" s="8">
        <f t="shared" si="12"/>
        <v>20</v>
      </c>
      <c r="Y55" s="8">
        <f t="shared" si="17"/>
        <v>30</v>
      </c>
      <c r="AB55" s="20">
        <v>1700</v>
      </c>
      <c r="AC55" s="9">
        <f t="shared" si="18"/>
        <v>20</v>
      </c>
      <c r="AD55" s="9">
        <f t="shared" si="19"/>
        <v>20</v>
      </c>
      <c r="AE55" s="9">
        <f t="shared" si="20"/>
        <v>20</v>
      </c>
      <c r="AG55" s="20">
        <v>1700</v>
      </c>
      <c r="AH55" s="9">
        <f t="shared" si="8"/>
        <v>20</v>
      </c>
      <c r="AI55" s="9">
        <f t="shared" si="13"/>
        <v>20</v>
      </c>
      <c r="AJ55" s="9">
        <f t="shared" si="9"/>
        <v>30</v>
      </c>
      <c r="AM55" s="21">
        <v>1700</v>
      </c>
      <c r="AN55" s="10">
        <v>-10</v>
      </c>
      <c r="AO55" s="10">
        <v>10</v>
      </c>
      <c r="AP55" s="10">
        <f t="shared" si="21"/>
        <v>20</v>
      </c>
      <c r="AQ55" s="10">
        <f t="shared" si="22"/>
        <v>30</v>
      </c>
      <c r="AT55" s="12">
        <v>1700</v>
      </c>
      <c r="AU55" s="80"/>
      <c r="AV55" s="68"/>
      <c r="AW55" s="68"/>
      <c r="AX55" s="68"/>
      <c r="AY55" s="68"/>
      <c r="AZ55" s="68"/>
    </row>
    <row r="56" spans="2:52" ht="16.5">
      <c r="B56" s="12">
        <v>1800</v>
      </c>
      <c r="C56" s="72"/>
      <c r="D56" s="72"/>
      <c r="E56" s="72"/>
      <c r="F56" s="74"/>
      <c r="G56" s="72"/>
      <c r="H56" s="72"/>
      <c r="J56" s="12">
        <v>1800</v>
      </c>
      <c r="K56" s="102"/>
      <c r="L56" s="102"/>
      <c r="M56"/>
      <c r="N56"/>
      <c r="Q56" s="19">
        <v>1800</v>
      </c>
      <c r="R56" s="8">
        <f t="shared" si="14"/>
        <v>20</v>
      </c>
      <c r="S56" s="8">
        <f t="shared" si="15"/>
        <v>20</v>
      </c>
      <c r="T56" s="8">
        <f t="shared" si="16"/>
        <v>20</v>
      </c>
      <c r="V56" s="19">
        <v>1800</v>
      </c>
      <c r="W56" s="8">
        <f t="shared" si="3"/>
        <v>20</v>
      </c>
      <c r="X56" s="8">
        <f t="shared" si="12"/>
        <v>20</v>
      </c>
      <c r="Y56" s="8">
        <f t="shared" si="17"/>
        <v>30</v>
      </c>
      <c r="AB56" s="20">
        <v>1800</v>
      </c>
      <c r="AC56" s="9">
        <f t="shared" si="18"/>
        <v>20</v>
      </c>
      <c r="AD56" s="9">
        <f t="shared" si="19"/>
        <v>20</v>
      </c>
      <c r="AE56" s="9">
        <f t="shared" si="20"/>
        <v>20</v>
      </c>
      <c r="AG56" s="20">
        <v>1800</v>
      </c>
      <c r="AH56" s="9">
        <f t="shared" si="8"/>
        <v>20</v>
      </c>
      <c r="AI56" s="9">
        <f t="shared" si="13"/>
        <v>20</v>
      </c>
      <c r="AJ56" s="9">
        <f t="shared" si="9"/>
        <v>30</v>
      </c>
      <c r="AM56" s="21">
        <v>1800</v>
      </c>
      <c r="AN56" s="10">
        <v>-10</v>
      </c>
      <c r="AP56" s="10">
        <f t="shared" si="21"/>
        <v>20</v>
      </c>
      <c r="AQ56" s="10">
        <f t="shared" si="22"/>
        <v>30</v>
      </c>
      <c r="AT56" s="12">
        <v>1800</v>
      </c>
      <c r="AU56" s="80"/>
      <c r="AV56" s="68"/>
      <c r="AW56" s="68"/>
      <c r="AX56" s="68"/>
      <c r="AY56" s="68"/>
      <c r="AZ56" s="68"/>
    </row>
    <row r="57" spans="2:52" ht="16.5">
      <c r="B57" s="12">
        <v>1900</v>
      </c>
      <c r="C57" s="72"/>
      <c r="D57" s="72"/>
      <c r="E57" s="72"/>
      <c r="F57" s="74"/>
      <c r="G57" s="72"/>
      <c r="H57" s="72"/>
      <c r="J57" s="12">
        <v>1900</v>
      </c>
      <c r="K57" s="102"/>
      <c r="L57" s="102"/>
      <c r="M57"/>
      <c r="N57"/>
      <c r="Q57" s="19">
        <v>1900</v>
      </c>
      <c r="R57" s="8">
        <f t="shared" si="14"/>
        <v>20</v>
      </c>
      <c r="S57" s="8">
        <f t="shared" si="15"/>
        <v>20</v>
      </c>
      <c r="T57" s="8">
        <f t="shared" si="16"/>
        <v>20</v>
      </c>
      <c r="V57" s="19">
        <v>1900</v>
      </c>
      <c r="W57" s="8">
        <f t="shared" si="3"/>
        <v>20</v>
      </c>
      <c r="X57" s="8">
        <f t="shared" si="12"/>
        <v>20</v>
      </c>
      <c r="Y57" s="8">
        <f t="shared" si="17"/>
        <v>30</v>
      </c>
      <c r="AB57" s="20">
        <v>1900</v>
      </c>
      <c r="AC57" s="9">
        <f t="shared" si="18"/>
        <v>20</v>
      </c>
      <c r="AD57" s="9">
        <f t="shared" si="19"/>
        <v>20</v>
      </c>
      <c r="AE57" s="9">
        <f t="shared" si="20"/>
        <v>20</v>
      </c>
      <c r="AG57" s="20">
        <v>1900</v>
      </c>
      <c r="AH57" s="9">
        <f t="shared" si="8"/>
        <v>20</v>
      </c>
      <c r="AI57" s="9">
        <f t="shared" si="13"/>
        <v>20</v>
      </c>
      <c r="AJ57" s="9">
        <f t="shared" si="9"/>
        <v>30</v>
      </c>
      <c r="AM57" s="21">
        <v>1900</v>
      </c>
      <c r="AN57" s="10">
        <v>-10</v>
      </c>
      <c r="AP57" s="10">
        <f t="shared" si="21"/>
        <v>20</v>
      </c>
      <c r="AQ57" s="10">
        <f t="shared" si="22"/>
        <v>30</v>
      </c>
      <c r="AT57" s="12">
        <v>1900</v>
      </c>
      <c r="AU57" s="80"/>
      <c r="AV57" s="68"/>
      <c r="AW57" s="68"/>
      <c r="AX57" s="68"/>
      <c r="AY57" s="68"/>
      <c r="AZ57" s="68"/>
    </row>
    <row r="58" spans="2:52" ht="16.5">
      <c r="B58" s="12">
        <v>2000</v>
      </c>
      <c r="C58" s="72"/>
      <c r="D58" s="72"/>
      <c r="E58" s="72"/>
      <c r="F58" s="74"/>
      <c r="G58" s="72"/>
      <c r="H58" s="72"/>
      <c r="J58" s="12">
        <v>2000</v>
      </c>
      <c r="K58" s="102"/>
      <c r="L58" s="102"/>
      <c r="M58"/>
      <c r="N58"/>
      <c r="Q58" s="19">
        <v>2000</v>
      </c>
      <c r="R58" s="8">
        <f t="shared" si="14"/>
        <v>20</v>
      </c>
      <c r="S58" s="8">
        <f t="shared" si="15"/>
        <v>20</v>
      </c>
      <c r="T58" s="8">
        <f t="shared" si="16"/>
        <v>20</v>
      </c>
      <c r="V58" s="19">
        <v>2000</v>
      </c>
      <c r="W58" s="8">
        <f t="shared" si="3"/>
        <v>20</v>
      </c>
      <c r="X58" s="8">
        <f t="shared" si="12"/>
        <v>20</v>
      </c>
      <c r="Y58" s="8">
        <f t="shared" si="17"/>
        <v>30</v>
      </c>
      <c r="AB58" s="20">
        <v>2000</v>
      </c>
      <c r="AC58" s="9">
        <f t="shared" si="18"/>
        <v>20</v>
      </c>
      <c r="AD58" s="9">
        <f t="shared" si="19"/>
        <v>20</v>
      </c>
      <c r="AE58" s="9">
        <f t="shared" si="20"/>
        <v>20</v>
      </c>
      <c r="AG58" s="20">
        <v>2000</v>
      </c>
      <c r="AH58" s="9">
        <f t="shared" si="8"/>
        <v>20</v>
      </c>
      <c r="AI58" s="9">
        <f t="shared" si="13"/>
        <v>20</v>
      </c>
      <c r="AJ58" s="9">
        <f t="shared" si="9"/>
        <v>30</v>
      </c>
      <c r="AM58" s="21">
        <v>2000</v>
      </c>
      <c r="AN58" s="10">
        <v>-10</v>
      </c>
      <c r="AO58" s="10">
        <v>10</v>
      </c>
      <c r="AP58" s="10">
        <f t="shared" si="21"/>
        <v>20</v>
      </c>
      <c r="AQ58" s="10">
        <f t="shared" si="22"/>
        <v>30</v>
      </c>
      <c r="AT58" s="12">
        <v>2000</v>
      </c>
      <c r="AU58" s="80"/>
      <c r="AV58" s="68"/>
      <c r="AW58" s="68"/>
      <c r="AX58" s="68"/>
      <c r="AY58" s="68"/>
      <c r="AZ58" s="68"/>
    </row>
    <row r="59" spans="2:52" ht="16.5">
      <c r="B59" s="12">
        <v>2120</v>
      </c>
      <c r="C59" s="72"/>
      <c r="D59" s="72"/>
      <c r="E59" s="72"/>
      <c r="F59" s="74"/>
      <c r="G59" s="72"/>
      <c r="H59" s="72"/>
      <c r="J59" s="12">
        <v>2120</v>
      </c>
      <c r="K59" s="102"/>
      <c r="L59" s="102"/>
      <c r="M59"/>
      <c r="N59"/>
      <c r="Q59" s="19">
        <v>2120</v>
      </c>
      <c r="R59" s="8">
        <f t="shared" si="14"/>
        <v>20</v>
      </c>
      <c r="S59" s="8">
        <f t="shared" si="15"/>
        <v>20</v>
      </c>
      <c r="T59" s="8">
        <f t="shared" si="16"/>
        <v>20</v>
      </c>
      <c r="V59" s="19">
        <v>2120</v>
      </c>
      <c r="W59" s="8">
        <f t="shared" si="3"/>
        <v>20</v>
      </c>
      <c r="X59" s="8">
        <f t="shared" si="12"/>
        <v>20</v>
      </c>
      <c r="Y59" s="8">
        <f t="shared" si="17"/>
        <v>30</v>
      </c>
      <c r="AB59" s="20">
        <v>2120</v>
      </c>
      <c r="AC59" s="9">
        <f t="shared" si="18"/>
        <v>20</v>
      </c>
      <c r="AD59" s="9">
        <f t="shared" si="19"/>
        <v>20</v>
      </c>
      <c r="AE59" s="9">
        <f t="shared" si="20"/>
        <v>20</v>
      </c>
      <c r="AG59" s="20">
        <v>2120</v>
      </c>
      <c r="AH59" s="9">
        <f t="shared" si="8"/>
        <v>20</v>
      </c>
      <c r="AI59" s="9">
        <f t="shared" si="13"/>
        <v>20</v>
      </c>
      <c r="AJ59" s="9">
        <f t="shared" si="9"/>
        <v>30</v>
      </c>
      <c r="AM59" s="21">
        <v>2120</v>
      </c>
      <c r="AN59" s="10">
        <v>-10</v>
      </c>
      <c r="AP59" s="10">
        <f t="shared" si="21"/>
        <v>20</v>
      </c>
      <c r="AQ59" s="10">
        <f t="shared" si="22"/>
        <v>30</v>
      </c>
      <c r="AT59" s="12">
        <v>2120</v>
      </c>
      <c r="AU59" s="80"/>
      <c r="AV59" s="68"/>
      <c r="AW59" s="68"/>
      <c r="AX59" s="68"/>
      <c r="AY59" s="68"/>
      <c r="AZ59" s="68"/>
    </row>
    <row r="60" spans="2:52" ht="16.5">
      <c r="B60" s="12">
        <v>2240</v>
      </c>
      <c r="C60" s="72"/>
      <c r="D60" s="72"/>
      <c r="E60" s="72"/>
      <c r="F60" s="74"/>
      <c r="G60" s="72"/>
      <c r="H60" s="72"/>
      <c r="J60" s="12">
        <v>2240</v>
      </c>
      <c r="K60" s="102"/>
      <c r="L60" s="102"/>
      <c r="M60"/>
      <c r="N60"/>
      <c r="Q60" s="19">
        <v>2240</v>
      </c>
      <c r="R60" s="8">
        <f t="shared" si="14"/>
        <v>20</v>
      </c>
      <c r="S60" s="8">
        <f t="shared" si="15"/>
        <v>20</v>
      </c>
      <c r="T60" s="8">
        <f t="shared" si="16"/>
        <v>20</v>
      </c>
      <c r="V60" s="19">
        <v>2240</v>
      </c>
      <c r="W60" s="8">
        <f t="shared" si="3"/>
        <v>20</v>
      </c>
      <c r="X60" s="8">
        <f t="shared" si="12"/>
        <v>20</v>
      </c>
      <c r="Y60" s="8">
        <f t="shared" si="17"/>
        <v>30</v>
      </c>
      <c r="AB60" s="20">
        <v>2240</v>
      </c>
      <c r="AC60" s="9">
        <f t="shared" si="18"/>
        <v>20</v>
      </c>
      <c r="AD60" s="9">
        <f t="shared" si="19"/>
        <v>20</v>
      </c>
      <c r="AE60" s="9">
        <f t="shared" si="20"/>
        <v>20</v>
      </c>
      <c r="AG60" s="20">
        <v>2240</v>
      </c>
      <c r="AH60" s="9">
        <f t="shared" si="8"/>
        <v>20</v>
      </c>
      <c r="AI60" s="9">
        <f t="shared" si="13"/>
        <v>20</v>
      </c>
      <c r="AJ60" s="9">
        <f t="shared" si="9"/>
        <v>30</v>
      </c>
      <c r="AM60" s="21">
        <v>2240</v>
      </c>
      <c r="AN60" s="10">
        <v>-10</v>
      </c>
      <c r="AP60" s="10">
        <f t="shared" si="21"/>
        <v>20</v>
      </c>
      <c r="AQ60" s="10">
        <f t="shared" si="22"/>
        <v>30</v>
      </c>
      <c r="AT60" s="12">
        <v>2240</v>
      </c>
      <c r="AU60" s="80"/>
      <c r="AV60" s="68"/>
      <c r="AW60" s="68"/>
      <c r="AX60" s="68"/>
      <c r="AY60" s="68"/>
      <c r="AZ60" s="68"/>
    </row>
    <row r="61" spans="2:52" ht="16.5">
      <c r="B61" s="12">
        <v>2360</v>
      </c>
      <c r="C61" s="72"/>
      <c r="D61" s="72"/>
      <c r="E61" s="72"/>
      <c r="F61" s="74"/>
      <c r="G61" s="72"/>
      <c r="H61" s="72"/>
      <c r="J61" s="12">
        <v>2360</v>
      </c>
      <c r="K61" s="102"/>
      <c r="L61" s="102"/>
      <c r="M61"/>
      <c r="N61"/>
      <c r="Q61" s="19">
        <v>2360</v>
      </c>
      <c r="R61" s="8">
        <f t="shared" si="14"/>
        <v>20</v>
      </c>
      <c r="S61" s="8">
        <f t="shared" si="15"/>
        <v>20</v>
      </c>
      <c r="T61" s="8">
        <f t="shared" si="16"/>
        <v>20</v>
      </c>
      <c r="V61" s="19">
        <v>2360</v>
      </c>
      <c r="W61" s="8">
        <f t="shared" si="3"/>
        <v>20</v>
      </c>
      <c r="X61" s="8">
        <f t="shared" si="12"/>
        <v>20</v>
      </c>
      <c r="Y61" s="8">
        <f t="shared" si="17"/>
        <v>30</v>
      </c>
      <c r="AB61" s="20">
        <v>2360</v>
      </c>
      <c r="AC61" s="9">
        <f t="shared" si="18"/>
        <v>20</v>
      </c>
      <c r="AD61" s="9">
        <f t="shared" si="19"/>
        <v>20</v>
      </c>
      <c r="AE61" s="9">
        <f t="shared" si="20"/>
        <v>20</v>
      </c>
      <c r="AG61" s="20">
        <v>2360</v>
      </c>
      <c r="AH61" s="9">
        <f t="shared" si="8"/>
        <v>20</v>
      </c>
      <c r="AI61" s="9">
        <f t="shared" si="13"/>
        <v>20</v>
      </c>
      <c r="AJ61" s="9">
        <f t="shared" si="9"/>
        <v>30</v>
      </c>
      <c r="AM61" s="21">
        <v>2360</v>
      </c>
      <c r="AN61" s="10">
        <v>-10</v>
      </c>
      <c r="AO61" s="10">
        <v>10</v>
      </c>
      <c r="AP61" s="10">
        <f t="shared" si="21"/>
        <v>20</v>
      </c>
      <c r="AQ61" s="10">
        <f t="shared" si="22"/>
        <v>30</v>
      </c>
      <c r="AT61" s="12">
        <v>2360</v>
      </c>
      <c r="AU61" s="80"/>
      <c r="AV61" s="68"/>
      <c r="AW61" s="68"/>
      <c r="AX61" s="68"/>
      <c r="AY61" s="68"/>
      <c r="AZ61" s="68"/>
    </row>
    <row r="62" spans="2:52" ht="16.5">
      <c r="B62" s="12">
        <v>2500</v>
      </c>
      <c r="C62" s="72"/>
      <c r="D62" s="72"/>
      <c r="E62" s="72"/>
      <c r="F62" s="74"/>
      <c r="G62" s="72"/>
      <c r="H62" s="72"/>
      <c r="J62" s="12">
        <v>2500</v>
      </c>
      <c r="K62" s="102"/>
      <c r="L62" s="102"/>
      <c r="M62"/>
      <c r="N62"/>
      <c r="Q62" s="19">
        <v>2500</v>
      </c>
      <c r="R62" s="8">
        <f t="shared" si="14"/>
        <v>20</v>
      </c>
      <c r="S62" s="8">
        <f t="shared" si="15"/>
        <v>20</v>
      </c>
      <c r="T62" s="8">
        <f t="shared" si="16"/>
        <v>20</v>
      </c>
      <c r="V62" s="19">
        <v>2500</v>
      </c>
      <c r="W62" s="8">
        <f t="shared" si="3"/>
        <v>20</v>
      </c>
      <c r="X62" s="8">
        <f t="shared" si="12"/>
        <v>20</v>
      </c>
      <c r="Y62" s="8">
        <f t="shared" si="17"/>
        <v>30</v>
      </c>
      <c r="AB62" s="20">
        <v>2500</v>
      </c>
      <c r="AC62" s="9">
        <f t="shared" si="18"/>
        <v>20</v>
      </c>
      <c r="AD62" s="9">
        <f t="shared" si="19"/>
        <v>20</v>
      </c>
      <c r="AE62" s="9">
        <f t="shared" si="20"/>
        <v>20</v>
      </c>
      <c r="AG62" s="20">
        <v>2500</v>
      </c>
      <c r="AH62" s="9">
        <f t="shared" si="8"/>
        <v>20</v>
      </c>
      <c r="AI62" s="9">
        <f t="shared" si="13"/>
        <v>20</v>
      </c>
      <c r="AJ62" s="9">
        <f t="shared" si="9"/>
        <v>30</v>
      </c>
      <c r="AM62" s="21">
        <v>2500</v>
      </c>
      <c r="AN62" s="10">
        <v>-10</v>
      </c>
      <c r="AP62" s="10">
        <f t="shared" si="21"/>
        <v>20</v>
      </c>
      <c r="AQ62" s="10">
        <f t="shared" si="22"/>
        <v>30</v>
      </c>
      <c r="AT62" s="12">
        <v>2500</v>
      </c>
      <c r="AU62" s="80"/>
      <c r="AV62" s="68"/>
      <c r="AW62" s="68"/>
      <c r="AX62" s="68"/>
      <c r="AY62" s="68"/>
      <c r="AZ62" s="68"/>
    </row>
    <row r="63" spans="2:52" ht="16.5">
      <c r="B63" s="12">
        <v>2650</v>
      </c>
      <c r="C63" s="72"/>
      <c r="D63" s="72"/>
      <c r="E63" s="72"/>
      <c r="F63" s="74"/>
      <c r="G63" s="72"/>
      <c r="H63" s="72"/>
      <c r="J63" s="12">
        <v>2650</v>
      </c>
      <c r="K63" s="102"/>
      <c r="L63" s="102"/>
      <c r="M63"/>
      <c r="N63"/>
      <c r="Q63" s="19">
        <v>2650</v>
      </c>
      <c r="R63" s="8">
        <f t="shared" si="14"/>
        <v>20</v>
      </c>
      <c r="S63" s="8">
        <f t="shared" si="15"/>
        <v>20</v>
      </c>
      <c r="T63" s="8">
        <f t="shared" si="16"/>
        <v>20</v>
      </c>
      <c r="V63" s="19">
        <v>2650</v>
      </c>
      <c r="W63" s="8">
        <f t="shared" si="3"/>
        <v>20</v>
      </c>
      <c r="X63" s="8">
        <f t="shared" si="12"/>
        <v>20</v>
      </c>
      <c r="Y63" s="8">
        <f t="shared" si="17"/>
        <v>30</v>
      </c>
      <c r="AB63" s="20">
        <v>2650</v>
      </c>
      <c r="AC63" s="9">
        <f t="shared" si="18"/>
        <v>20</v>
      </c>
      <c r="AD63" s="9">
        <f t="shared" si="19"/>
        <v>20</v>
      </c>
      <c r="AE63" s="9">
        <f t="shared" si="20"/>
        <v>20</v>
      </c>
      <c r="AG63" s="20">
        <v>2650</v>
      </c>
      <c r="AH63" s="9">
        <f t="shared" si="8"/>
        <v>20</v>
      </c>
      <c r="AI63" s="9">
        <f t="shared" si="13"/>
        <v>20</v>
      </c>
      <c r="AJ63" s="9">
        <f t="shared" si="9"/>
        <v>30</v>
      </c>
      <c r="AM63" s="21">
        <v>2650</v>
      </c>
      <c r="AN63" s="10">
        <v>-10</v>
      </c>
      <c r="AP63" s="10">
        <f t="shared" si="21"/>
        <v>20</v>
      </c>
      <c r="AQ63" s="10">
        <f t="shared" si="22"/>
        <v>30</v>
      </c>
      <c r="AT63" s="12">
        <v>2650</v>
      </c>
      <c r="AU63" s="80"/>
      <c r="AV63" s="68"/>
      <c r="AW63" s="68"/>
      <c r="AX63" s="68"/>
      <c r="AY63" s="68"/>
      <c r="AZ63" s="68"/>
    </row>
    <row r="64" spans="2:52" ht="16.5">
      <c r="B64" s="12">
        <v>2800</v>
      </c>
      <c r="C64" s="72"/>
      <c r="D64" s="72"/>
      <c r="E64" s="72"/>
      <c r="F64" s="74"/>
      <c r="G64" s="72"/>
      <c r="H64" s="72"/>
      <c r="J64" s="12">
        <v>2800</v>
      </c>
      <c r="K64" s="102"/>
      <c r="L64" s="102"/>
      <c r="M64"/>
      <c r="N64"/>
      <c r="Q64" s="19">
        <v>2800</v>
      </c>
      <c r="R64" s="8">
        <f t="shared" si="14"/>
        <v>20</v>
      </c>
      <c r="S64" s="8">
        <f t="shared" si="15"/>
        <v>20</v>
      </c>
      <c r="T64" s="8">
        <f t="shared" si="16"/>
        <v>20</v>
      </c>
      <c r="V64" s="19">
        <v>2800</v>
      </c>
      <c r="W64" s="8">
        <f t="shared" si="3"/>
        <v>20</v>
      </c>
      <c r="X64" s="8">
        <f t="shared" si="12"/>
        <v>20</v>
      </c>
      <c r="Y64" s="8">
        <f t="shared" si="17"/>
        <v>30</v>
      </c>
      <c r="AB64" s="20">
        <v>2800</v>
      </c>
      <c r="AC64" s="9">
        <f t="shared" si="18"/>
        <v>20</v>
      </c>
      <c r="AD64" s="9">
        <f t="shared" si="19"/>
        <v>20</v>
      </c>
      <c r="AE64" s="9">
        <f t="shared" si="20"/>
        <v>20</v>
      </c>
      <c r="AG64" s="20">
        <v>2800</v>
      </c>
      <c r="AH64" s="9">
        <f t="shared" si="8"/>
        <v>20</v>
      </c>
      <c r="AI64" s="9">
        <f t="shared" si="13"/>
        <v>20</v>
      </c>
      <c r="AJ64" s="9">
        <f t="shared" si="9"/>
        <v>30</v>
      </c>
      <c r="AM64" s="21">
        <v>2800</v>
      </c>
      <c r="AN64" s="10">
        <v>-10</v>
      </c>
      <c r="AO64" s="10">
        <v>10</v>
      </c>
      <c r="AP64" s="10">
        <f t="shared" si="21"/>
        <v>20</v>
      </c>
      <c r="AQ64" s="10">
        <f t="shared" si="22"/>
        <v>30</v>
      </c>
      <c r="AT64" s="12">
        <v>2800</v>
      </c>
      <c r="AU64" s="80"/>
      <c r="AV64" s="68"/>
      <c r="AW64" s="68"/>
      <c r="AX64" s="68"/>
      <c r="AY64" s="68"/>
      <c r="AZ64" s="68"/>
    </row>
    <row r="65" spans="2:52" ht="16.5">
      <c r="B65" s="12">
        <v>3000</v>
      </c>
      <c r="C65" s="72"/>
      <c r="D65" s="72"/>
      <c r="E65" s="72"/>
      <c r="F65" s="74"/>
      <c r="G65" s="72"/>
      <c r="H65" s="72"/>
      <c r="J65" s="12">
        <v>3000</v>
      </c>
      <c r="K65" s="102"/>
      <c r="L65" s="102"/>
      <c r="M65"/>
      <c r="N65"/>
      <c r="Q65" s="19">
        <v>3000</v>
      </c>
      <c r="R65" s="8">
        <f t="shared" si="14"/>
        <v>20</v>
      </c>
      <c r="S65" s="8">
        <f t="shared" si="15"/>
        <v>20</v>
      </c>
      <c r="T65" s="8">
        <f t="shared" si="16"/>
        <v>20</v>
      </c>
      <c r="V65" s="19">
        <v>3000</v>
      </c>
      <c r="W65" s="8">
        <f t="shared" si="3"/>
        <v>20</v>
      </c>
      <c r="X65" s="8">
        <f t="shared" si="12"/>
        <v>20</v>
      </c>
      <c r="Y65" s="8">
        <f t="shared" si="17"/>
        <v>30</v>
      </c>
      <c r="AB65" s="20">
        <v>3000</v>
      </c>
      <c r="AC65" s="9">
        <f t="shared" si="18"/>
        <v>20</v>
      </c>
      <c r="AD65" s="9">
        <f t="shared" si="19"/>
        <v>20</v>
      </c>
      <c r="AE65" s="9">
        <f t="shared" si="20"/>
        <v>20</v>
      </c>
      <c r="AG65" s="20">
        <v>3000</v>
      </c>
      <c r="AH65" s="9">
        <f t="shared" si="8"/>
        <v>20</v>
      </c>
      <c r="AI65" s="9">
        <f t="shared" si="13"/>
        <v>20</v>
      </c>
      <c r="AJ65" s="9">
        <f t="shared" si="9"/>
        <v>30</v>
      </c>
      <c r="AM65" s="21">
        <v>3000</v>
      </c>
      <c r="AN65" s="10">
        <v>-10</v>
      </c>
      <c r="AP65" s="10">
        <f t="shared" si="21"/>
        <v>20</v>
      </c>
      <c r="AQ65" s="10">
        <f t="shared" si="22"/>
        <v>30</v>
      </c>
      <c r="AT65" s="12">
        <v>3000</v>
      </c>
      <c r="AU65" s="80"/>
      <c r="AV65" s="68"/>
      <c r="AW65" s="68"/>
      <c r="AX65" s="68"/>
      <c r="AY65" s="68"/>
      <c r="AZ65" s="68"/>
    </row>
    <row r="66" spans="2:52" ht="16.5">
      <c r="B66" s="12">
        <v>3150</v>
      </c>
      <c r="C66" s="72"/>
      <c r="D66" s="72"/>
      <c r="E66" s="72"/>
      <c r="F66" s="74"/>
      <c r="G66" s="72"/>
      <c r="H66" s="72"/>
      <c r="J66" s="12">
        <v>3150</v>
      </c>
      <c r="K66" s="102"/>
      <c r="L66" s="102"/>
      <c r="M66"/>
      <c r="N66"/>
      <c r="Q66" s="19">
        <v>3150</v>
      </c>
      <c r="R66" s="8">
        <f t="shared" si="14"/>
        <v>20</v>
      </c>
      <c r="S66" s="8">
        <f t="shared" si="15"/>
        <v>20</v>
      </c>
      <c r="T66" s="8">
        <f t="shared" si="16"/>
        <v>20</v>
      </c>
      <c r="V66" s="19">
        <v>3150</v>
      </c>
      <c r="W66" s="8">
        <f t="shared" si="3"/>
        <v>20</v>
      </c>
      <c r="X66" s="8">
        <f t="shared" si="12"/>
        <v>20</v>
      </c>
      <c r="Y66" s="8">
        <f t="shared" si="17"/>
        <v>30</v>
      </c>
      <c r="AB66" s="20">
        <v>3150</v>
      </c>
      <c r="AC66" s="9">
        <f t="shared" si="18"/>
        <v>20</v>
      </c>
      <c r="AD66" s="9">
        <f t="shared" si="19"/>
        <v>20</v>
      </c>
      <c r="AE66" s="9">
        <f t="shared" si="20"/>
        <v>20</v>
      </c>
      <c r="AG66" s="20">
        <v>3150</v>
      </c>
      <c r="AH66" s="9">
        <f t="shared" si="8"/>
        <v>20</v>
      </c>
      <c r="AI66" s="9">
        <f t="shared" si="13"/>
        <v>20</v>
      </c>
      <c r="AJ66" s="9">
        <f t="shared" si="9"/>
        <v>30</v>
      </c>
      <c r="AM66" s="21">
        <v>3150</v>
      </c>
      <c r="AN66" s="10">
        <v>-10</v>
      </c>
      <c r="AP66" s="10">
        <f t="shared" si="21"/>
        <v>20</v>
      </c>
      <c r="AQ66" s="10">
        <f t="shared" si="22"/>
        <v>30</v>
      </c>
      <c r="AT66" s="12">
        <v>3150</v>
      </c>
      <c r="AU66" s="80"/>
      <c r="AV66" s="68"/>
      <c r="AW66" s="68"/>
      <c r="AX66" s="68"/>
      <c r="AY66" s="68"/>
      <c r="AZ66" s="68"/>
    </row>
    <row r="67" spans="2:52" ht="16.5">
      <c r="B67" s="12">
        <v>3350</v>
      </c>
      <c r="C67" s="72"/>
      <c r="D67" s="72"/>
      <c r="E67" s="72"/>
      <c r="F67" s="74"/>
      <c r="G67" s="72"/>
      <c r="H67" s="72"/>
      <c r="J67" s="12">
        <v>3350</v>
      </c>
      <c r="K67" s="102"/>
      <c r="L67" s="102"/>
      <c r="M67"/>
      <c r="N67"/>
      <c r="Q67" s="19">
        <v>3350</v>
      </c>
      <c r="R67" s="8">
        <f t="shared" si="14"/>
        <v>20</v>
      </c>
      <c r="S67" s="8">
        <f t="shared" si="15"/>
        <v>20</v>
      </c>
      <c r="T67" s="8">
        <f t="shared" si="16"/>
        <v>20</v>
      </c>
      <c r="V67" s="19">
        <v>3350</v>
      </c>
      <c r="W67" s="8">
        <f t="shared" si="3"/>
        <v>20</v>
      </c>
      <c r="X67" s="8">
        <f t="shared" si="12"/>
        <v>20</v>
      </c>
      <c r="Y67" s="8">
        <f t="shared" si="17"/>
        <v>30</v>
      </c>
      <c r="AB67" s="20">
        <v>3350</v>
      </c>
      <c r="AC67" s="9">
        <f t="shared" si="18"/>
        <v>20</v>
      </c>
      <c r="AD67" s="9">
        <f t="shared" si="19"/>
        <v>20</v>
      </c>
      <c r="AE67" s="9">
        <f t="shared" si="20"/>
        <v>20</v>
      </c>
      <c r="AG67" s="20">
        <v>3350</v>
      </c>
      <c r="AH67" s="9">
        <f t="shared" si="8"/>
        <v>20</v>
      </c>
      <c r="AI67" s="9">
        <f t="shared" si="13"/>
        <v>20</v>
      </c>
      <c r="AJ67" s="9">
        <f t="shared" si="9"/>
        <v>30</v>
      </c>
      <c r="AM67" s="21">
        <v>3350</v>
      </c>
      <c r="AN67" s="10">
        <v>-10</v>
      </c>
      <c r="AO67" s="10">
        <v>10</v>
      </c>
      <c r="AP67" s="10">
        <f t="shared" si="21"/>
        <v>20</v>
      </c>
      <c r="AQ67" s="10">
        <f t="shared" si="22"/>
        <v>30</v>
      </c>
      <c r="AT67" s="12">
        <v>3350</v>
      </c>
      <c r="AU67" s="80"/>
      <c r="AV67" s="68"/>
      <c r="AW67" s="68"/>
      <c r="AX67" s="68"/>
      <c r="AY67" s="68"/>
      <c r="AZ67" s="68"/>
    </row>
    <row r="68" spans="2:52" ht="16.5">
      <c r="B68" s="12">
        <v>3550</v>
      </c>
      <c r="C68" s="72"/>
      <c r="D68" s="72"/>
      <c r="E68" s="72"/>
      <c r="F68" s="74"/>
      <c r="G68" s="72"/>
      <c r="H68" s="72"/>
      <c r="J68" s="12">
        <v>3550</v>
      </c>
      <c r="K68" s="102"/>
      <c r="L68" s="102"/>
      <c r="M68"/>
      <c r="N68"/>
      <c r="Q68" s="19">
        <v>3550</v>
      </c>
      <c r="R68" s="8">
        <f t="shared" si="14"/>
        <v>20</v>
      </c>
      <c r="S68" s="8">
        <f t="shared" si="15"/>
        <v>20</v>
      </c>
      <c r="T68" s="8">
        <f t="shared" si="16"/>
        <v>20</v>
      </c>
      <c r="V68" s="19">
        <v>3550</v>
      </c>
      <c r="W68" s="8">
        <f t="shared" si="3"/>
        <v>20</v>
      </c>
      <c r="X68" s="8">
        <f t="shared" si="12"/>
        <v>20</v>
      </c>
      <c r="Y68" s="8">
        <f t="shared" si="17"/>
        <v>30</v>
      </c>
      <c r="AB68" s="20">
        <v>3550</v>
      </c>
      <c r="AC68" s="9">
        <f t="shared" si="18"/>
        <v>20</v>
      </c>
      <c r="AD68" s="9">
        <f t="shared" si="19"/>
        <v>20</v>
      </c>
      <c r="AE68" s="9">
        <f t="shared" si="20"/>
        <v>20</v>
      </c>
      <c r="AG68" s="20">
        <v>3550</v>
      </c>
      <c r="AH68" s="9">
        <f t="shared" si="8"/>
        <v>20</v>
      </c>
      <c r="AI68" s="9">
        <f t="shared" si="13"/>
        <v>20</v>
      </c>
      <c r="AJ68" s="9">
        <f t="shared" si="9"/>
        <v>30</v>
      </c>
      <c r="AM68" s="21">
        <v>3550</v>
      </c>
      <c r="AN68" s="10">
        <v>-10</v>
      </c>
      <c r="AP68" s="10">
        <f t="shared" si="21"/>
        <v>20</v>
      </c>
      <c r="AQ68" s="10">
        <f t="shared" si="22"/>
        <v>30</v>
      </c>
      <c r="AT68" s="12">
        <v>3550</v>
      </c>
      <c r="AU68" s="80"/>
      <c r="AV68" s="68"/>
      <c r="AW68" s="68"/>
      <c r="AX68" s="68"/>
      <c r="AY68" s="68"/>
      <c r="AZ68" s="68"/>
    </row>
    <row r="69" spans="2:52" ht="16.5">
      <c r="B69" s="12">
        <v>3750</v>
      </c>
      <c r="C69" s="72"/>
      <c r="D69" s="72"/>
      <c r="E69" s="72"/>
      <c r="F69" s="74"/>
      <c r="G69" s="72"/>
      <c r="H69" s="72"/>
      <c r="J69" s="12">
        <v>3750</v>
      </c>
      <c r="K69" s="102"/>
      <c r="L69" s="102"/>
      <c r="M69"/>
      <c r="N69"/>
      <c r="Q69" s="19">
        <v>3750</v>
      </c>
      <c r="R69" s="8">
        <f t="shared" si="14"/>
        <v>20</v>
      </c>
      <c r="S69" s="8">
        <f t="shared" si="15"/>
        <v>20</v>
      </c>
      <c r="T69" s="8">
        <f t="shared" si="16"/>
        <v>20</v>
      </c>
      <c r="V69" s="19">
        <v>3750</v>
      </c>
      <c r="W69" s="8">
        <f t="shared" si="3"/>
        <v>20</v>
      </c>
      <c r="X69" s="8">
        <f t="shared" si="12"/>
        <v>20</v>
      </c>
      <c r="Y69" s="8">
        <f t="shared" si="17"/>
        <v>30</v>
      </c>
      <c r="AB69" s="20">
        <v>3750</v>
      </c>
      <c r="AC69" s="9">
        <f t="shared" si="18"/>
        <v>20</v>
      </c>
      <c r="AD69" s="9">
        <f t="shared" si="19"/>
        <v>20</v>
      </c>
      <c r="AE69" s="9">
        <f t="shared" si="20"/>
        <v>20</v>
      </c>
      <c r="AG69" s="20">
        <v>3750</v>
      </c>
      <c r="AH69" s="9">
        <f t="shared" si="8"/>
        <v>20</v>
      </c>
      <c r="AI69" s="9">
        <f t="shared" si="13"/>
        <v>20</v>
      </c>
      <c r="AJ69" s="9">
        <f t="shared" si="9"/>
        <v>30</v>
      </c>
      <c r="AM69" s="21">
        <v>3750</v>
      </c>
      <c r="AN69" s="10">
        <v>-10</v>
      </c>
      <c r="AP69" s="10">
        <f t="shared" si="21"/>
        <v>20</v>
      </c>
      <c r="AQ69" s="10">
        <f t="shared" si="22"/>
        <v>30</v>
      </c>
      <c r="AT69" s="12">
        <v>3750</v>
      </c>
      <c r="AU69" s="80"/>
      <c r="AV69" s="68"/>
      <c r="AW69" s="68"/>
      <c r="AX69" s="68"/>
      <c r="AY69" s="68"/>
      <c r="AZ69" s="68"/>
    </row>
    <row r="70" spans="2:52" ht="16.5">
      <c r="B70" s="12">
        <v>4000</v>
      </c>
      <c r="C70" s="72"/>
      <c r="D70" s="72"/>
      <c r="E70" s="72"/>
      <c r="F70" s="74"/>
      <c r="G70" s="72"/>
      <c r="H70" s="72"/>
      <c r="J70" s="12">
        <v>4000</v>
      </c>
      <c r="K70" s="102"/>
      <c r="L70" s="102"/>
      <c r="M70"/>
      <c r="N70"/>
      <c r="Q70" s="19">
        <v>4000</v>
      </c>
      <c r="R70" s="8">
        <f t="shared" si="14"/>
        <v>20</v>
      </c>
      <c r="S70" s="8">
        <f t="shared" si="15"/>
        <v>20</v>
      </c>
      <c r="T70" s="8">
        <f t="shared" si="16"/>
        <v>20</v>
      </c>
      <c r="V70" s="19">
        <v>4000</v>
      </c>
      <c r="W70" s="8">
        <f t="shared" ref="W70:W86" si="23">+AVERAGE(R70:T70)</f>
        <v>20</v>
      </c>
      <c r="X70" s="8">
        <f t="shared" si="12"/>
        <v>20</v>
      </c>
      <c r="Y70" s="8">
        <f t="shared" ref="Y70:Y86" si="24">+X70-$AN70</f>
        <v>30</v>
      </c>
      <c r="AB70" s="20">
        <v>4000</v>
      </c>
      <c r="AC70" s="9">
        <f t="shared" si="18"/>
        <v>20</v>
      </c>
      <c r="AD70" s="9">
        <f t="shared" si="19"/>
        <v>20</v>
      </c>
      <c r="AE70" s="9">
        <f t="shared" si="20"/>
        <v>20</v>
      </c>
      <c r="AG70" s="20">
        <v>4000</v>
      </c>
      <c r="AH70" s="9">
        <f t="shared" ref="AH70:AH86" si="25">+AVERAGE(AC70:AE70)</f>
        <v>20</v>
      </c>
      <c r="AI70" s="9">
        <f t="shared" si="13"/>
        <v>20</v>
      </c>
      <c r="AJ70" s="9">
        <f t="shared" ref="AJ70:AJ86" si="26">+AI70-$AN70</f>
        <v>30</v>
      </c>
      <c r="AM70" s="21">
        <v>4000</v>
      </c>
      <c r="AN70" s="10">
        <v>-10</v>
      </c>
      <c r="AO70" s="10">
        <v>10</v>
      </c>
      <c r="AP70" s="10">
        <f t="shared" ref="AP70:AP86" si="27">+AVERAGE(AI70,X70)</f>
        <v>20</v>
      </c>
      <c r="AQ70" s="10">
        <f t="shared" ref="AQ70:AQ86" si="28">+AP70-AN70</f>
        <v>30</v>
      </c>
      <c r="AT70" s="12">
        <v>4000</v>
      </c>
      <c r="AU70" s="80"/>
      <c r="AV70" s="68"/>
      <c r="AW70" s="68"/>
      <c r="AX70" s="68"/>
      <c r="AY70" s="68"/>
      <c r="AZ70" s="68"/>
    </row>
    <row r="71" spans="2:52" ht="16.5">
      <c r="B71" s="12">
        <v>4250</v>
      </c>
      <c r="C71" s="72"/>
      <c r="D71" s="72"/>
      <c r="E71" s="72"/>
      <c r="F71" s="74"/>
      <c r="G71" s="72"/>
      <c r="H71" s="72"/>
      <c r="J71" s="12">
        <v>4250</v>
      </c>
      <c r="K71" s="102"/>
      <c r="L71" s="102"/>
      <c r="M71"/>
      <c r="N71"/>
      <c r="Q71" s="19">
        <v>4250</v>
      </c>
      <c r="R71" s="8">
        <f t="shared" ref="R71:T86" si="29">+$K71+20-C71</f>
        <v>20</v>
      </c>
      <c r="S71" s="8">
        <f t="shared" si="29"/>
        <v>20</v>
      </c>
      <c r="T71" s="8">
        <f t="shared" si="29"/>
        <v>20</v>
      </c>
      <c r="V71" s="19">
        <v>4250</v>
      </c>
      <c r="W71" s="8">
        <f t="shared" si="23"/>
        <v>20</v>
      </c>
      <c r="X71" s="8">
        <f t="shared" ref="X71:X86" si="30">+K71+20</f>
        <v>20</v>
      </c>
      <c r="Y71" s="8">
        <f t="shared" si="24"/>
        <v>30</v>
      </c>
      <c r="AB71" s="20">
        <v>4250</v>
      </c>
      <c r="AC71" s="9">
        <f t="shared" ref="AC71:AE86" si="31">+$L71+20-F71</f>
        <v>20</v>
      </c>
      <c r="AD71" s="9">
        <f t="shared" si="31"/>
        <v>20</v>
      </c>
      <c r="AE71" s="9">
        <f t="shared" si="31"/>
        <v>20</v>
      </c>
      <c r="AG71" s="20">
        <v>4250</v>
      </c>
      <c r="AH71" s="9">
        <f t="shared" si="25"/>
        <v>20</v>
      </c>
      <c r="AI71" s="9">
        <f t="shared" ref="AI71:AI86" si="32">+L71+20</f>
        <v>20</v>
      </c>
      <c r="AJ71" s="9">
        <f t="shared" si="26"/>
        <v>30</v>
      </c>
      <c r="AM71" s="21">
        <v>4250</v>
      </c>
      <c r="AN71" s="10">
        <v>-10</v>
      </c>
      <c r="AP71" s="10">
        <f t="shared" si="27"/>
        <v>20</v>
      </c>
      <c r="AQ71" s="10">
        <f t="shared" si="28"/>
        <v>30</v>
      </c>
      <c r="AT71" s="12">
        <v>4250</v>
      </c>
      <c r="AU71" s="80"/>
      <c r="AV71" s="68"/>
      <c r="AW71" s="68"/>
      <c r="AX71" s="68"/>
      <c r="AY71" s="68"/>
      <c r="AZ71" s="68"/>
    </row>
    <row r="72" spans="2:52" ht="16.5">
      <c r="B72" s="12">
        <v>4500</v>
      </c>
      <c r="C72" s="72"/>
      <c r="D72" s="72"/>
      <c r="E72" s="72"/>
      <c r="F72" s="74"/>
      <c r="G72" s="72"/>
      <c r="H72" s="72"/>
      <c r="J72" s="12">
        <v>4500</v>
      </c>
      <c r="K72" s="102"/>
      <c r="L72" s="102"/>
      <c r="M72"/>
      <c r="N72"/>
      <c r="Q72" s="19">
        <v>4500</v>
      </c>
      <c r="R72" s="8">
        <f t="shared" si="29"/>
        <v>20</v>
      </c>
      <c r="S72" s="8">
        <f t="shared" si="29"/>
        <v>20</v>
      </c>
      <c r="T72" s="8">
        <f t="shared" si="29"/>
        <v>20</v>
      </c>
      <c r="V72" s="19">
        <v>4500</v>
      </c>
      <c r="W72" s="8">
        <f t="shared" si="23"/>
        <v>20</v>
      </c>
      <c r="X72" s="8">
        <f t="shared" si="30"/>
        <v>20</v>
      </c>
      <c r="Y72" s="8">
        <f t="shared" si="24"/>
        <v>30</v>
      </c>
      <c r="AB72" s="20">
        <v>4500</v>
      </c>
      <c r="AC72" s="9">
        <f t="shared" si="31"/>
        <v>20</v>
      </c>
      <c r="AD72" s="9">
        <f t="shared" si="31"/>
        <v>20</v>
      </c>
      <c r="AE72" s="9">
        <f t="shared" si="31"/>
        <v>20</v>
      </c>
      <c r="AG72" s="20">
        <v>4500</v>
      </c>
      <c r="AH72" s="9">
        <f t="shared" si="25"/>
        <v>20</v>
      </c>
      <c r="AI72" s="9">
        <f t="shared" si="32"/>
        <v>20</v>
      </c>
      <c r="AJ72" s="9">
        <f t="shared" si="26"/>
        <v>30</v>
      </c>
      <c r="AM72" s="21">
        <v>4500</v>
      </c>
      <c r="AN72" s="10">
        <v>-10</v>
      </c>
      <c r="AP72" s="10">
        <f t="shared" si="27"/>
        <v>20</v>
      </c>
      <c r="AQ72" s="10">
        <f t="shared" si="28"/>
        <v>30</v>
      </c>
      <c r="AT72" s="12">
        <v>4500</v>
      </c>
      <c r="AU72" s="80"/>
      <c r="AV72" s="68"/>
      <c r="AW72" s="68"/>
      <c r="AX72" s="68"/>
      <c r="AY72" s="68"/>
      <c r="AZ72" s="68"/>
    </row>
    <row r="73" spans="2:52" ht="16.5">
      <c r="B73" s="12">
        <v>4750</v>
      </c>
      <c r="C73" s="72"/>
      <c r="D73" s="72"/>
      <c r="E73" s="72"/>
      <c r="F73" s="74"/>
      <c r="G73" s="72"/>
      <c r="H73" s="72"/>
      <c r="J73" s="12">
        <v>4750</v>
      </c>
      <c r="K73" s="102"/>
      <c r="L73" s="102"/>
      <c r="M73"/>
      <c r="N73"/>
      <c r="Q73" s="19">
        <v>4750</v>
      </c>
      <c r="R73" s="8">
        <f t="shared" si="29"/>
        <v>20</v>
      </c>
      <c r="S73" s="8">
        <f t="shared" si="29"/>
        <v>20</v>
      </c>
      <c r="T73" s="8">
        <f t="shared" si="29"/>
        <v>20</v>
      </c>
      <c r="V73" s="19">
        <v>4750</v>
      </c>
      <c r="W73" s="8">
        <f t="shared" si="23"/>
        <v>20</v>
      </c>
      <c r="X73" s="8">
        <f t="shared" si="30"/>
        <v>20</v>
      </c>
      <c r="Y73" s="8">
        <f t="shared" si="24"/>
        <v>30</v>
      </c>
      <c r="AB73" s="20">
        <v>4750</v>
      </c>
      <c r="AC73" s="9">
        <f t="shared" si="31"/>
        <v>20</v>
      </c>
      <c r="AD73" s="9">
        <f t="shared" si="31"/>
        <v>20</v>
      </c>
      <c r="AE73" s="9">
        <f t="shared" si="31"/>
        <v>20</v>
      </c>
      <c r="AG73" s="20">
        <v>4750</v>
      </c>
      <c r="AH73" s="9">
        <f t="shared" si="25"/>
        <v>20</v>
      </c>
      <c r="AI73" s="9">
        <f t="shared" si="32"/>
        <v>20</v>
      </c>
      <c r="AJ73" s="9">
        <f t="shared" si="26"/>
        <v>30</v>
      </c>
      <c r="AM73" s="21">
        <v>4750</v>
      </c>
      <c r="AN73" s="10">
        <v>-10</v>
      </c>
      <c r="AO73" s="10">
        <v>10</v>
      </c>
      <c r="AP73" s="10">
        <f t="shared" si="27"/>
        <v>20</v>
      </c>
      <c r="AQ73" s="10">
        <f t="shared" si="28"/>
        <v>30</v>
      </c>
      <c r="AT73" s="12">
        <v>4750</v>
      </c>
      <c r="AU73" s="80"/>
      <c r="AV73" s="68"/>
      <c r="AW73" s="68"/>
      <c r="AX73" s="68"/>
      <c r="AY73" s="68"/>
      <c r="AZ73" s="68"/>
    </row>
    <row r="74" spans="2:52" ht="16.5">
      <c r="B74" s="12">
        <v>5000</v>
      </c>
      <c r="C74" s="72"/>
      <c r="D74" s="72"/>
      <c r="E74" s="72"/>
      <c r="F74" s="74"/>
      <c r="G74" s="72"/>
      <c r="H74" s="72"/>
      <c r="J74" s="12">
        <v>5000</v>
      </c>
      <c r="K74" s="102"/>
      <c r="L74" s="102"/>
      <c r="M74"/>
      <c r="N74"/>
      <c r="Q74" s="19">
        <v>5000</v>
      </c>
      <c r="R74" s="8">
        <f t="shared" si="29"/>
        <v>20</v>
      </c>
      <c r="S74" s="8">
        <f t="shared" si="29"/>
        <v>20</v>
      </c>
      <c r="T74" s="8">
        <f t="shared" si="29"/>
        <v>20</v>
      </c>
      <c r="V74" s="19">
        <v>5000</v>
      </c>
      <c r="W74" s="8">
        <f t="shared" si="23"/>
        <v>20</v>
      </c>
      <c r="X74" s="8">
        <f t="shared" si="30"/>
        <v>20</v>
      </c>
      <c r="Y74" s="8">
        <f t="shared" si="24"/>
        <v>30</v>
      </c>
      <c r="AB74" s="20">
        <v>5000</v>
      </c>
      <c r="AC74" s="9">
        <f t="shared" si="31"/>
        <v>20</v>
      </c>
      <c r="AD74" s="9">
        <f t="shared" si="31"/>
        <v>20</v>
      </c>
      <c r="AE74" s="9">
        <f t="shared" si="31"/>
        <v>20</v>
      </c>
      <c r="AG74" s="20">
        <v>5000</v>
      </c>
      <c r="AH74" s="9">
        <f t="shared" si="25"/>
        <v>20</v>
      </c>
      <c r="AI74" s="9">
        <f t="shared" si="32"/>
        <v>20</v>
      </c>
      <c r="AJ74" s="9">
        <f t="shared" si="26"/>
        <v>30</v>
      </c>
      <c r="AM74" s="21">
        <v>5000</v>
      </c>
      <c r="AN74" s="10">
        <v>-10</v>
      </c>
      <c r="AP74" s="10">
        <f t="shared" si="27"/>
        <v>20</v>
      </c>
      <c r="AQ74" s="10">
        <f t="shared" si="28"/>
        <v>30</v>
      </c>
      <c r="AT74" s="12">
        <v>5000</v>
      </c>
      <c r="AU74" s="80"/>
      <c r="AV74" s="68"/>
      <c r="AW74" s="68"/>
      <c r="AX74" s="68"/>
      <c r="AY74" s="68"/>
      <c r="AZ74" s="68"/>
    </row>
    <row r="75" spans="2:52" ht="16.5">
      <c r="B75" s="12">
        <v>5300</v>
      </c>
      <c r="C75" s="72"/>
      <c r="D75" s="72"/>
      <c r="E75" s="72"/>
      <c r="F75" s="74"/>
      <c r="G75" s="72"/>
      <c r="H75" s="72"/>
      <c r="J75" s="12">
        <v>5300</v>
      </c>
      <c r="K75" s="102"/>
      <c r="L75" s="102"/>
      <c r="M75"/>
      <c r="N75"/>
      <c r="Q75" s="19">
        <v>5300</v>
      </c>
      <c r="R75" s="8">
        <f t="shared" si="29"/>
        <v>20</v>
      </c>
      <c r="S75" s="8">
        <f t="shared" si="29"/>
        <v>20</v>
      </c>
      <c r="T75" s="8">
        <f t="shared" si="29"/>
        <v>20</v>
      </c>
      <c r="V75" s="19">
        <v>5300</v>
      </c>
      <c r="W75" s="8">
        <f t="shared" si="23"/>
        <v>20</v>
      </c>
      <c r="X75" s="8">
        <f t="shared" si="30"/>
        <v>20</v>
      </c>
      <c r="Y75" s="8">
        <f t="shared" si="24"/>
        <v>30</v>
      </c>
      <c r="AB75" s="20">
        <v>5300</v>
      </c>
      <c r="AC75" s="9">
        <f t="shared" si="31"/>
        <v>20</v>
      </c>
      <c r="AD75" s="9">
        <f t="shared" si="31"/>
        <v>20</v>
      </c>
      <c r="AE75" s="9">
        <f t="shared" si="31"/>
        <v>20</v>
      </c>
      <c r="AG75" s="20">
        <v>5300</v>
      </c>
      <c r="AH75" s="9">
        <f t="shared" si="25"/>
        <v>20</v>
      </c>
      <c r="AI75" s="9">
        <f t="shared" si="32"/>
        <v>20</v>
      </c>
      <c r="AJ75" s="9">
        <f t="shared" si="26"/>
        <v>30</v>
      </c>
      <c r="AM75" s="21">
        <v>5300</v>
      </c>
      <c r="AN75" s="10">
        <v>-10</v>
      </c>
      <c r="AP75" s="10">
        <f t="shared" si="27"/>
        <v>20</v>
      </c>
      <c r="AQ75" s="10">
        <f t="shared" si="28"/>
        <v>30</v>
      </c>
      <c r="AT75" s="12">
        <v>5300</v>
      </c>
      <c r="AU75" s="80"/>
      <c r="AV75" s="68"/>
      <c r="AW75" s="68"/>
      <c r="AX75" s="68"/>
      <c r="AY75" s="68"/>
      <c r="AZ75" s="68"/>
    </row>
    <row r="76" spans="2:52" ht="16.5">
      <c r="B76" s="12">
        <v>5600</v>
      </c>
      <c r="C76" s="72"/>
      <c r="D76" s="72"/>
      <c r="E76" s="72"/>
      <c r="F76" s="74"/>
      <c r="G76" s="72"/>
      <c r="H76" s="72"/>
      <c r="J76" s="12">
        <v>5600</v>
      </c>
      <c r="K76" s="102"/>
      <c r="L76" s="102"/>
      <c r="M76"/>
      <c r="N76"/>
      <c r="Q76" s="19">
        <v>5600</v>
      </c>
      <c r="R76" s="8">
        <f t="shared" si="29"/>
        <v>20</v>
      </c>
      <c r="S76" s="8">
        <f t="shared" si="29"/>
        <v>20</v>
      </c>
      <c r="T76" s="8">
        <f t="shared" si="29"/>
        <v>20</v>
      </c>
      <c r="V76" s="19">
        <v>5600</v>
      </c>
      <c r="W76" s="8">
        <f t="shared" si="23"/>
        <v>20</v>
      </c>
      <c r="X76" s="8">
        <f t="shared" si="30"/>
        <v>20</v>
      </c>
      <c r="Y76" s="8">
        <f t="shared" si="24"/>
        <v>30</v>
      </c>
      <c r="AB76" s="20">
        <v>5600</v>
      </c>
      <c r="AC76" s="9">
        <f t="shared" si="31"/>
        <v>20</v>
      </c>
      <c r="AD76" s="9">
        <f t="shared" si="31"/>
        <v>20</v>
      </c>
      <c r="AE76" s="9">
        <f t="shared" si="31"/>
        <v>20</v>
      </c>
      <c r="AG76" s="20">
        <v>5600</v>
      </c>
      <c r="AH76" s="9">
        <f t="shared" si="25"/>
        <v>20</v>
      </c>
      <c r="AI76" s="9">
        <f t="shared" si="32"/>
        <v>20</v>
      </c>
      <c r="AJ76" s="9">
        <f t="shared" si="26"/>
        <v>30</v>
      </c>
      <c r="AM76" s="21">
        <v>5600</v>
      </c>
      <c r="AN76" s="10">
        <v>-10</v>
      </c>
      <c r="AO76" s="10">
        <v>10</v>
      </c>
      <c r="AP76" s="10">
        <f t="shared" si="27"/>
        <v>20</v>
      </c>
      <c r="AQ76" s="10">
        <f t="shared" si="28"/>
        <v>30</v>
      </c>
      <c r="AT76" s="12">
        <v>5600</v>
      </c>
      <c r="AU76" s="80"/>
      <c r="AV76" s="68"/>
      <c r="AW76" s="68"/>
      <c r="AX76" s="68"/>
      <c r="AY76" s="68"/>
      <c r="AZ76" s="68"/>
    </row>
    <row r="77" spans="2:52" ht="16.5">
      <c r="B77" s="12">
        <v>6000</v>
      </c>
      <c r="C77" s="72"/>
      <c r="D77" s="72"/>
      <c r="E77" s="72"/>
      <c r="F77" s="74"/>
      <c r="G77" s="72"/>
      <c r="H77" s="72"/>
      <c r="J77" s="12">
        <v>6000</v>
      </c>
      <c r="K77" s="102"/>
      <c r="L77" s="102"/>
      <c r="M77"/>
      <c r="N77"/>
      <c r="Q77" s="19">
        <v>6000</v>
      </c>
      <c r="R77" s="8">
        <f t="shared" si="29"/>
        <v>20</v>
      </c>
      <c r="S77" s="8">
        <f t="shared" si="29"/>
        <v>20</v>
      </c>
      <c r="T77" s="8">
        <f t="shared" si="29"/>
        <v>20</v>
      </c>
      <c r="V77" s="19">
        <v>6000</v>
      </c>
      <c r="W77" s="8">
        <f t="shared" si="23"/>
        <v>20</v>
      </c>
      <c r="X77" s="8">
        <f t="shared" si="30"/>
        <v>20</v>
      </c>
      <c r="Y77" s="8">
        <f t="shared" si="24"/>
        <v>30</v>
      </c>
      <c r="AB77" s="20">
        <v>6000</v>
      </c>
      <c r="AC77" s="9">
        <f t="shared" si="31"/>
        <v>20</v>
      </c>
      <c r="AD77" s="9">
        <f t="shared" si="31"/>
        <v>20</v>
      </c>
      <c r="AE77" s="9">
        <f t="shared" si="31"/>
        <v>20</v>
      </c>
      <c r="AG77" s="20">
        <v>6000</v>
      </c>
      <c r="AH77" s="9">
        <f t="shared" si="25"/>
        <v>20</v>
      </c>
      <c r="AI77" s="9">
        <f t="shared" si="32"/>
        <v>20</v>
      </c>
      <c r="AJ77" s="9">
        <f t="shared" si="26"/>
        <v>30</v>
      </c>
      <c r="AM77" s="21">
        <v>6000</v>
      </c>
      <c r="AN77" s="10">
        <v>-10</v>
      </c>
      <c r="AP77" s="10">
        <f t="shared" si="27"/>
        <v>20</v>
      </c>
      <c r="AQ77" s="10">
        <f t="shared" si="28"/>
        <v>30</v>
      </c>
      <c r="AT77" s="12">
        <v>6000</v>
      </c>
      <c r="AU77" s="80"/>
      <c r="AV77" s="68"/>
      <c r="AW77" s="68"/>
      <c r="AX77" s="68"/>
      <c r="AY77" s="68"/>
      <c r="AZ77" s="68"/>
    </row>
    <row r="78" spans="2:52" ht="16.5">
      <c r="B78" s="12">
        <v>6300</v>
      </c>
      <c r="C78" s="72"/>
      <c r="D78" s="72"/>
      <c r="E78" s="72"/>
      <c r="F78" s="74"/>
      <c r="G78" s="72"/>
      <c r="H78" s="72"/>
      <c r="J78" s="12">
        <v>6300</v>
      </c>
      <c r="K78" s="102"/>
      <c r="L78" s="102"/>
      <c r="M78"/>
      <c r="N78"/>
      <c r="Q78" s="19">
        <v>6300</v>
      </c>
      <c r="R78" s="8">
        <f t="shared" si="29"/>
        <v>20</v>
      </c>
      <c r="S78" s="8">
        <f t="shared" si="29"/>
        <v>20</v>
      </c>
      <c r="T78" s="8">
        <f t="shared" si="29"/>
        <v>20</v>
      </c>
      <c r="V78" s="19">
        <v>6300</v>
      </c>
      <c r="W78" s="8">
        <f t="shared" si="23"/>
        <v>20</v>
      </c>
      <c r="X78" s="8">
        <f t="shared" si="30"/>
        <v>20</v>
      </c>
      <c r="Y78" s="8">
        <f t="shared" si="24"/>
        <v>30</v>
      </c>
      <c r="AB78" s="20">
        <v>6300</v>
      </c>
      <c r="AC78" s="9">
        <f t="shared" si="31"/>
        <v>20</v>
      </c>
      <c r="AD78" s="9">
        <f t="shared" si="31"/>
        <v>20</v>
      </c>
      <c r="AE78" s="9">
        <f t="shared" si="31"/>
        <v>20</v>
      </c>
      <c r="AG78" s="20">
        <v>6300</v>
      </c>
      <c r="AH78" s="9">
        <f t="shared" si="25"/>
        <v>20</v>
      </c>
      <c r="AI78" s="9">
        <f t="shared" si="32"/>
        <v>20</v>
      </c>
      <c r="AJ78" s="9">
        <f t="shared" si="26"/>
        <v>30</v>
      </c>
      <c r="AM78" s="21">
        <v>6300</v>
      </c>
      <c r="AN78" s="10">
        <v>-10</v>
      </c>
      <c r="AP78" s="10">
        <f t="shared" si="27"/>
        <v>20</v>
      </c>
      <c r="AQ78" s="10">
        <f t="shared" si="28"/>
        <v>30</v>
      </c>
      <c r="AT78" s="12">
        <v>6300</v>
      </c>
      <c r="AU78" s="80"/>
      <c r="AV78" s="68"/>
      <c r="AW78" s="68"/>
      <c r="AX78" s="68"/>
      <c r="AY78" s="68"/>
      <c r="AZ78" s="68"/>
    </row>
    <row r="79" spans="2:52" ht="16.5">
      <c r="B79" s="12">
        <v>6700</v>
      </c>
      <c r="C79" s="72"/>
      <c r="D79" s="72"/>
      <c r="E79" s="72"/>
      <c r="F79" s="74"/>
      <c r="G79" s="72"/>
      <c r="H79" s="72"/>
      <c r="J79" s="12">
        <v>6700</v>
      </c>
      <c r="K79" s="102"/>
      <c r="L79" s="102"/>
      <c r="M79"/>
      <c r="N79"/>
      <c r="Q79" s="19">
        <v>6700</v>
      </c>
      <c r="R79" s="8">
        <f t="shared" si="29"/>
        <v>20</v>
      </c>
      <c r="S79" s="8">
        <f t="shared" si="29"/>
        <v>20</v>
      </c>
      <c r="T79" s="8">
        <f t="shared" si="29"/>
        <v>20</v>
      </c>
      <c r="V79" s="19">
        <v>6700</v>
      </c>
      <c r="W79" s="8">
        <f t="shared" si="23"/>
        <v>20</v>
      </c>
      <c r="X79" s="8">
        <f t="shared" si="30"/>
        <v>20</v>
      </c>
      <c r="Y79" s="8">
        <f t="shared" si="24"/>
        <v>30</v>
      </c>
      <c r="AB79" s="20">
        <v>6700</v>
      </c>
      <c r="AC79" s="9">
        <f t="shared" si="31"/>
        <v>20</v>
      </c>
      <c r="AD79" s="9">
        <f t="shared" si="31"/>
        <v>20</v>
      </c>
      <c r="AE79" s="9">
        <f t="shared" si="31"/>
        <v>20</v>
      </c>
      <c r="AG79" s="20">
        <v>6700</v>
      </c>
      <c r="AH79" s="9">
        <f t="shared" si="25"/>
        <v>20</v>
      </c>
      <c r="AI79" s="9">
        <f t="shared" si="32"/>
        <v>20</v>
      </c>
      <c r="AJ79" s="9">
        <f t="shared" si="26"/>
        <v>30</v>
      </c>
      <c r="AM79" s="21">
        <v>6700</v>
      </c>
      <c r="AN79" s="10">
        <v>-10</v>
      </c>
      <c r="AO79" s="10">
        <v>10</v>
      </c>
      <c r="AP79" s="10">
        <f t="shared" si="27"/>
        <v>20</v>
      </c>
      <c r="AQ79" s="10">
        <f t="shared" si="28"/>
        <v>30</v>
      </c>
      <c r="AT79" s="12">
        <v>6700</v>
      </c>
      <c r="AU79" s="80"/>
      <c r="AV79" s="68"/>
      <c r="AW79" s="68"/>
      <c r="AX79" s="68"/>
      <c r="AY79" s="68"/>
      <c r="AZ79" s="68"/>
    </row>
    <row r="80" spans="2:52" ht="16.5">
      <c r="B80" s="12">
        <v>7100</v>
      </c>
      <c r="C80" s="72"/>
      <c r="D80" s="72"/>
      <c r="E80" s="72"/>
      <c r="F80" s="74"/>
      <c r="G80" s="72"/>
      <c r="H80" s="72"/>
      <c r="J80" s="12">
        <v>7100</v>
      </c>
      <c r="K80" s="102"/>
      <c r="L80" s="102"/>
      <c r="M80"/>
      <c r="N80"/>
      <c r="Q80" s="19">
        <v>7100</v>
      </c>
      <c r="R80" s="8">
        <f t="shared" si="29"/>
        <v>20</v>
      </c>
      <c r="S80" s="8">
        <f t="shared" si="29"/>
        <v>20</v>
      </c>
      <c r="T80" s="8">
        <f t="shared" si="29"/>
        <v>20</v>
      </c>
      <c r="V80" s="19">
        <v>7100</v>
      </c>
      <c r="W80" s="8">
        <f t="shared" si="23"/>
        <v>20</v>
      </c>
      <c r="X80" s="8">
        <f t="shared" si="30"/>
        <v>20</v>
      </c>
      <c r="Y80" s="8">
        <f t="shared" si="24"/>
        <v>30</v>
      </c>
      <c r="AB80" s="20">
        <v>7100</v>
      </c>
      <c r="AC80" s="9">
        <f t="shared" si="31"/>
        <v>20</v>
      </c>
      <c r="AD80" s="9">
        <f t="shared" si="31"/>
        <v>20</v>
      </c>
      <c r="AE80" s="9">
        <f t="shared" si="31"/>
        <v>20</v>
      </c>
      <c r="AG80" s="20">
        <v>7100</v>
      </c>
      <c r="AH80" s="9">
        <f t="shared" si="25"/>
        <v>20</v>
      </c>
      <c r="AI80" s="9">
        <f t="shared" si="32"/>
        <v>20</v>
      </c>
      <c r="AJ80" s="9">
        <f t="shared" si="26"/>
        <v>30</v>
      </c>
      <c r="AM80" s="21">
        <v>7100</v>
      </c>
      <c r="AN80" s="10">
        <v>-10</v>
      </c>
      <c r="AP80" s="10">
        <f t="shared" si="27"/>
        <v>20</v>
      </c>
      <c r="AQ80" s="10">
        <f t="shared" si="28"/>
        <v>30</v>
      </c>
      <c r="AT80" s="12">
        <v>7100</v>
      </c>
      <c r="AU80" s="80"/>
      <c r="AV80" s="68"/>
      <c r="AW80" s="68"/>
      <c r="AX80" s="68"/>
      <c r="AY80" s="68"/>
      <c r="AZ80" s="68"/>
    </row>
    <row r="81" spans="2:80" ht="16.5">
      <c r="B81" s="12">
        <v>7500</v>
      </c>
      <c r="C81" s="72"/>
      <c r="D81" s="72"/>
      <c r="E81" s="72"/>
      <c r="F81" s="74"/>
      <c r="G81" s="72"/>
      <c r="H81" s="72"/>
      <c r="J81" s="12">
        <v>7500</v>
      </c>
      <c r="K81" s="102"/>
      <c r="L81" s="102"/>
      <c r="M81"/>
      <c r="N81"/>
      <c r="Q81" s="19">
        <v>7500</v>
      </c>
      <c r="R81" s="8">
        <f t="shared" si="29"/>
        <v>20</v>
      </c>
      <c r="S81" s="8">
        <f t="shared" si="29"/>
        <v>20</v>
      </c>
      <c r="T81" s="8">
        <f t="shared" si="29"/>
        <v>20</v>
      </c>
      <c r="V81" s="19">
        <v>7500</v>
      </c>
      <c r="W81" s="8">
        <f t="shared" si="23"/>
        <v>20</v>
      </c>
      <c r="X81" s="8">
        <f t="shared" si="30"/>
        <v>20</v>
      </c>
      <c r="Y81" s="8">
        <f t="shared" si="24"/>
        <v>30</v>
      </c>
      <c r="AB81" s="20">
        <v>7500</v>
      </c>
      <c r="AC81" s="9">
        <f t="shared" si="31"/>
        <v>20</v>
      </c>
      <c r="AD81" s="9">
        <f t="shared" si="31"/>
        <v>20</v>
      </c>
      <c r="AE81" s="9">
        <f t="shared" si="31"/>
        <v>20</v>
      </c>
      <c r="AG81" s="20">
        <v>7500</v>
      </c>
      <c r="AH81" s="9">
        <f t="shared" si="25"/>
        <v>20</v>
      </c>
      <c r="AI81" s="9">
        <f t="shared" si="32"/>
        <v>20</v>
      </c>
      <c r="AJ81" s="9">
        <f t="shared" si="26"/>
        <v>30</v>
      </c>
      <c r="AM81" s="21">
        <v>7500</v>
      </c>
      <c r="AN81" s="10">
        <v>-10</v>
      </c>
      <c r="AP81" s="10">
        <f t="shared" si="27"/>
        <v>20</v>
      </c>
      <c r="AQ81" s="10">
        <f t="shared" si="28"/>
        <v>30</v>
      </c>
      <c r="AT81" s="12">
        <v>7500</v>
      </c>
      <c r="AU81" s="80"/>
      <c r="AV81" s="68"/>
      <c r="AW81" s="68"/>
      <c r="AX81" s="68"/>
      <c r="AY81" s="68"/>
      <c r="AZ81" s="68"/>
    </row>
    <row r="82" spans="2:80" ht="16.5">
      <c r="B82" s="12">
        <v>8000</v>
      </c>
      <c r="C82" s="72"/>
      <c r="D82" s="72"/>
      <c r="E82" s="72"/>
      <c r="F82" s="74"/>
      <c r="G82" s="72"/>
      <c r="H82" s="72"/>
      <c r="J82" s="12">
        <v>8000</v>
      </c>
      <c r="K82" s="102"/>
      <c r="L82" s="102"/>
      <c r="M82"/>
      <c r="N82"/>
      <c r="Q82" s="19">
        <v>8000</v>
      </c>
      <c r="R82" s="8">
        <f t="shared" si="29"/>
        <v>20</v>
      </c>
      <c r="S82" s="8">
        <f t="shared" si="29"/>
        <v>20</v>
      </c>
      <c r="T82" s="8">
        <f t="shared" si="29"/>
        <v>20</v>
      </c>
      <c r="V82" s="19">
        <v>8000</v>
      </c>
      <c r="W82" s="8">
        <f t="shared" si="23"/>
        <v>20</v>
      </c>
      <c r="X82" s="8">
        <f t="shared" si="30"/>
        <v>20</v>
      </c>
      <c r="Y82" s="8">
        <f t="shared" si="24"/>
        <v>30</v>
      </c>
      <c r="AB82" s="20">
        <v>8000</v>
      </c>
      <c r="AC82" s="9">
        <f t="shared" si="31"/>
        <v>20</v>
      </c>
      <c r="AD82" s="9">
        <f t="shared" si="31"/>
        <v>20</v>
      </c>
      <c r="AE82" s="9">
        <f t="shared" si="31"/>
        <v>20</v>
      </c>
      <c r="AG82" s="20">
        <v>8000</v>
      </c>
      <c r="AH82" s="9">
        <f t="shared" si="25"/>
        <v>20</v>
      </c>
      <c r="AI82" s="9">
        <f t="shared" si="32"/>
        <v>20</v>
      </c>
      <c r="AJ82" s="9">
        <f t="shared" si="26"/>
        <v>30</v>
      </c>
      <c r="AM82" s="21">
        <v>8000</v>
      </c>
      <c r="AN82" s="10">
        <v>-10</v>
      </c>
      <c r="AO82" s="10">
        <v>10</v>
      </c>
      <c r="AP82" s="10">
        <f t="shared" si="27"/>
        <v>20</v>
      </c>
      <c r="AQ82" s="10">
        <f t="shared" si="28"/>
        <v>30</v>
      </c>
      <c r="AT82" s="12">
        <v>8000</v>
      </c>
      <c r="AU82" s="80"/>
      <c r="AV82" s="68"/>
      <c r="AW82" s="68"/>
      <c r="AX82" s="68"/>
      <c r="AY82" s="68"/>
      <c r="AZ82" s="68"/>
    </row>
    <row r="83" spans="2:80" ht="16.5">
      <c r="B83" s="12">
        <v>8500</v>
      </c>
      <c r="C83" s="72"/>
      <c r="D83" s="72"/>
      <c r="E83" s="72"/>
      <c r="F83" s="74"/>
      <c r="G83" s="72"/>
      <c r="H83" s="72"/>
      <c r="J83" s="12">
        <v>8500</v>
      </c>
      <c r="K83" s="102"/>
      <c r="L83" s="102"/>
      <c r="M83"/>
      <c r="N83"/>
      <c r="Q83" s="19">
        <v>8500</v>
      </c>
      <c r="R83" s="8">
        <f t="shared" si="29"/>
        <v>20</v>
      </c>
      <c r="S83" s="8">
        <f t="shared" si="29"/>
        <v>20</v>
      </c>
      <c r="T83" s="8">
        <f t="shared" si="29"/>
        <v>20</v>
      </c>
      <c r="V83" s="19">
        <v>8500</v>
      </c>
      <c r="W83" s="8">
        <f t="shared" si="23"/>
        <v>20</v>
      </c>
      <c r="X83" s="8">
        <f t="shared" si="30"/>
        <v>20</v>
      </c>
      <c r="Y83" s="8">
        <f t="shared" si="24"/>
        <v>30</v>
      </c>
      <c r="AB83" s="20">
        <v>8500</v>
      </c>
      <c r="AC83" s="9">
        <f t="shared" si="31"/>
        <v>20</v>
      </c>
      <c r="AD83" s="9">
        <f t="shared" si="31"/>
        <v>20</v>
      </c>
      <c r="AE83" s="9">
        <f t="shared" si="31"/>
        <v>20</v>
      </c>
      <c r="AG83" s="20">
        <v>8500</v>
      </c>
      <c r="AH83" s="9">
        <f t="shared" si="25"/>
        <v>20</v>
      </c>
      <c r="AI83" s="9">
        <f t="shared" si="32"/>
        <v>20</v>
      </c>
      <c r="AJ83" s="9">
        <f t="shared" si="26"/>
        <v>30</v>
      </c>
      <c r="AM83" s="21">
        <v>8500</v>
      </c>
      <c r="AN83" s="10">
        <v>-10</v>
      </c>
      <c r="AP83" s="10">
        <f t="shared" si="27"/>
        <v>20</v>
      </c>
      <c r="AQ83" s="10">
        <f t="shared" si="28"/>
        <v>30</v>
      </c>
      <c r="AT83" s="12">
        <v>8500</v>
      </c>
      <c r="AU83" s="80"/>
      <c r="AV83" s="68"/>
      <c r="AW83" s="68"/>
      <c r="AX83" s="68"/>
      <c r="AY83" s="68"/>
      <c r="AZ83" s="68"/>
    </row>
    <row r="84" spans="2:80" ht="16.5">
      <c r="B84" s="12">
        <v>9000</v>
      </c>
      <c r="C84" s="72"/>
      <c r="D84" s="72"/>
      <c r="E84" s="72"/>
      <c r="F84" s="74"/>
      <c r="G84" s="72"/>
      <c r="H84" s="72"/>
      <c r="J84" s="12">
        <v>9000</v>
      </c>
      <c r="K84" s="102"/>
      <c r="L84" s="102"/>
      <c r="M84"/>
      <c r="N84"/>
      <c r="Q84" s="19">
        <v>9000</v>
      </c>
      <c r="R84" s="8">
        <f t="shared" si="29"/>
        <v>20</v>
      </c>
      <c r="S84" s="8">
        <f t="shared" si="29"/>
        <v>20</v>
      </c>
      <c r="T84" s="8">
        <f t="shared" si="29"/>
        <v>20</v>
      </c>
      <c r="V84" s="19">
        <v>9000</v>
      </c>
      <c r="W84" s="8">
        <f t="shared" si="23"/>
        <v>20</v>
      </c>
      <c r="X84" s="8">
        <f t="shared" si="30"/>
        <v>20</v>
      </c>
      <c r="Y84" s="8">
        <f t="shared" si="24"/>
        <v>30</v>
      </c>
      <c r="AB84" s="20">
        <v>9000</v>
      </c>
      <c r="AC84" s="9">
        <f t="shared" si="31"/>
        <v>20</v>
      </c>
      <c r="AD84" s="9">
        <f t="shared" si="31"/>
        <v>20</v>
      </c>
      <c r="AE84" s="9">
        <f t="shared" si="31"/>
        <v>20</v>
      </c>
      <c r="AG84" s="20">
        <v>9000</v>
      </c>
      <c r="AH84" s="9">
        <f t="shared" si="25"/>
        <v>20</v>
      </c>
      <c r="AI84" s="9">
        <f t="shared" si="32"/>
        <v>20</v>
      </c>
      <c r="AJ84" s="9">
        <f t="shared" si="26"/>
        <v>30</v>
      </c>
      <c r="AM84" s="21">
        <v>9000</v>
      </c>
      <c r="AN84" s="10">
        <v>-10</v>
      </c>
      <c r="AP84" s="10">
        <f t="shared" si="27"/>
        <v>20</v>
      </c>
      <c r="AQ84" s="10">
        <f t="shared" si="28"/>
        <v>30</v>
      </c>
      <c r="AT84" s="12">
        <v>9000</v>
      </c>
      <c r="AU84" s="80"/>
      <c r="AV84" s="68"/>
      <c r="AW84" s="68"/>
      <c r="AX84" s="68"/>
      <c r="AY84" s="68"/>
      <c r="AZ84" s="68"/>
    </row>
    <row r="85" spans="2:80" ht="16.5">
      <c r="B85" s="12">
        <v>9500</v>
      </c>
      <c r="C85" s="72"/>
      <c r="D85" s="72"/>
      <c r="E85" s="72"/>
      <c r="F85" s="74"/>
      <c r="G85" s="72"/>
      <c r="H85" s="72"/>
      <c r="J85" s="12">
        <v>9500</v>
      </c>
      <c r="K85" s="102"/>
      <c r="L85" s="102"/>
      <c r="M85"/>
      <c r="N85"/>
      <c r="Q85" s="19">
        <v>9500</v>
      </c>
      <c r="R85" s="8">
        <f t="shared" si="29"/>
        <v>20</v>
      </c>
      <c r="S85" s="8">
        <f t="shared" si="29"/>
        <v>20</v>
      </c>
      <c r="T85" s="8">
        <f t="shared" si="29"/>
        <v>20</v>
      </c>
      <c r="V85" s="19">
        <v>9500</v>
      </c>
      <c r="W85" s="8">
        <f t="shared" si="23"/>
        <v>20</v>
      </c>
      <c r="X85" s="8">
        <f t="shared" si="30"/>
        <v>20</v>
      </c>
      <c r="Y85" s="8">
        <f t="shared" si="24"/>
        <v>30</v>
      </c>
      <c r="AB85" s="20">
        <v>9500</v>
      </c>
      <c r="AC85" s="9">
        <f t="shared" si="31"/>
        <v>20</v>
      </c>
      <c r="AD85" s="9">
        <f t="shared" si="31"/>
        <v>20</v>
      </c>
      <c r="AE85" s="9">
        <f t="shared" si="31"/>
        <v>20</v>
      </c>
      <c r="AG85" s="20">
        <v>9500</v>
      </c>
      <c r="AH85" s="9">
        <f t="shared" si="25"/>
        <v>20</v>
      </c>
      <c r="AI85" s="9">
        <f t="shared" si="32"/>
        <v>20</v>
      </c>
      <c r="AJ85" s="9">
        <f t="shared" si="26"/>
        <v>30</v>
      </c>
      <c r="AM85" s="21">
        <v>9500</v>
      </c>
      <c r="AN85" s="10">
        <v>-10</v>
      </c>
      <c r="AO85" s="10">
        <v>10</v>
      </c>
      <c r="AP85" s="10">
        <f t="shared" si="27"/>
        <v>20</v>
      </c>
      <c r="AQ85" s="10">
        <f t="shared" si="28"/>
        <v>30</v>
      </c>
      <c r="AT85" s="12">
        <v>9500</v>
      </c>
      <c r="AU85" s="80"/>
      <c r="AV85" s="68"/>
      <c r="AW85" s="68"/>
      <c r="AX85" s="68"/>
      <c r="AY85" s="68"/>
      <c r="AZ85" s="68"/>
    </row>
    <row r="86" spans="2:80" ht="16.5">
      <c r="B86" s="12">
        <v>10000</v>
      </c>
      <c r="C86" s="72"/>
      <c r="D86" s="72"/>
      <c r="E86" s="72"/>
      <c r="F86" s="74"/>
      <c r="G86" s="72"/>
      <c r="H86" s="72"/>
      <c r="J86" s="12">
        <v>10000</v>
      </c>
      <c r="K86" s="102"/>
      <c r="L86" s="102"/>
      <c r="M86"/>
      <c r="N86"/>
      <c r="Q86" s="19">
        <v>10000</v>
      </c>
      <c r="R86" s="8">
        <f t="shared" si="29"/>
        <v>20</v>
      </c>
      <c r="S86" s="8">
        <f t="shared" si="29"/>
        <v>20</v>
      </c>
      <c r="T86" s="8">
        <f t="shared" si="29"/>
        <v>20</v>
      </c>
      <c r="V86" s="19">
        <v>10000</v>
      </c>
      <c r="W86" s="8">
        <f t="shared" si="23"/>
        <v>20</v>
      </c>
      <c r="X86" s="8">
        <f t="shared" si="30"/>
        <v>20</v>
      </c>
      <c r="Y86" s="8">
        <f t="shared" si="24"/>
        <v>30</v>
      </c>
      <c r="AB86" s="20">
        <v>10000</v>
      </c>
      <c r="AC86" s="9">
        <f t="shared" si="31"/>
        <v>20</v>
      </c>
      <c r="AD86" s="9">
        <f t="shared" si="31"/>
        <v>20</v>
      </c>
      <c r="AE86" s="9">
        <f t="shared" si="31"/>
        <v>20</v>
      </c>
      <c r="AG86" s="20">
        <v>10000</v>
      </c>
      <c r="AH86" s="9">
        <f t="shared" si="25"/>
        <v>20</v>
      </c>
      <c r="AI86" s="9">
        <f t="shared" si="32"/>
        <v>20</v>
      </c>
      <c r="AJ86" s="9">
        <f t="shared" si="26"/>
        <v>30</v>
      </c>
      <c r="AM86" s="21">
        <v>10000</v>
      </c>
      <c r="AN86" s="10">
        <v>-10</v>
      </c>
      <c r="AP86" s="10">
        <f t="shared" si="27"/>
        <v>20</v>
      </c>
      <c r="AQ86" s="10">
        <f t="shared" si="28"/>
        <v>30</v>
      </c>
      <c r="AT86" s="12">
        <v>10000</v>
      </c>
      <c r="AU86" s="80"/>
      <c r="AV86" s="68"/>
      <c r="AW86" s="68"/>
      <c r="AX86" s="68"/>
      <c r="AY86" s="68"/>
      <c r="AZ86" s="68"/>
    </row>
    <row r="88" spans="2:80">
      <c r="C88" s="11">
        <f>MAX(C6:E86)</f>
        <v>0</v>
      </c>
      <c r="F88" s="11">
        <f>MAX(F6:H86)</f>
        <v>0</v>
      </c>
      <c r="K88" s="11" t="s">
        <v>158</v>
      </c>
      <c r="L88" s="11" t="s">
        <v>158</v>
      </c>
      <c r="AR88" s="10"/>
      <c r="AT88" s="16"/>
      <c r="AU88" s="11">
        <f>MAX(AU6:AW86)</f>
        <v>0</v>
      </c>
      <c r="AX88" s="11">
        <f>MAX(AX6:AZ86)</f>
        <v>0</v>
      </c>
      <c r="AY88" s="16"/>
      <c r="AZ88" s="16"/>
      <c r="CA88" s="16"/>
      <c r="CB88" s="16"/>
    </row>
    <row r="89" spans="2:80">
      <c r="K89" s="11">
        <v>14.430999999999999</v>
      </c>
      <c r="L89" s="11">
        <v>14.430999999999999</v>
      </c>
    </row>
    <row r="90" spans="2:80">
      <c r="K90" s="11">
        <v>3.956</v>
      </c>
      <c r="L90" s="11">
        <v>3.956</v>
      </c>
    </row>
    <row r="91" spans="2:80">
      <c r="K91" s="11">
        <v>1.5307999999999999</v>
      </c>
      <c r="L91" s="11">
        <v>1.5307999999999999</v>
      </c>
    </row>
    <row r="92" spans="2:80">
      <c r="K92" s="11">
        <v>11.279</v>
      </c>
      <c r="L92" s="11">
        <v>11.279</v>
      </c>
    </row>
    <row r="93" spans="2:80">
      <c r="K93" s="11">
        <v>9.4009999999999998</v>
      </c>
      <c r="L93" s="11">
        <v>9.4009999999999998</v>
      </c>
    </row>
    <row r="94" spans="2:80">
      <c r="K94" s="11">
        <v>16.747</v>
      </c>
      <c r="L94" s="11">
        <v>16.747</v>
      </c>
    </row>
    <row r="95" spans="2:80">
      <c r="K95" s="11">
        <v>30.94</v>
      </c>
      <c r="L95" s="11">
        <v>30.94</v>
      </c>
    </row>
    <row r="96" spans="2:80">
      <c r="K96" s="11">
        <v>32.14</v>
      </c>
      <c r="L96" s="11">
        <v>32.14</v>
      </c>
    </row>
    <row r="97" spans="11:12">
      <c r="K97" s="11">
        <v>31.51</v>
      </c>
      <c r="L97" s="11">
        <v>31.51</v>
      </c>
    </row>
    <row r="98" spans="11:12">
      <c r="K98" s="11">
        <v>20.888999999999999</v>
      </c>
      <c r="L98" s="11">
        <v>20.888999999999999</v>
      </c>
    </row>
    <row r="99" spans="11:12">
      <c r="K99" s="11">
        <v>13.135</v>
      </c>
      <c r="L99" s="11">
        <v>13.135</v>
      </c>
    </row>
    <row r="100" spans="11:12">
      <c r="K100" s="11">
        <v>10.928000000000001</v>
      </c>
      <c r="L100" s="11">
        <v>10.928000000000001</v>
      </c>
    </row>
    <row r="101" spans="11:12">
      <c r="K101" s="11">
        <v>8.5289999999999999</v>
      </c>
      <c r="L101" s="11">
        <v>8.5289999999999999</v>
      </c>
    </row>
    <row r="102" spans="11:12">
      <c r="K102" s="11">
        <v>10.557</v>
      </c>
      <c r="L102" s="11">
        <v>10.557</v>
      </c>
    </row>
    <row r="103" spans="11:12">
      <c r="K103" s="11">
        <v>14.733000000000001</v>
      </c>
      <c r="L103" s="11">
        <v>14.733000000000001</v>
      </c>
    </row>
    <row r="104" spans="11:12">
      <c r="K104" s="11">
        <v>22.379000000000001</v>
      </c>
      <c r="L104" s="11">
        <v>22.379000000000001</v>
      </c>
    </row>
    <row r="105" spans="11:12">
      <c r="K105" s="11">
        <v>21.984000000000002</v>
      </c>
      <c r="L105" s="11">
        <v>21.984000000000002</v>
      </c>
    </row>
    <row r="106" spans="11:12">
      <c r="K106" s="11">
        <v>20.962</v>
      </c>
      <c r="L106" s="11">
        <v>20.962</v>
      </c>
    </row>
    <row r="107" spans="11:12">
      <c r="K107" s="11">
        <v>15.901</v>
      </c>
      <c r="L107" s="11">
        <v>15.901</v>
      </c>
    </row>
    <row r="108" spans="11:12">
      <c r="K108" s="11">
        <v>14.352</v>
      </c>
      <c r="L108" s="11">
        <v>14.352</v>
      </c>
    </row>
    <row r="109" spans="11:12">
      <c r="K109" s="11">
        <v>16.777999999999999</v>
      </c>
      <c r="L109" s="11">
        <v>16.777999999999999</v>
      </c>
    </row>
    <row r="110" spans="11:12">
      <c r="K110" s="11">
        <v>19.719000000000001</v>
      </c>
      <c r="L110" s="11">
        <v>19.719000000000001</v>
      </c>
    </row>
    <row r="111" spans="11:12">
      <c r="K111" s="11">
        <v>16.495999999999999</v>
      </c>
      <c r="L111" s="11">
        <v>16.495999999999999</v>
      </c>
    </row>
    <row r="112" spans="11:12">
      <c r="K112" s="11">
        <v>21.423999999999999</v>
      </c>
      <c r="L112" s="11">
        <v>21.423999999999999</v>
      </c>
    </row>
    <row r="113" spans="11:12">
      <c r="K113" s="11">
        <v>15.41</v>
      </c>
      <c r="L113" s="11">
        <v>15.41</v>
      </c>
    </row>
    <row r="114" spans="11:12">
      <c r="K114" s="11">
        <v>22.18</v>
      </c>
      <c r="L114" s="11">
        <v>22.18</v>
      </c>
    </row>
    <row r="115" spans="11:12">
      <c r="K115" s="11">
        <v>19.28</v>
      </c>
      <c r="L115" s="11">
        <v>19.28</v>
      </c>
    </row>
    <row r="116" spans="11:12">
      <c r="K116" s="11">
        <v>22.925999999999998</v>
      </c>
      <c r="L116" s="11">
        <v>22.925999999999998</v>
      </c>
    </row>
    <row r="117" spans="11:12">
      <c r="K117" s="11">
        <v>22.434000000000001</v>
      </c>
      <c r="L117" s="11">
        <v>22.434000000000001</v>
      </c>
    </row>
    <row r="118" spans="11:12">
      <c r="K118" s="11">
        <v>23.896999999999998</v>
      </c>
      <c r="L118" s="11">
        <v>23.896999999999998</v>
      </c>
    </row>
    <row r="119" spans="11:12">
      <c r="K119" s="11">
        <v>25.370999999999999</v>
      </c>
      <c r="L119" s="11">
        <v>25.370999999999999</v>
      </c>
    </row>
    <row r="120" spans="11:12">
      <c r="K120" s="11">
        <v>25.138999999999999</v>
      </c>
      <c r="L120" s="11">
        <v>25.138999999999999</v>
      </c>
    </row>
    <row r="121" spans="11:12">
      <c r="K121" s="11">
        <v>24.375</v>
      </c>
      <c r="L121" s="11">
        <v>24.375</v>
      </c>
    </row>
    <row r="122" spans="11:12">
      <c r="K122" s="11">
        <v>22.855</v>
      </c>
      <c r="L122" s="11">
        <v>22.855</v>
      </c>
    </row>
    <row r="123" spans="11:12">
      <c r="K123" s="11">
        <v>24.452000000000002</v>
      </c>
      <c r="L123" s="11">
        <v>24.452000000000002</v>
      </c>
    </row>
    <row r="124" spans="11:12">
      <c r="K124" s="11">
        <v>21.102</v>
      </c>
      <c r="L124" s="11">
        <v>21.102</v>
      </c>
    </row>
    <row r="125" spans="11:12">
      <c r="K125" s="11">
        <v>21.585999999999999</v>
      </c>
      <c r="L125" s="11">
        <v>21.585999999999999</v>
      </c>
    </row>
    <row r="126" spans="11:12">
      <c r="K126" s="11">
        <v>19.54</v>
      </c>
      <c r="L126" s="11">
        <v>19.54</v>
      </c>
    </row>
    <row r="127" spans="11:12">
      <c r="K127" s="11">
        <v>24.065999999999999</v>
      </c>
      <c r="L127" s="11">
        <v>24.065999999999999</v>
      </c>
    </row>
    <row r="128" spans="11:12">
      <c r="K128" s="11">
        <v>25.207000000000001</v>
      </c>
      <c r="L128" s="11">
        <v>25.207000000000001</v>
      </c>
    </row>
    <row r="129" spans="11:12">
      <c r="K129" s="11">
        <v>23.821999999999999</v>
      </c>
      <c r="L129" s="11">
        <v>23.821999999999999</v>
      </c>
    </row>
    <row r="130" spans="11:12">
      <c r="K130" s="11">
        <v>21.757000000000001</v>
      </c>
      <c r="L130" s="11">
        <v>21.757000000000001</v>
      </c>
    </row>
    <row r="131" spans="11:12">
      <c r="K131" s="11">
        <v>24.048999999999999</v>
      </c>
      <c r="L131" s="11">
        <v>24.048999999999999</v>
      </c>
    </row>
    <row r="132" spans="11:12">
      <c r="K132" s="11">
        <v>25.143999999999998</v>
      </c>
      <c r="L132" s="11">
        <v>25.143999999999998</v>
      </c>
    </row>
    <row r="133" spans="11:12">
      <c r="K133" s="11">
        <v>25.611999999999998</v>
      </c>
      <c r="L133" s="11">
        <v>25.611999999999998</v>
      </c>
    </row>
    <row r="134" spans="11:12">
      <c r="K134" s="11">
        <v>25.721</v>
      </c>
      <c r="L134" s="11">
        <v>25.721</v>
      </c>
    </row>
    <row r="135" spans="11:12">
      <c r="K135" s="11">
        <v>26.611000000000001</v>
      </c>
      <c r="L135" s="11">
        <v>26.611000000000001</v>
      </c>
    </row>
    <row r="136" spans="11:12">
      <c r="K136" s="11">
        <v>26.17</v>
      </c>
      <c r="L136" s="11">
        <v>26.17</v>
      </c>
    </row>
    <row r="137" spans="11:12">
      <c r="K137" s="11">
        <v>26.957999999999998</v>
      </c>
      <c r="L137" s="11">
        <v>26.957999999999998</v>
      </c>
    </row>
    <row r="138" spans="11:12">
      <c r="K138" s="11">
        <v>26.25</v>
      </c>
      <c r="L138" s="11">
        <v>26.25</v>
      </c>
    </row>
    <row r="139" spans="11:12">
      <c r="K139" s="11">
        <v>27.704999999999998</v>
      </c>
      <c r="L139" s="11">
        <v>27.704999999999998</v>
      </c>
    </row>
    <row r="140" spans="11:12">
      <c r="K140" s="11">
        <v>27.611999999999998</v>
      </c>
      <c r="L140" s="11">
        <v>27.611999999999998</v>
      </c>
    </row>
    <row r="141" spans="11:12">
      <c r="K141" s="11">
        <v>27.827999999999999</v>
      </c>
      <c r="L141" s="11">
        <v>27.827999999999999</v>
      </c>
    </row>
    <row r="142" spans="11:12">
      <c r="K142" s="11">
        <v>28.574000000000002</v>
      </c>
      <c r="L142" s="11">
        <v>28.574000000000002</v>
      </c>
    </row>
    <row r="143" spans="11:12">
      <c r="K143" s="11">
        <v>29.434000000000001</v>
      </c>
      <c r="L143" s="11">
        <v>29.434000000000001</v>
      </c>
    </row>
    <row r="144" spans="11:12">
      <c r="K144" s="11">
        <v>29.137</v>
      </c>
      <c r="L144" s="11">
        <v>29.137</v>
      </c>
    </row>
    <row r="145" spans="11:12">
      <c r="K145" s="11">
        <v>29.32</v>
      </c>
      <c r="L145" s="11">
        <v>29.32</v>
      </c>
    </row>
    <row r="146" spans="11:12">
      <c r="K146" s="11">
        <v>29.088000000000001</v>
      </c>
      <c r="L146" s="11">
        <v>29.088000000000001</v>
      </c>
    </row>
    <row r="147" spans="11:12">
      <c r="K147" s="11">
        <v>30.513000000000002</v>
      </c>
      <c r="L147" s="11">
        <v>30.513000000000002</v>
      </c>
    </row>
    <row r="148" spans="11:12">
      <c r="K148" s="11">
        <v>30.742999999999999</v>
      </c>
      <c r="L148" s="11">
        <v>30.742999999999999</v>
      </c>
    </row>
    <row r="149" spans="11:12">
      <c r="K149" s="11">
        <v>31.8</v>
      </c>
      <c r="L149" s="11">
        <v>31.8</v>
      </c>
    </row>
    <row r="150" spans="11:12">
      <c r="K150" s="11">
        <v>31.399000000000001</v>
      </c>
      <c r="L150" s="11">
        <v>31.399000000000001</v>
      </c>
    </row>
    <row r="151" spans="11:12">
      <c r="K151" s="11">
        <v>29.677</v>
      </c>
      <c r="L151" s="11">
        <v>29.677</v>
      </c>
    </row>
    <row r="152" spans="11:12">
      <c r="K152" s="11">
        <v>31.108000000000001</v>
      </c>
      <c r="L152" s="11">
        <v>31.108000000000001</v>
      </c>
    </row>
    <row r="153" spans="11:12">
      <c r="K153" s="11">
        <v>31.66</v>
      </c>
      <c r="L153" s="11">
        <v>31.66</v>
      </c>
    </row>
    <row r="154" spans="11:12">
      <c r="K154" s="11">
        <v>32.090000000000003</v>
      </c>
      <c r="L154" s="11">
        <v>32.090000000000003</v>
      </c>
    </row>
    <row r="155" spans="11:12">
      <c r="K155" s="11">
        <v>32.25</v>
      </c>
      <c r="L155" s="11">
        <v>32.25</v>
      </c>
    </row>
    <row r="156" spans="11:12">
      <c r="K156" s="11">
        <v>32.909999999999997</v>
      </c>
      <c r="L156" s="11">
        <v>32.909999999999997</v>
      </c>
    </row>
    <row r="157" spans="11:12">
      <c r="K157" s="11">
        <v>32.58</v>
      </c>
      <c r="L157" s="11">
        <v>32.58</v>
      </c>
    </row>
    <row r="158" spans="11:12">
      <c r="K158" s="11">
        <v>32.33</v>
      </c>
      <c r="L158" s="11">
        <v>32.33</v>
      </c>
    </row>
    <row r="159" spans="11:12">
      <c r="K159" s="11">
        <v>33.21</v>
      </c>
      <c r="L159" s="11">
        <v>33.21</v>
      </c>
    </row>
    <row r="160" spans="11:12">
      <c r="K160" s="11">
        <v>33.42</v>
      </c>
      <c r="L160" s="11">
        <v>33.42</v>
      </c>
    </row>
    <row r="161" spans="11:12">
      <c r="K161" s="11">
        <v>33.200000000000003</v>
      </c>
      <c r="L161" s="11">
        <v>33.200000000000003</v>
      </c>
    </row>
    <row r="162" spans="11:12">
      <c r="K162" s="11">
        <v>33.229999999999997</v>
      </c>
      <c r="L162" s="11">
        <v>33.229999999999997</v>
      </c>
    </row>
    <row r="163" spans="11:12">
      <c r="K163" s="11">
        <v>33.590000000000003</v>
      </c>
      <c r="L163" s="11">
        <v>33.590000000000003</v>
      </c>
    </row>
    <row r="164" spans="11:12">
      <c r="K164" s="11">
        <v>33.6</v>
      </c>
      <c r="L164" s="11">
        <v>33.6</v>
      </c>
    </row>
    <row r="165" spans="11:12">
      <c r="K165" s="11">
        <v>33.619999999999997</v>
      </c>
      <c r="L165" s="11">
        <v>33.619999999999997</v>
      </c>
    </row>
    <row r="166" spans="11:12">
      <c r="K166" s="11">
        <v>33.85</v>
      </c>
      <c r="L166" s="11">
        <v>33.85</v>
      </c>
    </row>
    <row r="167" spans="11:12">
      <c r="K167" s="11">
        <v>33.96</v>
      </c>
      <c r="L167" s="11">
        <v>33.96</v>
      </c>
    </row>
    <row r="168" spans="11:12">
      <c r="K168" s="11">
        <v>34.03</v>
      </c>
      <c r="L168" s="11">
        <v>34.03</v>
      </c>
    </row>
    <row r="169" spans="11:12">
      <c r="K169" s="11">
        <v>34.04</v>
      </c>
      <c r="L169" s="11">
        <v>34.04</v>
      </c>
    </row>
    <row r="170" spans="11:12">
      <c r="K170" s="11" t="s">
        <v>158</v>
      </c>
      <c r="L170" s="11" t="s">
        <v>158</v>
      </c>
    </row>
    <row r="171" spans="11:12">
      <c r="K171" s="11">
        <v>15.231</v>
      </c>
      <c r="L171" s="11">
        <v>15.231</v>
      </c>
    </row>
    <row r="172" spans="11:12">
      <c r="K172" s="11">
        <v>12.904999999999999</v>
      </c>
      <c r="L172" s="11">
        <v>12.904999999999999</v>
      </c>
    </row>
    <row r="173" spans="11:12">
      <c r="K173" s="11">
        <v>7.9820000000000002</v>
      </c>
      <c r="L173" s="11">
        <v>7.9820000000000002</v>
      </c>
    </row>
    <row r="174" spans="11:12">
      <c r="K174" s="11">
        <v>3.573</v>
      </c>
      <c r="L174" s="11">
        <v>3.573</v>
      </c>
    </row>
    <row r="175" spans="11:12">
      <c r="K175" s="11">
        <v>10.132</v>
      </c>
      <c r="L175" s="11">
        <v>10.132</v>
      </c>
    </row>
    <row r="176" spans="11:12">
      <c r="K176" s="11">
        <v>17.635000000000002</v>
      </c>
      <c r="L176" s="11">
        <v>17.635000000000002</v>
      </c>
    </row>
    <row r="177" spans="11:12">
      <c r="K177" s="11">
        <v>31.6</v>
      </c>
      <c r="L177" s="11">
        <v>31.6</v>
      </c>
    </row>
    <row r="178" spans="11:12">
      <c r="K178" s="11">
        <v>32.89</v>
      </c>
      <c r="L178" s="11">
        <v>32.89</v>
      </c>
    </row>
    <row r="179" spans="11:12">
      <c r="K179" s="11">
        <v>32.340000000000003</v>
      </c>
      <c r="L179" s="11">
        <v>32.340000000000003</v>
      </c>
    </row>
    <row r="180" spans="11:12">
      <c r="K180" s="11">
        <v>20.079000000000001</v>
      </c>
      <c r="L180" s="11">
        <v>20.079000000000001</v>
      </c>
    </row>
    <row r="181" spans="11:12">
      <c r="K181" s="11">
        <v>13.364000000000001</v>
      </c>
      <c r="L181" s="11">
        <v>13.364000000000001</v>
      </c>
    </row>
    <row r="182" spans="11:12">
      <c r="K182" s="11">
        <v>7.4820000000000002</v>
      </c>
      <c r="L182" s="11">
        <v>7.4820000000000002</v>
      </c>
    </row>
    <row r="183" spans="11:12">
      <c r="K183" s="11">
        <v>13.384</v>
      </c>
      <c r="L183" s="11">
        <v>13.384</v>
      </c>
    </row>
    <row r="184" spans="11:12">
      <c r="K184" s="11">
        <v>12.531000000000001</v>
      </c>
      <c r="L184" s="11">
        <v>12.531000000000001</v>
      </c>
    </row>
    <row r="185" spans="11:12">
      <c r="K185" s="11">
        <v>12.273</v>
      </c>
      <c r="L185" s="11">
        <v>12.273</v>
      </c>
    </row>
    <row r="186" spans="11:12">
      <c r="K186" s="11">
        <v>21.413</v>
      </c>
      <c r="L186" s="11">
        <v>21.413</v>
      </c>
    </row>
    <row r="187" spans="11:12">
      <c r="K187" s="11">
        <v>23.405000000000001</v>
      </c>
      <c r="L187" s="11">
        <v>23.405000000000001</v>
      </c>
    </row>
    <row r="188" spans="11:12">
      <c r="K188" s="11">
        <v>21.145</v>
      </c>
      <c r="L188" s="11">
        <v>21.145</v>
      </c>
    </row>
    <row r="189" spans="11:12">
      <c r="K189" s="11">
        <v>15.840999999999999</v>
      </c>
      <c r="L189" s="11">
        <v>15.840999999999999</v>
      </c>
    </row>
    <row r="190" spans="11:12">
      <c r="K190" s="11">
        <v>14.295</v>
      </c>
      <c r="L190" s="11">
        <v>14.295</v>
      </c>
    </row>
    <row r="191" spans="11:12">
      <c r="K191" s="11">
        <v>18.363</v>
      </c>
      <c r="L191" s="11">
        <v>18.363</v>
      </c>
    </row>
    <row r="192" spans="11:12">
      <c r="K192" s="11">
        <v>23.227</v>
      </c>
      <c r="L192" s="11">
        <v>23.227</v>
      </c>
    </row>
    <row r="193" spans="11:12">
      <c r="K193" s="11">
        <v>22.989000000000001</v>
      </c>
      <c r="L193" s="11">
        <v>22.989000000000001</v>
      </c>
    </row>
    <row r="194" spans="11:12">
      <c r="K194" s="11">
        <v>20.954000000000001</v>
      </c>
      <c r="L194" s="11">
        <v>20.954000000000001</v>
      </c>
    </row>
    <row r="195" spans="11:12">
      <c r="K195" s="11">
        <v>16.509</v>
      </c>
      <c r="L195" s="11">
        <v>16.509</v>
      </c>
    </row>
    <row r="196" spans="11:12">
      <c r="K196" s="11">
        <v>21.834</v>
      </c>
      <c r="L196" s="11">
        <v>21.834</v>
      </c>
    </row>
    <row r="197" spans="11:12">
      <c r="K197" s="11">
        <v>17.805</v>
      </c>
      <c r="L197" s="11">
        <v>17.805</v>
      </c>
    </row>
    <row r="198" spans="11:12">
      <c r="K198" s="11">
        <v>23.07</v>
      </c>
      <c r="L198" s="11">
        <v>23.07</v>
      </c>
    </row>
    <row r="199" spans="11:12">
      <c r="K199" s="11">
        <v>23.364000000000001</v>
      </c>
      <c r="L199" s="11">
        <v>23.364000000000001</v>
      </c>
    </row>
    <row r="200" spans="11:12">
      <c r="K200" s="11">
        <v>23.675999999999998</v>
      </c>
      <c r="L200" s="11">
        <v>23.675999999999998</v>
      </c>
    </row>
    <row r="201" spans="11:12">
      <c r="K201" s="11">
        <v>23.454999999999998</v>
      </c>
      <c r="L201" s="11">
        <v>23.454999999999998</v>
      </c>
    </row>
    <row r="202" spans="11:12">
      <c r="K202" s="11">
        <v>25.64</v>
      </c>
      <c r="L202" s="11">
        <v>25.64</v>
      </c>
    </row>
    <row r="203" spans="11:12">
      <c r="K203" s="11">
        <v>24.218</v>
      </c>
      <c r="L203" s="11">
        <v>24.218</v>
      </c>
    </row>
    <row r="204" spans="11:12">
      <c r="K204" s="11">
        <v>23.762</v>
      </c>
      <c r="L204" s="11">
        <v>23.762</v>
      </c>
    </row>
    <row r="205" spans="11:12">
      <c r="K205" s="11">
        <v>23.154</v>
      </c>
      <c r="L205" s="11">
        <v>23.154</v>
      </c>
    </row>
    <row r="206" spans="11:12">
      <c r="K206" s="11">
        <v>19.832000000000001</v>
      </c>
      <c r="L206" s="11">
        <v>19.832000000000001</v>
      </c>
    </row>
    <row r="207" spans="11:12">
      <c r="K207" s="11">
        <v>21.388999999999999</v>
      </c>
      <c r="L207" s="11">
        <v>21.388999999999999</v>
      </c>
    </row>
    <row r="208" spans="11:12">
      <c r="K208" s="11">
        <v>22.795999999999999</v>
      </c>
      <c r="L208" s="11">
        <v>22.795999999999999</v>
      </c>
    </row>
    <row r="209" spans="11:12">
      <c r="K209" s="11">
        <v>24.091999999999999</v>
      </c>
      <c r="L209" s="11">
        <v>24.091999999999999</v>
      </c>
    </row>
    <row r="210" spans="11:12">
      <c r="K210" s="11">
        <v>25.885999999999999</v>
      </c>
      <c r="L210" s="11">
        <v>25.885999999999999</v>
      </c>
    </row>
    <row r="211" spans="11:12">
      <c r="K211" s="11">
        <v>24.312999999999999</v>
      </c>
      <c r="L211" s="11">
        <v>24.312999999999999</v>
      </c>
    </row>
    <row r="212" spans="11:12">
      <c r="K212" s="11">
        <v>24.048999999999999</v>
      </c>
      <c r="L212" s="11">
        <v>24.048999999999999</v>
      </c>
    </row>
    <row r="213" spans="11:12">
      <c r="K213" s="11">
        <v>25.013999999999999</v>
      </c>
      <c r="L213" s="11">
        <v>25.013999999999999</v>
      </c>
    </row>
    <row r="214" spans="11:12">
      <c r="K214" s="11">
        <v>23.393999999999998</v>
      </c>
      <c r="L214" s="11">
        <v>23.393999999999998</v>
      </c>
    </row>
    <row r="215" spans="11:12">
      <c r="K215" s="11">
        <v>24.390999999999998</v>
      </c>
      <c r="L215" s="11">
        <v>24.390999999999998</v>
      </c>
    </row>
    <row r="216" spans="11:12">
      <c r="K216" s="11">
        <v>25.952999999999999</v>
      </c>
      <c r="L216" s="11">
        <v>25.952999999999999</v>
      </c>
    </row>
    <row r="217" spans="11:12">
      <c r="K217" s="11">
        <v>25.068000000000001</v>
      </c>
      <c r="L217" s="11">
        <v>25.068000000000001</v>
      </c>
    </row>
    <row r="218" spans="11:12">
      <c r="K218" s="11">
        <v>26.016999999999999</v>
      </c>
      <c r="L218" s="11">
        <v>26.016999999999999</v>
      </c>
    </row>
    <row r="219" spans="11:12">
      <c r="K219" s="11">
        <v>27.173999999999999</v>
      </c>
      <c r="L219" s="11">
        <v>27.173999999999999</v>
      </c>
    </row>
    <row r="220" spans="11:12">
      <c r="K220" s="11">
        <v>26.957999999999998</v>
      </c>
      <c r="L220" s="11">
        <v>26.957999999999998</v>
      </c>
    </row>
    <row r="221" spans="11:12">
      <c r="K221" s="11">
        <v>27.504999999999999</v>
      </c>
      <c r="L221" s="11">
        <v>27.504999999999999</v>
      </c>
    </row>
    <row r="222" spans="11:12">
      <c r="K222" s="11">
        <v>27.62</v>
      </c>
      <c r="L222" s="11">
        <v>27.62</v>
      </c>
    </row>
    <row r="223" spans="11:12">
      <c r="K223" s="11">
        <v>27.914999999999999</v>
      </c>
      <c r="L223" s="11">
        <v>27.914999999999999</v>
      </c>
    </row>
    <row r="224" spans="11:12">
      <c r="K224" s="11">
        <v>28.734999999999999</v>
      </c>
      <c r="L224" s="11">
        <v>28.734999999999999</v>
      </c>
    </row>
    <row r="225" spans="11:12">
      <c r="K225" s="11">
        <v>28.574000000000002</v>
      </c>
      <c r="L225" s="11">
        <v>28.574000000000002</v>
      </c>
    </row>
    <row r="226" spans="11:12">
      <c r="K226" s="11">
        <v>29.462</v>
      </c>
      <c r="L226" s="11">
        <v>29.462</v>
      </c>
    </row>
    <row r="227" spans="11:12">
      <c r="K227" s="11">
        <v>29.614999999999998</v>
      </c>
      <c r="L227" s="11">
        <v>29.614999999999998</v>
      </c>
    </row>
    <row r="228" spans="11:12">
      <c r="K228" s="11">
        <v>29.943000000000001</v>
      </c>
      <c r="L228" s="11">
        <v>29.943000000000001</v>
      </c>
    </row>
    <row r="229" spans="11:12">
      <c r="K229" s="11">
        <v>29.7</v>
      </c>
      <c r="L229" s="11">
        <v>29.7</v>
      </c>
    </row>
    <row r="230" spans="11:12">
      <c r="K230" s="11">
        <v>30.472999999999999</v>
      </c>
      <c r="L230" s="11">
        <v>30.472999999999999</v>
      </c>
    </row>
    <row r="231" spans="11:12">
      <c r="K231" s="11">
        <v>32.25</v>
      </c>
      <c r="L231" s="11">
        <v>32.25</v>
      </c>
    </row>
    <row r="232" spans="11:12">
      <c r="K232" s="11">
        <v>30.823</v>
      </c>
      <c r="L232" s="11">
        <v>30.823</v>
      </c>
    </row>
    <row r="233" spans="11:12">
      <c r="K233" s="11">
        <v>30.652000000000001</v>
      </c>
      <c r="L233" s="11">
        <v>30.652000000000001</v>
      </c>
    </row>
    <row r="234" spans="11:12">
      <c r="K234" s="11">
        <v>31.376999999999999</v>
      </c>
      <c r="L234" s="11">
        <v>31.376999999999999</v>
      </c>
    </row>
    <row r="235" spans="11:12">
      <c r="K235" s="11">
        <v>31.92</v>
      </c>
      <c r="L235" s="11">
        <v>31.92</v>
      </c>
    </row>
    <row r="236" spans="11:12">
      <c r="K236" s="11">
        <v>32.11</v>
      </c>
      <c r="L236" s="11">
        <v>32.11</v>
      </c>
    </row>
    <row r="237" spans="11:12">
      <c r="K237" s="11">
        <v>32.89</v>
      </c>
      <c r="L237" s="11">
        <v>32.89</v>
      </c>
    </row>
    <row r="238" spans="11:12">
      <c r="K238" s="11">
        <v>32.67</v>
      </c>
      <c r="L238" s="11">
        <v>32.67</v>
      </c>
    </row>
    <row r="239" spans="11:12">
      <c r="K239" s="11">
        <v>32.119999999999997</v>
      </c>
      <c r="L239" s="11">
        <v>32.119999999999997</v>
      </c>
    </row>
    <row r="240" spans="11:12">
      <c r="K240" s="11">
        <v>32.619999999999997</v>
      </c>
      <c r="L240" s="11">
        <v>32.619999999999997</v>
      </c>
    </row>
    <row r="241" spans="11:12">
      <c r="K241" s="11">
        <v>32.93</v>
      </c>
      <c r="L241" s="11">
        <v>32.93</v>
      </c>
    </row>
    <row r="242" spans="11:12">
      <c r="K242" s="11">
        <v>33.24</v>
      </c>
      <c r="L242" s="11">
        <v>33.24</v>
      </c>
    </row>
    <row r="243" spans="11:12">
      <c r="K243" s="11">
        <v>33.31</v>
      </c>
      <c r="L243" s="11">
        <v>33.31</v>
      </c>
    </row>
    <row r="244" spans="11:12">
      <c r="K244" s="11">
        <v>33.340000000000003</v>
      </c>
      <c r="L244" s="11">
        <v>33.340000000000003</v>
      </c>
    </row>
    <row r="245" spans="11:12">
      <c r="K245" s="11">
        <v>33.380000000000003</v>
      </c>
      <c r="L245" s="11">
        <v>33.380000000000003</v>
      </c>
    </row>
    <row r="246" spans="11:12">
      <c r="K246" s="11">
        <v>33.75</v>
      </c>
      <c r="L246" s="11">
        <v>33.75</v>
      </c>
    </row>
    <row r="247" spans="11:12">
      <c r="K247" s="11">
        <v>33.71</v>
      </c>
      <c r="L247" s="11">
        <v>33.71</v>
      </c>
    </row>
    <row r="248" spans="11:12">
      <c r="K248" s="11">
        <v>34.03</v>
      </c>
      <c r="L248" s="11">
        <v>34.03</v>
      </c>
    </row>
    <row r="249" spans="11:12">
      <c r="K249" s="11">
        <v>33.79</v>
      </c>
      <c r="L249" s="11">
        <v>33.79</v>
      </c>
    </row>
    <row r="250" spans="11:12">
      <c r="K250" s="11">
        <v>34.08</v>
      </c>
      <c r="L250" s="11">
        <v>34.08</v>
      </c>
    </row>
    <row r="251" spans="11:12">
      <c r="K251" s="11">
        <v>33.99</v>
      </c>
      <c r="L251" s="11">
        <v>33.99</v>
      </c>
    </row>
  </sheetData>
  <mergeCells count="2">
    <mergeCell ref="B2:G2"/>
    <mergeCell ref="AT2:AY2"/>
  </mergeCells>
  <phoneticPr fontId="2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B251"/>
  <sheetViews>
    <sheetView workbookViewId="0">
      <selection activeCell="I13" sqref="I13"/>
    </sheetView>
  </sheetViews>
  <sheetFormatPr defaultRowHeight="12.75"/>
  <cols>
    <col min="1" max="1" width="19.85546875" style="17" bestFit="1" customWidth="1"/>
    <col min="2" max="2" width="6" style="12" bestFit="1" customWidth="1"/>
    <col min="3" max="3" width="9.140625" style="11"/>
    <col min="4" max="4" width="9.28515625" style="11" bestFit="1" customWidth="1"/>
    <col min="5" max="5" width="7.85546875" style="11" bestFit="1" customWidth="1"/>
    <col min="6" max="6" width="8.7109375" style="11" bestFit="1" customWidth="1"/>
    <col min="7" max="7" width="8.85546875" style="11" bestFit="1" customWidth="1"/>
    <col min="8" max="8" width="7.5703125" style="11" bestFit="1" customWidth="1"/>
    <col min="9" max="9" width="9.140625" style="11"/>
    <col min="10" max="10" width="6" style="12" bestFit="1" customWidth="1"/>
    <col min="11" max="11" width="23.140625" style="11" bestFit="1" customWidth="1"/>
    <col min="12" max="12" width="22.7109375" style="11" bestFit="1" customWidth="1"/>
    <col min="13" max="14" width="22.7109375" style="11" customWidth="1"/>
    <col min="15" max="15" width="11.28515625" style="11" customWidth="1"/>
    <col min="16" max="16" width="26.7109375" style="14" bestFit="1" customWidth="1"/>
    <col min="17" max="17" width="6" style="19" bestFit="1" customWidth="1"/>
    <col min="18" max="18" width="9.85546875" style="8" bestFit="1" customWidth="1"/>
    <col min="19" max="19" width="10" style="8" bestFit="1" customWidth="1"/>
    <col min="20" max="20" width="8.5703125" style="8" bestFit="1" customWidth="1"/>
    <col min="21" max="21" width="9.140625" style="8"/>
    <col min="22" max="22" width="6" style="19" bestFit="1" customWidth="1"/>
    <col min="23" max="23" width="12" style="8" bestFit="1" customWidth="1"/>
    <col min="24" max="24" width="10.7109375" style="8" bestFit="1" customWidth="1"/>
    <col min="25" max="25" width="13.7109375" style="8" bestFit="1" customWidth="1"/>
    <col min="26" max="26" width="12.85546875" style="8" customWidth="1"/>
    <col min="27" max="27" width="25.5703125" style="15" bestFit="1" customWidth="1"/>
    <col min="28" max="28" width="6" style="20" bestFit="1" customWidth="1"/>
    <col min="29" max="29" width="10" style="9" bestFit="1" customWidth="1"/>
    <col min="30" max="30" width="10.140625" style="9" bestFit="1" customWidth="1"/>
    <col min="31" max="31" width="8.7109375" style="9" bestFit="1" customWidth="1"/>
    <col min="32" max="32" width="12.85546875" style="9" customWidth="1"/>
    <col min="33" max="33" width="6" style="20" bestFit="1" customWidth="1"/>
    <col min="34" max="34" width="12" style="9" bestFit="1" customWidth="1"/>
    <col min="35" max="35" width="10.28515625" style="9" bestFit="1" customWidth="1"/>
    <col min="36" max="36" width="13.7109375" style="9" bestFit="1" customWidth="1"/>
    <col min="37" max="37" width="12.85546875" style="9" customWidth="1"/>
    <col min="38" max="38" width="22" style="16" bestFit="1" customWidth="1"/>
    <col min="39" max="39" width="6" style="21" bestFit="1" customWidth="1"/>
    <col min="40" max="40" width="10.85546875" style="10" bestFit="1" customWidth="1"/>
    <col min="41" max="41" width="17.7109375" style="10" bestFit="1" customWidth="1"/>
    <col min="42" max="42" width="13.7109375" style="10" bestFit="1" customWidth="1"/>
    <col min="43" max="43" width="19.140625" style="10" bestFit="1" customWidth="1"/>
    <col min="44" max="45" width="9.140625" style="16"/>
    <col min="46" max="46" width="6" style="12" bestFit="1" customWidth="1"/>
    <col min="47" max="47" width="9.140625" style="11"/>
    <col min="48" max="48" width="9.28515625" style="11" bestFit="1" customWidth="1"/>
    <col min="49" max="49" width="7.85546875" style="11" bestFit="1" customWidth="1"/>
    <col min="50" max="50" width="8.7109375" style="11" bestFit="1" customWidth="1"/>
    <col min="51" max="51" width="8.85546875" style="11" bestFit="1" customWidth="1"/>
    <col min="52" max="52" width="7.5703125" style="11" bestFit="1" customWidth="1"/>
    <col min="53" max="78" width="9.140625" style="16"/>
  </cols>
  <sheetData>
    <row r="1" spans="1:78" s="24" customFormat="1">
      <c r="B1" s="25"/>
      <c r="J1" s="25"/>
      <c r="Q1" s="25"/>
      <c r="V1" s="25"/>
      <c r="AB1" s="25"/>
      <c r="AG1" s="25"/>
      <c r="AM1" s="25"/>
      <c r="AN1" s="25">
        <v>38</v>
      </c>
      <c r="AO1" s="24">
        <v>39</v>
      </c>
      <c r="AT1" s="25"/>
    </row>
    <row r="2" spans="1:78" s="24" customFormat="1" ht="18">
      <c r="A2" s="26" t="s">
        <v>29</v>
      </c>
      <c r="B2" s="118" t="str">
        <f>CONCATENATE(ModelName, "#",SC_Import!D7)</f>
        <v>Delhi80#</v>
      </c>
      <c r="C2" s="118"/>
      <c r="D2" s="118"/>
      <c r="E2" s="118"/>
      <c r="F2" s="118"/>
      <c r="G2" s="118"/>
      <c r="J2" s="25"/>
      <c r="Q2" s="25"/>
      <c r="V2" s="25"/>
      <c r="AB2" s="25"/>
      <c r="AG2" s="25"/>
      <c r="AM2" s="25"/>
      <c r="AT2" s="118"/>
      <c r="AU2" s="118"/>
      <c r="AV2" s="118"/>
      <c r="AW2" s="118"/>
      <c r="AX2" s="118"/>
      <c r="AY2" s="118"/>
    </row>
    <row r="3" spans="1:78" s="24" customFormat="1">
      <c r="B3" s="25"/>
      <c r="J3" s="25"/>
      <c r="Q3" s="25"/>
      <c r="V3" s="25"/>
      <c r="AB3" s="25"/>
      <c r="AG3" s="25"/>
      <c r="AM3" s="25"/>
      <c r="AT3" s="25"/>
    </row>
    <row r="4" spans="1:78" ht="18">
      <c r="A4" s="13" t="s">
        <v>25</v>
      </c>
      <c r="C4" s="12" t="s">
        <v>108</v>
      </c>
      <c r="D4" s="12" t="s">
        <v>109</v>
      </c>
      <c r="E4" s="12" t="s">
        <v>110</v>
      </c>
      <c r="F4" s="12" t="s">
        <v>111</v>
      </c>
      <c r="G4" s="12" t="s">
        <v>112</v>
      </c>
      <c r="H4" s="12" t="s">
        <v>113</v>
      </c>
      <c r="P4" s="13" t="s">
        <v>26</v>
      </c>
      <c r="AA4" s="13" t="s">
        <v>27</v>
      </c>
      <c r="AL4" s="13" t="s">
        <v>32</v>
      </c>
      <c r="AU4" s="12" t="s">
        <v>0</v>
      </c>
      <c r="AV4" s="12" t="s">
        <v>1</v>
      </c>
      <c r="AW4" s="12" t="s">
        <v>68</v>
      </c>
      <c r="AX4" s="12" t="s">
        <v>69</v>
      </c>
      <c r="AY4" s="12" t="s">
        <v>70</v>
      </c>
      <c r="AZ4" s="12" t="s">
        <v>71</v>
      </c>
    </row>
    <row r="5" spans="1:78" s="23" customFormat="1">
      <c r="A5" s="18"/>
      <c r="B5" s="12"/>
      <c r="C5" s="12" t="str">
        <f>CONCATENATE(C4,Settings!$C$5)</f>
        <v>Front_HL1</v>
      </c>
      <c r="D5" s="12" t="str">
        <f>CONCATENATE(D4,Settings!$C$5)</f>
        <v>Front_HR1</v>
      </c>
      <c r="E5" s="12" t="str">
        <f>CONCATENATE(E4,Settings!$C$5)</f>
        <v>Front_L1</v>
      </c>
      <c r="F5" s="12" t="str">
        <f>CONCATENATE(F4,Settings!$C$5)</f>
        <v>Rear_HL1</v>
      </c>
      <c r="G5" s="12" t="str">
        <f>CONCATENATE(G4,Settings!$C$5)</f>
        <v>Rear_HR1</v>
      </c>
      <c r="H5" s="12" t="str">
        <f>CONCATENATE(H4,Settings!$C$5)</f>
        <v>Rear_L1</v>
      </c>
      <c r="I5" s="12"/>
      <c r="J5" s="12"/>
      <c r="K5" s="12" t="s">
        <v>20</v>
      </c>
      <c r="L5" s="12" t="s">
        <v>21</v>
      </c>
      <c r="M5" s="12" t="s">
        <v>228</v>
      </c>
      <c r="N5" s="12" t="s">
        <v>229</v>
      </c>
      <c r="O5" s="12"/>
      <c r="P5" s="18"/>
      <c r="Q5" s="19"/>
      <c r="R5" s="19" t="s">
        <v>2</v>
      </c>
      <c r="S5" s="19" t="s">
        <v>3</v>
      </c>
      <c r="T5" s="19" t="s">
        <v>4</v>
      </c>
      <c r="U5" s="19"/>
      <c r="V5" s="19"/>
      <c r="W5" s="19" t="s">
        <v>8</v>
      </c>
      <c r="X5" s="19" t="s">
        <v>22</v>
      </c>
      <c r="Y5" s="19" t="s">
        <v>10</v>
      </c>
      <c r="Z5" s="19"/>
      <c r="AA5" s="18"/>
      <c r="AB5" s="20"/>
      <c r="AC5" s="20" t="s">
        <v>5</v>
      </c>
      <c r="AD5" s="20" t="s">
        <v>6</v>
      </c>
      <c r="AE5" s="20" t="s">
        <v>7</v>
      </c>
      <c r="AF5" s="20"/>
      <c r="AG5" s="20"/>
      <c r="AH5" s="20" t="s">
        <v>9</v>
      </c>
      <c r="AI5" s="20" t="s">
        <v>23</v>
      </c>
      <c r="AJ5" s="20" t="s">
        <v>10</v>
      </c>
      <c r="AK5" s="20"/>
      <c r="AL5" s="18"/>
      <c r="AM5" s="21"/>
      <c r="AN5" s="21" t="s">
        <v>11</v>
      </c>
      <c r="AO5" s="21" t="s">
        <v>24</v>
      </c>
      <c r="AP5" s="21" t="s">
        <v>33</v>
      </c>
      <c r="AQ5" s="21" t="s">
        <v>34</v>
      </c>
      <c r="AR5" s="22"/>
      <c r="AS5" s="22"/>
      <c r="AT5" s="12"/>
      <c r="AU5" s="12" t="str">
        <f>CONCATENATE(AU4,Settings!$C$6)</f>
        <v>Front_HL</v>
      </c>
      <c r="AV5" s="12" t="str">
        <f>CONCATENATE(AV4,Settings!$C$6)</f>
        <v>Front_HR</v>
      </c>
      <c r="AW5" s="12" t="str">
        <f>CONCATENATE(AW4,Settings!$C$6)</f>
        <v>Front_L</v>
      </c>
      <c r="AX5" s="12" t="str">
        <f>CONCATENATE(AX4,Settings!$C$6)</f>
        <v>Rear_HL</v>
      </c>
      <c r="AY5" s="12" t="str">
        <f>CONCATENATE(AY4,Settings!$C$6)</f>
        <v>Rear_HR</v>
      </c>
      <c r="AZ5" s="12" t="str">
        <f>CONCATENATE(AZ4,Settings!$C$6)</f>
        <v>Rear_L</v>
      </c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</row>
    <row r="6" spans="1:78" ht="16.5">
      <c r="B6" s="12">
        <v>100</v>
      </c>
      <c r="C6" s="73"/>
      <c r="D6" s="74"/>
      <c r="E6" s="73"/>
      <c r="F6" s="74"/>
      <c r="G6" s="73"/>
      <c r="H6" s="73"/>
      <c r="J6" s="12">
        <v>100</v>
      </c>
      <c r="K6" s="102"/>
      <c r="L6"/>
      <c r="M6"/>
      <c r="N6"/>
      <c r="Q6" s="19">
        <v>100</v>
      </c>
      <c r="R6" s="8">
        <f t="shared" ref="R6:R37" si="0">+$K6+20-C6</f>
        <v>20</v>
      </c>
      <c r="S6" s="8">
        <f t="shared" ref="S6:S37" si="1">+$K6+20-D6</f>
        <v>20</v>
      </c>
      <c r="T6" s="8">
        <f t="shared" ref="T6:T37" si="2">+$K6+20-E6</f>
        <v>20</v>
      </c>
      <c r="V6" s="19">
        <v>100</v>
      </c>
      <c r="W6" s="8">
        <f t="shared" ref="W6:W69" si="3">+AVERAGE(R6:T6)</f>
        <v>20</v>
      </c>
      <c r="X6" s="8">
        <f>+K6+20</f>
        <v>20</v>
      </c>
      <c r="Y6" s="8">
        <f t="shared" ref="Y6:Y37" si="4">+X6-$AN6</f>
        <v>30</v>
      </c>
      <c r="AB6" s="20">
        <v>100</v>
      </c>
      <c r="AC6" s="9">
        <f t="shared" ref="AC6:AC37" si="5">+$L6+20-F6</f>
        <v>20</v>
      </c>
      <c r="AD6" s="9">
        <f t="shared" ref="AD6:AD37" si="6">+$L6+20-G6</f>
        <v>20</v>
      </c>
      <c r="AE6" s="9">
        <f t="shared" ref="AE6:AE37" si="7">+$L6+20-H6</f>
        <v>20</v>
      </c>
      <c r="AG6" s="20">
        <v>100</v>
      </c>
      <c r="AH6" s="9">
        <f t="shared" ref="AH6:AH69" si="8">+AVERAGE(AC6:AE6)</f>
        <v>20</v>
      </c>
      <c r="AI6" s="9">
        <f>+L6+20</f>
        <v>20</v>
      </c>
      <c r="AJ6" s="9">
        <f t="shared" ref="AJ6:AJ69" si="9">+AI6-$AN6</f>
        <v>30</v>
      </c>
      <c r="AM6" s="21">
        <v>100</v>
      </c>
      <c r="AN6" s="10">
        <v>-10</v>
      </c>
      <c r="AP6" s="10">
        <f t="shared" ref="AP6:AP37" si="10">+AVERAGE(AI6,X6)</f>
        <v>20</v>
      </c>
      <c r="AQ6" s="10">
        <f t="shared" ref="AQ6:AQ37" si="11">+AP6-AN6</f>
        <v>30</v>
      </c>
      <c r="AT6" s="12">
        <v>100</v>
      </c>
      <c r="AU6" s="83"/>
      <c r="AV6" s="82"/>
      <c r="AW6" s="69"/>
      <c r="AX6" s="69"/>
      <c r="AY6" s="69"/>
      <c r="AZ6" s="69"/>
    </row>
    <row r="7" spans="1:78" ht="16.5">
      <c r="B7" s="12">
        <v>106</v>
      </c>
      <c r="C7" s="73"/>
      <c r="D7" s="74"/>
      <c r="E7" s="73"/>
      <c r="F7" s="74"/>
      <c r="G7" s="73"/>
      <c r="H7" s="73"/>
      <c r="J7" s="12">
        <v>106</v>
      </c>
      <c r="K7" s="102"/>
      <c r="L7"/>
      <c r="M7"/>
      <c r="N7"/>
      <c r="Q7" s="19">
        <v>106</v>
      </c>
      <c r="R7" s="8">
        <f t="shared" si="0"/>
        <v>20</v>
      </c>
      <c r="S7" s="8">
        <f t="shared" si="1"/>
        <v>20</v>
      </c>
      <c r="T7" s="8">
        <f t="shared" si="2"/>
        <v>20</v>
      </c>
      <c r="V7" s="19">
        <v>106</v>
      </c>
      <c r="W7" s="8">
        <f t="shared" si="3"/>
        <v>20</v>
      </c>
      <c r="X7" s="8">
        <f t="shared" ref="X7:X70" si="12">+K7+20</f>
        <v>20</v>
      </c>
      <c r="Y7" s="8">
        <f t="shared" si="4"/>
        <v>30</v>
      </c>
      <c r="AB7" s="20">
        <v>106</v>
      </c>
      <c r="AC7" s="9">
        <f t="shared" si="5"/>
        <v>20</v>
      </c>
      <c r="AD7" s="9">
        <f t="shared" si="6"/>
        <v>20</v>
      </c>
      <c r="AE7" s="9">
        <f t="shared" si="7"/>
        <v>20</v>
      </c>
      <c r="AG7" s="20">
        <v>106</v>
      </c>
      <c r="AH7" s="9">
        <f t="shared" si="8"/>
        <v>20</v>
      </c>
      <c r="AI7" s="9">
        <f t="shared" ref="AI7:AI70" si="13">+L7+20</f>
        <v>20</v>
      </c>
      <c r="AJ7" s="9">
        <f t="shared" si="9"/>
        <v>30</v>
      </c>
      <c r="AM7" s="21">
        <v>106</v>
      </c>
      <c r="AN7" s="10">
        <v>-10</v>
      </c>
      <c r="AO7" s="10">
        <v>10</v>
      </c>
      <c r="AP7" s="10">
        <f t="shared" si="10"/>
        <v>20</v>
      </c>
      <c r="AQ7" s="10">
        <f t="shared" si="11"/>
        <v>30</v>
      </c>
      <c r="AT7" s="12">
        <v>106</v>
      </c>
      <c r="AU7" s="83"/>
      <c r="AV7" s="82"/>
      <c r="AW7" s="69"/>
      <c r="AX7" s="69"/>
      <c r="AY7" s="69"/>
      <c r="AZ7" s="69"/>
    </row>
    <row r="8" spans="1:78" ht="16.5">
      <c r="B8" s="12">
        <v>112</v>
      </c>
      <c r="C8" s="73"/>
      <c r="D8" s="74"/>
      <c r="E8" s="73"/>
      <c r="F8" s="74"/>
      <c r="G8" s="73"/>
      <c r="H8" s="73"/>
      <c r="J8" s="12">
        <v>112</v>
      </c>
      <c r="K8" s="102"/>
      <c r="L8"/>
      <c r="M8"/>
      <c r="N8"/>
      <c r="Q8" s="19">
        <v>112</v>
      </c>
      <c r="R8" s="8">
        <f t="shared" si="0"/>
        <v>20</v>
      </c>
      <c r="S8" s="8">
        <f t="shared" si="1"/>
        <v>20</v>
      </c>
      <c r="T8" s="8">
        <f t="shared" si="2"/>
        <v>20</v>
      </c>
      <c r="V8" s="19">
        <v>112</v>
      </c>
      <c r="W8" s="8">
        <f t="shared" si="3"/>
        <v>20</v>
      </c>
      <c r="X8" s="8">
        <f t="shared" si="12"/>
        <v>20</v>
      </c>
      <c r="Y8" s="8">
        <f t="shared" si="4"/>
        <v>30</v>
      </c>
      <c r="AB8" s="20">
        <v>112</v>
      </c>
      <c r="AC8" s="9">
        <f t="shared" si="5"/>
        <v>20</v>
      </c>
      <c r="AD8" s="9">
        <f t="shared" si="6"/>
        <v>20</v>
      </c>
      <c r="AE8" s="9">
        <f t="shared" si="7"/>
        <v>20</v>
      </c>
      <c r="AG8" s="20">
        <v>112</v>
      </c>
      <c r="AH8" s="9">
        <f t="shared" si="8"/>
        <v>20</v>
      </c>
      <c r="AI8" s="9">
        <f t="shared" si="13"/>
        <v>20</v>
      </c>
      <c r="AJ8" s="9">
        <f t="shared" si="9"/>
        <v>30</v>
      </c>
      <c r="AM8" s="21">
        <v>112</v>
      </c>
      <c r="AN8" s="10">
        <v>-10</v>
      </c>
      <c r="AP8" s="10">
        <f t="shared" si="10"/>
        <v>20</v>
      </c>
      <c r="AQ8" s="10">
        <f t="shared" si="11"/>
        <v>30</v>
      </c>
      <c r="AT8" s="12">
        <v>112</v>
      </c>
      <c r="AU8" s="83"/>
      <c r="AV8" s="82"/>
      <c r="AW8" s="69"/>
      <c r="AX8" s="69"/>
      <c r="AY8" s="69"/>
      <c r="AZ8" s="69"/>
    </row>
    <row r="9" spans="1:78" ht="16.5">
      <c r="B9" s="12">
        <v>118</v>
      </c>
      <c r="C9" s="73"/>
      <c r="D9" s="74"/>
      <c r="E9" s="73"/>
      <c r="F9" s="74"/>
      <c r="G9" s="73"/>
      <c r="H9" s="73"/>
      <c r="J9" s="12">
        <v>118</v>
      </c>
      <c r="K9" s="102"/>
      <c r="L9"/>
      <c r="M9"/>
      <c r="N9"/>
      <c r="Q9" s="19">
        <v>118</v>
      </c>
      <c r="R9" s="8">
        <f t="shared" si="0"/>
        <v>20</v>
      </c>
      <c r="S9" s="8">
        <f t="shared" si="1"/>
        <v>20</v>
      </c>
      <c r="T9" s="8">
        <f t="shared" si="2"/>
        <v>20</v>
      </c>
      <c r="V9" s="19">
        <v>118</v>
      </c>
      <c r="W9" s="8">
        <f t="shared" si="3"/>
        <v>20</v>
      </c>
      <c r="X9" s="8">
        <f t="shared" si="12"/>
        <v>20</v>
      </c>
      <c r="Y9" s="8">
        <f t="shared" si="4"/>
        <v>30</v>
      </c>
      <c r="AB9" s="20">
        <v>118</v>
      </c>
      <c r="AC9" s="9">
        <f t="shared" si="5"/>
        <v>20</v>
      </c>
      <c r="AD9" s="9">
        <f t="shared" si="6"/>
        <v>20</v>
      </c>
      <c r="AE9" s="9">
        <f t="shared" si="7"/>
        <v>20</v>
      </c>
      <c r="AG9" s="20">
        <v>118</v>
      </c>
      <c r="AH9" s="9">
        <f t="shared" si="8"/>
        <v>20</v>
      </c>
      <c r="AI9" s="9">
        <f t="shared" si="13"/>
        <v>20</v>
      </c>
      <c r="AJ9" s="9">
        <f t="shared" si="9"/>
        <v>30</v>
      </c>
      <c r="AM9" s="21">
        <v>118</v>
      </c>
      <c r="AN9" s="10">
        <v>-10</v>
      </c>
      <c r="AP9" s="10">
        <f t="shared" si="10"/>
        <v>20</v>
      </c>
      <c r="AQ9" s="10">
        <f t="shared" si="11"/>
        <v>30</v>
      </c>
      <c r="AT9" s="12">
        <v>118</v>
      </c>
      <c r="AU9" s="83"/>
      <c r="AV9" s="82"/>
      <c r="AW9" s="69"/>
      <c r="AX9" s="69"/>
      <c r="AY9" s="69"/>
      <c r="AZ9" s="69"/>
    </row>
    <row r="10" spans="1:78" ht="16.5">
      <c r="B10" s="12">
        <v>125</v>
      </c>
      <c r="C10" s="73"/>
      <c r="D10" s="74"/>
      <c r="E10" s="73"/>
      <c r="F10" s="74"/>
      <c r="G10" s="73"/>
      <c r="H10" s="73"/>
      <c r="J10" s="12">
        <v>125</v>
      </c>
      <c r="K10" s="102"/>
      <c r="L10"/>
      <c r="M10"/>
      <c r="N10"/>
      <c r="Q10" s="19">
        <v>125</v>
      </c>
      <c r="R10" s="8">
        <f t="shared" si="0"/>
        <v>20</v>
      </c>
      <c r="S10" s="8">
        <f t="shared" si="1"/>
        <v>20</v>
      </c>
      <c r="T10" s="8">
        <f t="shared" si="2"/>
        <v>20</v>
      </c>
      <c r="V10" s="19">
        <v>125</v>
      </c>
      <c r="W10" s="8">
        <f t="shared" si="3"/>
        <v>20</v>
      </c>
      <c r="X10" s="8">
        <f t="shared" si="12"/>
        <v>20</v>
      </c>
      <c r="Y10" s="8">
        <f t="shared" si="4"/>
        <v>30</v>
      </c>
      <c r="AB10" s="20">
        <v>125</v>
      </c>
      <c r="AC10" s="9">
        <f t="shared" si="5"/>
        <v>20</v>
      </c>
      <c r="AD10" s="9">
        <f t="shared" si="6"/>
        <v>20</v>
      </c>
      <c r="AE10" s="9">
        <f t="shared" si="7"/>
        <v>20</v>
      </c>
      <c r="AG10" s="20">
        <v>125</v>
      </c>
      <c r="AH10" s="9">
        <f t="shared" si="8"/>
        <v>20</v>
      </c>
      <c r="AI10" s="9">
        <f t="shared" si="13"/>
        <v>20</v>
      </c>
      <c r="AJ10" s="9">
        <f t="shared" si="9"/>
        <v>30</v>
      </c>
      <c r="AM10" s="21">
        <v>125</v>
      </c>
      <c r="AN10" s="10">
        <v>-10</v>
      </c>
      <c r="AO10" s="10">
        <v>10</v>
      </c>
      <c r="AP10" s="10">
        <f t="shared" si="10"/>
        <v>20</v>
      </c>
      <c r="AQ10" s="10">
        <f t="shared" si="11"/>
        <v>30</v>
      </c>
      <c r="AT10" s="12">
        <v>125</v>
      </c>
      <c r="AU10" s="83"/>
      <c r="AV10" s="82"/>
      <c r="AW10" s="69"/>
      <c r="AX10" s="69"/>
      <c r="AY10" s="69"/>
      <c r="AZ10" s="69"/>
    </row>
    <row r="11" spans="1:78" ht="16.5">
      <c r="B11" s="12">
        <v>132</v>
      </c>
      <c r="C11" s="73"/>
      <c r="D11" s="74"/>
      <c r="E11" s="73"/>
      <c r="F11" s="74"/>
      <c r="G11" s="73"/>
      <c r="H11" s="73"/>
      <c r="J11" s="12">
        <v>132</v>
      </c>
      <c r="K11" s="102"/>
      <c r="L11"/>
      <c r="M11"/>
      <c r="N11"/>
      <c r="Q11" s="19">
        <v>132</v>
      </c>
      <c r="R11" s="8">
        <f t="shared" si="0"/>
        <v>20</v>
      </c>
      <c r="S11" s="8">
        <f t="shared" si="1"/>
        <v>20</v>
      </c>
      <c r="T11" s="8">
        <f t="shared" si="2"/>
        <v>20</v>
      </c>
      <c r="V11" s="19">
        <v>132</v>
      </c>
      <c r="W11" s="8">
        <f t="shared" si="3"/>
        <v>20</v>
      </c>
      <c r="X11" s="8">
        <f t="shared" si="12"/>
        <v>20</v>
      </c>
      <c r="Y11" s="8">
        <f t="shared" si="4"/>
        <v>30</v>
      </c>
      <c r="AB11" s="20">
        <v>132</v>
      </c>
      <c r="AC11" s="9">
        <f t="shared" si="5"/>
        <v>20</v>
      </c>
      <c r="AD11" s="9">
        <f t="shared" si="6"/>
        <v>20</v>
      </c>
      <c r="AE11" s="9">
        <f t="shared" si="7"/>
        <v>20</v>
      </c>
      <c r="AG11" s="20">
        <v>132</v>
      </c>
      <c r="AH11" s="9">
        <f t="shared" si="8"/>
        <v>20</v>
      </c>
      <c r="AI11" s="9">
        <f t="shared" si="13"/>
        <v>20</v>
      </c>
      <c r="AJ11" s="9">
        <f t="shared" si="9"/>
        <v>30</v>
      </c>
      <c r="AM11" s="21">
        <v>132</v>
      </c>
      <c r="AN11" s="10">
        <v>-10</v>
      </c>
      <c r="AP11" s="10">
        <f t="shared" si="10"/>
        <v>20</v>
      </c>
      <c r="AQ11" s="10">
        <f t="shared" si="11"/>
        <v>30</v>
      </c>
      <c r="AT11" s="12">
        <v>132</v>
      </c>
      <c r="AU11" s="83"/>
      <c r="AV11" s="82"/>
      <c r="AW11" s="69"/>
      <c r="AX11" s="69"/>
      <c r="AY11" s="69"/>
      <c r="AZ11" s="69"/>
    </row>
    <row r="12" spans="1:78" ht="16.5">
      <c r="B12" s="12">
        <v>140</v>
      </c>
      <c r="C12" s="73"/>
      <c r="D12" s="74"/>
      <c r="E12" s="73"/>
      <c r="F12" s="74"/>
      <c r="G12" s="73"/>
      <c r="H12" s="73"/>
      <c r="J12" s="12">
        <v>140</v>
      </c>
      <c r="K12" s="102"/>
      <c r="L12"/>
      <c r="M12"/>
      <c r="N12"/>
      <c r="Q12" s="19">
        <v>140</v>
      </c>
      <c r="R12" s="8">
        <f t="shared" si="0"/>
        <v>20</v>
      </c>
      <c r="S12" s="8">
        <f t="shared" si="1"/>
        <v>20</v>
      </c>
      <c r="T12" s="8">
        <f t="shared" si="2"/>
        <v>20</v>
      </c>
      <c r="V12" s="19">
        <v>140</v>
      </c>
      <c r="W12" s="8">
        <f t="shared" si="3"/>
        <v>20</v>
      </c>
      <c r="X12" s="8">
        <f t="shared" si="12"/>
        <v>20</v>
      </c>
      <c r="Y12" s="8">
        <f t="shared" si="4"/>
        <v>30</v>
      </c>
      <c r="AB12" s="20">
        <v>140</v>
      </c>
      <c r="AC12" s="9">
        <f t="shared" si="5"/>
        <v>20</v>
      </c>
      <c r="AD12" s="9">
        <f t="shared" si="6"/>
        <v>20</v>
      </c>
      <c r="AE12" s="9">
        <f t="shared" si="7"/>
        <v>20</v>
      </c>
      <c r="AG12" s="20">
        <v>140</v>
      </c>
      <c r="AH12" s="9">
        <f t="shared" si="8"/>
        <v>20</v>
      </c>
      <c r="AI12" s="9">
        <f t="shared" si="13"/>
        <v>20</v>
      </c>
      <c r="AJ12" s="9">
        <f t="shared" si="9"/>
        <v>30</v>
      </c>
      <c r="AM12" s="21">
        <v>140</v>
      </c>
      <c r="AN12" s="10">
        <v>-10</v>
      </c>
      <c r="AP12" s="10">
        <f t="shared" si="10"/>
        <v>20</v>
      </c>
      <c r="AQ12" s="10">
        <f t="shared" si="11"/>
        <v>30</v>
      </c>
      <c r="AT12" s="12">
        <v>140</v>
      </c>
      <c r="AU12" s="83"/>
      <c r="AV12" s="82"/>
      <c r="AW12" s="69"/>
      <c r="AX12" s="69"/>
      <c r="AY12" s="69"/>
      <c r="AZ12" s="69"/>
    </row>
    <row r="13" spans="1:78" ht="16.5">
      <c r="B13" s="12">
        <v>150</v>
      </c>
      <c r="C13" s="73"/>
      <c r="D13" s="74"/>
      <c r="E13" s="73"/>
      <c r="F13" s="74"/>
      <c r="G13" s="73"/>
      <c r="H13" s="73"/>
      <c r="J13" s="12">
        <v>150</v>
      </c>
      <c r="K13" s="102"/>
      <c r="L13"/>
      <c r="M13"/>
      <c r="N13"/>
      <c r="Q13" s="19">
        <v>150</v>
      </c>
      <c r="R13" s="8">
        <f t="shared" si="0"/>
        <v>20</v>
      </c>
      <c r="S13" s="8">
        <f t="shared" si="1"/>
        <v>20</v>
      </c>
      <c r="T13" s="8">
        <f t="shared" si="2"/>
        <v>20</v>
      </c>
      <c r="V13" s="19">
        <v>150</v>
      </c>
      <c r="W13" s="8">
        <f t="shared" si="3"/>
        <v>20</v>
      </c>
      <c r="X13" s="8">
        <f t="shared" si="12"/>
        <v>20</v>
      </c>
      <c r="Y13" s="8">
        <f t="shared" si="4"/>
        <v>30</v>
      </c>
      <c r="AB13" s="20">
        <v>150</v>
      </c>
      <c r="AC13" s="9">
        <f t="shared" si="5"/>
        <v>20</v>
      </c>
      <c r="AD13" s="9">
        <f t="shared" si="6"/>
        <v>20</v>
      </c>
      <c r="AE13" s="9">
        <f t="shared" si="7"/>
        <v>20</v>
      </c>
      <c r="AG13" s="20">
        <v>150</v>
      </c>
      <c r="AH13" s="9">
        <f t="shared" si="8"/>
        <v>20</v>
      </c>
      <c r="AI13" s="9">
        <f t="shared" si="13"/>
        <v>20</v>
      </c>
      <c r="AJ13" s="9">
        <f t="shared" si="9"/>
        <v>30</v>
      </c>
      <c r="AM13" s="21">
        <v>150</v>
      </c>
      <c r="AN13" s="10">
        <v>-10</v>
      </c>
      <c r="AO13" s="10">
        <v>10</v>
      </c>
      <c r="AP13" s="10">
        <f t="shared" si="10"/>
        <v>20</v>
      </c>
      <c r="AQ13" s="10">
        <f t="shared" si="11"/>
        <v>30</v>
      </c>
      <c r="AT13" s="12">
        <v>150</v>
      </c>
      <c r="AU13" s="83"/>
      <c r="AV13" s="82"/>
      <c r="AW13" s="69"/>
      <c r="AX13" s="69"/>
      <c r="AY13" s="69"/>
      <c r="AZ13" s="69"/>
    </row>
    <row r="14" spans="1:78" ht="16.5">
      <c r="B14" s="12">
        <v>160</v>
      </c>
      <c r="C14" s="73"/>
      <c r="D14" s="74"/>
      <c r="E14" s="73"/>
      <c r="F14" s="74"/>
      <c r="G14" s="73"/>
      <c r="H14" s="73"/>
      <c r="J14" s="12">
        <v>160</v>
      </c>
      <c r="K14" s="102"/>
      <c r="L14"/>
      <c r="M14"/>
      <c r="N14"/>
      <c r="Q14" s="19">
        <v>160</v>
      </c>
      <c r="R14" s="8">
        <f t="shared" si="0"/>
        <v>20</v>
      </c>
      <c r="S14" s="8">
        <f t="shared" si="1"/>
        <v>20</v>
      </c>
      <c r="T14" s="8">
        <f t="shared" si="2"/>
        <v>20</v>
      </c>
      <c r="V14" s="19">
        <v>160</v>
      </c>
      <c r="W14" s="8">
        <f t="shared" si="3"/>
        <v>20</v>
      </c>
      <c r="X14" s="8">
        <f t="shared" si="12"/>
        <v>20</v>
      </c>
      <c r="Y14" s="8">
        <f t="shared" si="4"/>
        <v>30</v>
      </c>
      <c r="AB14" s="20">
        <v>160</v>
      </c>
      <c r="AC14" s="9">
        <f t="shared" si="5"/>
        <v>20</v>
      </c>
      <c r="AD14" s="9">
        <f t="shared" si="6"/>
        <v>20</v>
      </c>
      <c r="AE14" s="9">
        <f t="shared" si="7"/>
        <v>20</v>
      </c>
      <c r="AG14" s="20">
        <v>160</v>
      </c>
      <c r="AH14" s="9">
        <f t="shared" si="8"/>
        <v>20</v>
      </c>
      <c r="AI14" s="9">
        <f t="shared" si="13"/>
        <v>20</v>
      </c>
      <c r="AJ14" s="9">
        <f t="shared" si="9"/>
        <v>30</v>
      </c>
      <c r="AM14" s="21">
        <v>160</v>
      </c>
      <c r="AN14" s="10">
        <v>-10</v>
      </c>
      <c r="AP14" s="10">
        <f t="shared" si="10"/>
        <v>20</v>
      </c>
      <c r="AQ14" s="10">
        <f t="shared" si="11"/>
        <v>30</v>
      </c>
      <c r="AT14" s="12">
        <v>160</v>
      </c>
      <c r="AU14" s="83"/>
      <c r="AV14" s="82"/>
      <c r="AW14" s="69"/>
      <c r="AX14" s="69"/>
      <c r="AY14" s="69"/>
      <c r="AZ14" s="69"/>
    </row>
    <row r="15" spans="1:78" ht="16.5">
      <c r="B15" s="12">
        <v>170</v>
      </c>
      <c r="C15" s="73"/>
      <c r="D15" s="74"/>
      <c r="E15" s="73"/>
      <c r="F15" s="74"/>
      <c r="G15" s="73"/>
      <c r="H15" s="73"/>
      <c r="J15" s="12">
        <v>170</v>
      </c>
      <c r="K15" s="102"/>
      <c r="L15"/>
      <c r="M15"/>
      <c r="N15"/>
      <c r="Q15" s="19">
        <v>170</v>
      </c>
      <c r="R15" s="8">
        <f t="shared" si="0"/>
        <v>20</v>
      </c>
      <c r="S15" s="8">
        <f t="shared" si="1"/>
        <v>20</v>
      </c>
      <c r="T15" s="8">
        <f t="shared" si="2"/>
        <v>20</v>
      </c>
      <c r="V15" s="19">
        <v>170</v>
      </c>
      <c r="W15" s="8">
        <f t="shared" si="3"/>
        <v>20</v>
      </c>
      <c r="X15" s="8">
        <f t="shared" si="12"/>
        <v>20</v>
      </c>
      <c r="Y15" s="8">
        <f t="shared" si="4"/>
        <v>30</v>
      </c>
      <c r="AB15" s="20">
        <v>170</v>
      </c>
      <c r="AC15" s="9">
        <f t="shared" si="5"/>
        <v>20</v>
      </c>
      <c r="AD15" s="9">
        <f t="shared" si="6"/>
        <v>20</v>
      </c>
      <c r="AE15" s="9">
        <f t="shared" si="7"/>
        <v>20</v>
      </c>
      <c r="AG15" s="20">
        <v>170</v>
      </c>
      <c r="AH15" s="9">
        <f t="shared" si="8"/>
        <v>20</v>
      </c>
      <c r="AI15" s="9">
        <f t="shared" si="13"/>
        <v>20</v>
      </c>
      <c r="AJ15" s="9">
        <f t="shared" si="9"/>
        <v>30</v>
      </c>
      <c r="AM15" s="21">
        <v>170</v>
      </c>
      <c r="AN15" s="10">
        <v>-10</v>
      </c>
      <c r="AP15" s="10">
        <f t="shared" si="10"/>
        <v>20</v>
      </c>
      <c r="AQ15" s="10">
        <f t="shared" si="11"/>
        <v>30</v>
      </c>
      <c r="AT15" s="12">
        <v>170</v>
      </c>
      <c r="AU15" s="83"/>
      <c r="AV15" s="82"/>
      <c r="AW15" s="69"/>
      <c r="AX15" s="69"/>
      <c r="AY15" s="69"/>
      <c r="AZ15" s="69"/>
    </row>
    <row r="16" spans="1:78" ht="16.5">
      <c r="B16" s="12">
        <v>180</v>
      </c>
      <c r="C16" s="73"/>
      <c r="D16" s="74"/>
      <c r="E16" s="73"/>
      <c r="F16" s="74"/>
      <c r="G16" s="73"/>
      <c r="H16" s="73"/>
      <c r="J16" s="12">
        <v>180</v>
      </c>
      <c r="K16" s="102"/>
      <c r="L16"/>
      <c r="M16"/>
      <c r="N16"/>
      <c r="Q16" s="19">
        <v>180</v>
      </c>
      <c r="R16" s="8">
        <f t="shared" si="0"/>
        <v>20</v>
      </c>
      <c r="S16" s="8">
        <f t="shared" si="1"/>
        <v>20</v>
      </c>
      <c r="T16" s="8">
        <f t="shared" si="2"/>
        <v>20</v>
      </c>
      <c r="V16" s="19">
        <v>180</v>
      </c>
      <c r="W16" s="8">
        <f t="shared" si="3"/>
        <v>20</v>
      </c>
      <c r="X16" s="8">
        <f t="shared" si="12"/>
        <v>20</v>
      </c>
      <c r="Y16" s="8">
        <f t="shared" si="4"/>
        <v>30</v>
      </c>
      <c r="AB16" s="20">
        <v>180</v>
      </c>
      <c r="AC16" s="9">
        <f t="shared" si="5"/>
        <v>20</v>
      </c>
      <c r="AD16" s="9">
        <f t="shared" si="6"/>
        <v>20</v>
      </c>
      <c r="AE16" s="9">
        <f t="shared" si="7"/>
        <v>20</v>
      </c>
      <c r="AG16" s="20">
        <v>180</v>
      </c>
      <c r="AH16" s="9">
        <f t="shared" si="8"/>
        <v>20</v>
      </c>
      <c r="AI16" s="9">
        <f t="shared" si="13"/>
        <v>20</v>
      </c>
      <c r="AJ16" s="9">
        <f t="shared" si="9"/>
        <v>30</v>
      </c>
      <c r="AM16" s="21">
        <v>180</v>
      </c>
      <c r="AN16" s="10">
        <v>-10</v>
      </c>
      <c r="AO16" s="10">
        <v>10</v>
      </c>
      <c r="AP16" s="10">
        <f t="shared" si="10"/>
        <v>20</v>
      </c>
      <c r="AQ16" s="10">
        <f t="shared" si="11"/>
        <v>30</v>
      </c>
      <c r="AT16" s="12">
        <v>180</v>
      </c>
      <c r="AU16" s="83"/>
      <c r="AV16" s="82"/>
      <c r="AW16" s="69"/>
      <c r="AX16" s="69"/>
      <c r="AY16" s="69"/>
      <c r="AZ16" s="69"/>
    </row>
    <row r="17" spans="2:52" ht="16.5">
      <c r="B17" s="12">
        <v>190</v>
      </c>
      <c r="C17" s="73"/>
      <c r="D17" s="74"/>
      <c r="E17" s="73"/>
      <c r="F17" s="74"/>
      <c r="G17" s="73"/>
      <c r="H17" s="73"/>
      <c r="J17" s="12">
        <v>190</v>
      </c>
      <c r="K17" s="102"/>
      <c r="L17"/>
      <c r="M17"/>
      <c r="N17"/>
      <c r="Q17" s="19">
        <v>190</v>
      </c>
      <c r="R17" s="8">
        <f t="shared" si="0"/>
        <v>20</v>
      </c>
      <c r="S17" s="8">
        <f t="shared" si="1"/>
        <v>20</v>
      </c>
      <c r="T17" s="8">
        <f t="shared" si="2"/>
        <v>20</v>
      </c>
      <c r="V17" s="19">
        <v>190</v>
      </c>
      <c r="W17" s="8">
        <f t="shared" si="3"/>
        <v>20</v>
      </c>
      <c r="X17" s="8">
        <f t="shared" si="12"/>
        <v>20</v>
      </c>
      <c r="Y17" s="8">
        <f t="shared" si="4"/>
        <v>30</v>
      </c>
      <c r="AB17" s="20">
        <v>190</v>
      </c>
      <c r="AC17" s="9">
        <f t="shared" si="5"/>
        <v>20</v>
      </c>
      <c r="AD17" s="9">
        <f t="shared" si="6"/>
        <v>20</v>
      </c>
      <c r="AE17" s="9">
        <f t="shared" si="7"/>
        <v>20</v>
      </c>
      <c r="AG17" s="20">
        <v>190</v>
      </c>
      <c r="AH17" s="9">
        <f t="shared" si="8"/>
        <v>20</v>
      </c>
      <c r="AI17" s="9">
        <f t="shared" si="13"/>
        <v>20</v>
      </c>
      <c r="AJ17" s="9">
        <f t="shared" si="9"/>
        <v>30</v>
      </c>
      <c r="AM17" s="21">
        <v>190</v>
      </c>
      <c r="AN17" s="10">
        <v>-10</v>
      </c>
      <c r="AP17" s="10">
        <f t="shared" si="10"/>
        <v>20</v>
      </c>
      <c r="AQ17" s="10">
        <f t="shared" si="11"/>
        <v>30</v>
      </c>
      <c r="AT17" s="12">
        <v>190</v>
      </c>
      <c r="AU17" s="83"/>
      <c r="AV17" s="82"/>
      <c r="AW17" s="69"/>
      <c r="AX17" s="69"/>
      <c r="AY17" s="69"/>
      <c r="AZ17" s="69"/>
    </row>
    <row r="18" spans="2:52" ht="16.5">
      <c r="B18" s="12">
        <v>200</v>
      </c>
      <c r="C18" s="73"/>
      <c r="D18" s="74"/>
      <c r="E18" s="73"/>
      <c r="F18" s="74"/>
      <c r="G18" s="73"/>
      <c r="H18" s="73"/>
      <c r="J18" s="12">
        <v>200</v>
      </c>
      <c r="K18" s="102"/>
      <c r="L18"/>
      <c r="M18"/>
      <c r="N18"/>
      <c r="Q18" s="19">
        <v>200</v>
      </c>
      <c r="R18" s="8">
        <f t="shared" si="0"/>
        <v>20</v>
      </c>
      <c r="S18" s="8">
        <f t="shared" si="1"/>
        <v>20</v>
      </c>
      <c r="T18" s="8">
        <f t="shared" si="2"/>
        <v>20</v>
      </c>
      <c r="V18" s="19">
        <v>200</v>
      </c>
      <c r="W18" s="8">
        <f t="shared" si="3"/>
        <v>20</v>
      </c>
      <c r="X18" s="8">
        <f t="shared" si="12"/>
        <v>20</v>
      </c>
      <c r="Y18" s="8">
        <f t="shared" si="4"/>
        <v>30</v>
      </c>
      <c r="AB18" s="20">
        <v>200</v>
      </c>
      <c r="AC18" s="9">
        <f t="shared" si="5"/>
        <v>20</v>
      </c>
      <c r="AD18" s="9">
        <f t="shared" si="6"/>
        <v>20</v>
      </c>
      <c r="AE18" s="9">
        <f t="shared" si="7"/>
        <v>20</v>
      </c>
      <c r="AG18" s="20">
        <v>200</v>
      </c>
      <c r="AH18" s="9">
        <f t="shared" si="8"/>
        <v>20</v>
      </c>
      <c r="AI18" s="9">
        <f t="shared" si="13"/>
        <v>20</v>
      </c>
      <c r="AJ18" s="9">
        <f t="shared" si="9"/>
        <v>30</v>
      </c>
      <c r="AM18" s="21">
        <v>200</v>
      </c>
      <c r="AN18" s="10">
        <v>-10</v>
      </c>
      <c r="AP18" s="10">
        <f t="shared" si="10"/>
        <v>20</v>
      </c>
      <c r="AQ18" s="10">
        <f t="shared" si="11"/>
        <v>30</v>
      </c>
      <c r="AT18" s="12">
        <v>200</v>
      </c>
      <c r="AU18" s="83"/>
      <c r="AV18" s="82"/>
      <c r="AW18" s="69"/>
      <c r="AX18" s="69"/>
      <c r="AY18" s="69"/>
      <c r="AZ18" s="69"/>
    </row>
    <row r="19" spans="2:52" ht="16.5">
      <c r="B19" s="12">
        <v>212</v>
      </c>
      <c r="C19" s="73"/>
      <c r="D19" s="74"/>
      <c r="E19" s="73"/>
      <c r="F19" s="74"/>
      <c r="G19" s="73"/>
      <c r="H19" s="73"/>
      <c r="J19" s="12">
        <v>212</v>
      </c>
      <c r="K19" s="102"/>
      <c r="L19"/>
      <c r="M19"/>
      <c r="N19"/>
      <c r="Q19" s="19">
        <v>212</v>
      </c>
      <c r="R19" s="8">
        <f t="shared" si="0"/>
        <v>20</v>
      </c>
      <c r="S19" s="8">
        <f t="shared" si="1"/>
        <v>20</v>
      </c>
      <c r="T19" s="8">
        <f t="shared" si="2"/>
        <v>20</v>
      </c>
      <c r="V19" s="19">
        <v>212</v>
      </c>
      <c r="W19" s="8">
        <f t="shared" si="3"/>
        <v>20</v>
      </c>
      <c r="X19" s="8">
        <f t="shared" si="12"/>
        <v>20</v>
      </c>
      <c r="Y19" s="8">
        <f t="shared" si="4"/>
        <v>30</v>
      </c>
      <c r="AB19" s="20">
        <v>212</v>
      </c>
      <c r="AC19" s="9">
        <f t="shared" si="5"/>
        <v>20</v>
      </c>
      <c r="AD19" s="9">
        <f t="shared" si="6"/>
        <v>20</v>
      </c>
      <c r="AE19" s="9">
        <f t="shared" si="7"/>
        <v>20</v>
      </c>
      <c r="AG19" s="20">
        <v>212</v>
      </c>
      <c r="AH19" s="9">
        <f t="shared" si="8"/>
        <v>20</v>
      </c>
      <c r="AI19" s="9">
        <f t="shared" si="13"/>
        <v>20</v>
      </c>
      <c r="AJ19" s="9">
        <f t="shared" si="9"/>
        <v>30</v>
      </c>
      <c r="AM19" s="21">
        <v>212</v>
      </c>
      <c r="AN19" s="10">
        <v>-10</v>
      </c>
      <c r="AO19" s="10">
        <v>10</v>
      </c>
      <c r="AP19" s="10">
        <f t="shared" si="10"/>
        <v>20</v>
      </c>
      <c r="AQ19" s="10">
        <f t="shared" si="11"/>
        <v>30</v>
      </c>
      <c r="AT19" s="12">
        <v>212</v>
      </c>
      <c r="AU19" s="83"/>
      <c r="AV19" s="82"/>
      <c r="AW19" s="69"/>
      <c r="AX19" s="69"/>
      <c r="AY19" s="69"/>
      <c r="AZ19" s="69"/>
    </row>
    <row r="20" spans="2:52" ht="16.5">
      <c r="B20" s="12">
        <v>224</v>
      </c>
      <c r="C20" s="73"/>
      <c r="D20" s="74"/>
      <c r="E20" s="73"/>
      <c r="F20" s="74"/>
      <c r="G20" s="73"/>
      <c r="H20" s="73"/>
      <c r="J20" s="12">
        <v>224</v>
      </c>
      <c r="K20" s="102"/>
      <c r="L20"/>
      <c r="M20"/>
      <c r="N20"/>
      <c r="Q20" s="19">
        <v>224</v>
      </c>
      <c r="R20" s="8">
        <f t="shared" si="0"/>
        <v>20</v>
      </c>
      <c r="S20" s="8">
        <f t="shared" si="1"/>
        <v>20</v>
      </c>
      <c r="T20" s="8">
        <f t="shared" si="2"/>
        <v>20</v>
      </c>
      <c r="V20" s="19">
        <v>224</v>
      </c>
      <c r="W20" s="8">
        <f t="shared" si="3"/>
        <v>20</v>
      </c>
      <c r="X20" s="8">
        <f t="shared" si="12"/>
        <v>20</v>
      </c>
      <c r="Y20" s="8">
        <f t="shared" si="4"/>
        <v>30</v>
      </c>
      <c r="AB20" s="20">
        <v>224</v>
      </c>
      <c r="AC20" s="9">
        <f t="shared" si="5"/>
        <v>20</v>
      </c>
      <c r="AD20" s="9">
        <f t="shared" si="6"/>
        <v>20</v>
      </c>
      <c r="AE20" s="9">
        <f t="shared" si="7"/>
        <v>20</v>
      </c>
      <c r="AG20" s="20">
        <v>224</v>
      </c>
      <c r="AH20" s="9">
        <f t="shared" si="8"/>
        <v>20</v>
      </c>
      <c r="AI20" s="9">
        <f t="shared" si="13"/>
        <v>20</v>
      </c>
      <c r="AJ20" s="9">
        <f t="shared" si="9"/>
        <v>30</v>
      </c>
      <c r="AM20" s="21">
        <v>224</v>
      </c>
      <c r="AN20" s="10">
        <v>-10</v>
      </c>
      <c r="AP20" s="10">
        <f t="shared" si="10"/>
        <v>20</v>
      </c>
      <c r="AQ20" s="10">
        <f t="shared" si="11"/>
        <v>30</v>
      </c>
      <c r="AT20" s="12">
        <v>224</v>
      </c>
      <c r="AU20" s="83"/>
      <c r="AV20" s="82"/>
      <c r="AW20" s="69"/>
      <c r="AX20" s="69"/>
      <c r="AY20" s="69"/>
      <c r="AZ20" s="69"/>
    </row>
    <row r="21" spans="2:52" ht="16.5">
      <c r="B21" s="12">
        <v>236</v>
      </c>
      <c r="C21" s="73"/>
      <c r="D21" s="74"/>
      <c r="E21" s="73"/>
      <c r="F21" s="74"/>
      <c r="G21" s="73"/>
      <c r="H21" s="73"/>
      <c r="J21" s="12">
        <v>236</v>
      </c>
      <c r="K21" s="102"/>
      <c r="L21"/>
      <c r="M21"/>
      <c r="N21"/>
      <c r="Q21" s="19">
        <v>236</v>
      </c>
      <c r="R21" s="8">
        <f t="shared" si="0"/>
        <v>20</v>
      </c>
      <c r="S21" s="8">
        <f t="shared" si="1"/>
        <v>20</v>
      </c>
      <c r="T21" s="8">
        <f t="shared" si="2"/>
        <v>20</v>
      </c>
      <c r="V21" s="19">
        <v>236</v>
      </c>
      <c r="W21" s="8">
        <f t="shared" si="3"/>
        <v>20</v>
      </c>
      <c r="X21" s="8">
        <f t="shared" si="12"/>
        <v>20</v>
      </c>
      <c r="Y21" s="8">
        <f t="shared" si="4"/>
        <v>30</v>
      </c>
      <c r="AB21" s="20">
        <v>236</v>
      </c>
      <c r="AC21" s="9">
        <f t="shared" si="5"/>
        <v>20</v>
      </c>
      <c r="AD21" s="9">
        <f t="shared" si="6"/>
        <v>20</v>
      </c>
      <c r="AE21" s="9">
        <f t="shared" si="7"/>
        <v>20</v>
      </c>
      <c r="AG21" s="20">
        <v>236</v>
      </c>
      <c r="AH21" s="9">
        <f t="shared" si="8"/>
        <v>20</v>
      </c>
      <c r="AI21" s="9">
        <f t="shared" si="13"/>
        <v>20</v>
      </c>
      <c r="AJ21" s="9">
        <f t="shared" si="9"/>
        <v>30</v>
      </c>
      <c r="AM21" s="21">
        <v>236</v>
      </c>
      <c r="AN21" s="10">
        <v>-10</v>
      </c>
      <c r="AP21" s="10">
        <f t="shared" si="10"/>
        <v>20</v>
      </c>
      <c r="AQ21" s="10">
        <f t="shared" si="11"/>
        <v>30</v>
      </c>
      <c r="AT21" s="12">
        <v>236</v>
      </c>
      <c r="AU21" s="83"/>
      <c r="AV21" s="82"/>
      <c r="AW21" s="69"/>
      <c r="AX21" s="69"/>
      <c r="AY21" s="69"/>
      <c r="AZ21" s="69"/>
    </row>
    <row r="22" spans="2:52" ht="16.5">
      <c r="B22" s="12">
        <v>250</v>
      </c>
      <c r="C22" s="73"/>
      <c r="D22" s="74"/>
      <c r="E22" s="73"/>
      <c r="F22" s="74"/>
      <c r="G22" s="73"/>
      <c r="H22" s="73"/>
      <c r="J22" s="12">
        <v>250</v>
      </c>
      <c r="K22" s="102"/>
      <c r="L22"/>
      <c r="M22"/>
      <c r="N22"/>
      <c r="Q22" s="19">
        <v>250</v>
      </c>
      <c r="R22" s="8">
        <f t="shared" si="0"/>
        <v>20</v>
      </c>
      <c r="S22" s="8">
        <f t="shared" si="1"/>
        <v>20</v>
      </c>
      <c r="T22" s="8">
        <f t="shared" si="2"/>
        <v>20</v>
      </c>
      <c r="V22" s="19">
        <v>250</v>
      </c>
      <c r="W22" s="8">
        <f t="shared" si="3"/>
        <v>20</v>
      </c>
      <c r="X22" s="8">
        <f t="shared" si="12"/>
        <v>20</v>
      </c>
      <c r="Y22" s="8">
        <f t="shared" si="4"/>
        <v>30</v>
      </c>
      <c r="AB22" s="20">
        <v>250</v>
      </c>
      <c r="AC22" s="9">
        <f t="shared" si="5"/>
        <v>20</v>
      </c>
      <c r="AD22" s="9">
        <f t="shared" si="6"/>
        <v>20</v>
      </c>
      <c r="AE22" s="9">
        <f t="shared" si="7"/>
        <v>20</v>
      </c>
      <c r="AG22" s="20">
        <v>250</v>
      </c>
      <c r="AH22" s="9">
        <f t="shared" si="8"/>
        <v>20</v>
      </c>
      <c r="AI22" s="9">
        <f t="shared" si="13"/>
        <v>20</v>
      </c>
      <c r="AJ22" s="9">
        <f t="shared" si="9"/>
        <v>30</v>
      </c>
      <c r="AM22" s="21">
        <v>250</v>
      </c>
      <c r="AN22" s="10">
        <v>-10</v>
      </c>
      <c r="AO22" s="10">
        <v>10</v>
      </c>
      <c r="AP22" s="10">
        <f t="shared" si="10"/>
        <v>20</v>
      </c>
      <c r="AQ22" s="10">
        <f t="shared" si="11"/>
        <v>30</v>
      </c>
      <c r="AT22" s="12">
        <v>250</v>
      </c>
      <c r="AU22" s="83"/>
      <c r="AV22" s="82"/>
      <c r="AW22" s="69"/>
      <c r="AX22" s="69"/>
      <c r="AY22" s="69"/>
      <c r="AZ22" s="69"/>
    </row>
    <row r="23" spans="2:52" ht="16.5">
      <c r="B23" s="12">
        <v>265</v>
      </c>
      <c r="C23" s="73"/>
      <c r="D23" s="74"/>
      <c r="E23" s="73"/>
      <c r="F23" s="74"/>
      <c r="G23" s="73"/>
      <c r="H23" s="73"/>
      <c r="J23" s="12">
        <v>265</v>
      </c>
      <c r="K23" s="102"/>
      <c r="L23"/>
      <c r="M23"/>
      <c r="N23"/>
      <c r="Q23" s="19">
        <v>265</v>
      </c>
      <c r="R23" s="8">
        <f t="shared" si="0"/>
        <v>20</v>
      </c>
      <c r="S23" s="8">
        <f t="shared" si="1"/>
        <v>20</v>
      </c>
      <c r="T23" s="8">
        <f t="shared" si="2"/>
        <v>20</v>
      </c>
      <c r="V23" s="19">
        <v>265</v>
      </c>
      <c r="W23" s="8">
        <f t="shared" si="3"/>
        <v>20</v>
      </c>
      <c r="X23" s="8">
        <f t="shared" si="12"/>
        <v>20</v>
      </c>
      <c r="Y23" s="8">
        <f t="shared" si="4"/>
        <v>30</v>
      </c>
      <c r="AB23" s="20">
        <v>265</v>
      </c>
      <c r="AC23" s="9">
        <f t="shared" si="5"/>
        <v>20</v>
      </c>
      <c r="AD23" s="9">
        <f t="shared" si="6"/>
        <v>20</v>
      </c>
      <c r="AE23" s="9">
        <f t="shared" si="7"/>
        <v>20</v>
      </c>
      <c r="AG23" s="20">
        <v>265</v>
      </c>
      <c r="AH23" s="9">
        <f t="shared" si="8"/>
        <v>20</v>
      </c>
      <c r="AI23" s="9">
        <f t="shared" si="13"/>
        <v>20</v>
      </c>
      <c r="AJ23" s="9">
        <f t="shared" si="9"/>
        <v>30</v>
      </c>
      <c r="AM23" s="21">
        <v>265</v>
      </c>
      <c r="AN23" s="10">
        <v>-10</v>
      </c>
      <c r="AP23" s="10">
        <f t="shared" si="10"/>
        <v>20</v>
      </c>
      <c r="AQ23" s="10">
        <f t="shared" si="11"/>
        <v>30</v>
      </c>
      <c r="AT23" s="12">
        <v>265</v>
      </c>
      <c r="AU23" s="83"/>
      <c r="AV23" s="82"/>
      <c r="AW23" s="69"/>
      <c r="AX23" s="69"/>
      <c r="AY23" s="69"/>
      <c r="AZ23" s="69"/>
    </row>
    <row r="24" spans="2:52" ht="16.5">
      <c r="B24" s="12">
        <v>280</v>
      </c>
      <c r="C24" s="73"/>
      <c r="D24" s="74"/>
      <c r="E24" s="73"/>
      <c r="F24" s="74"/>
      <c r="G24" s="73"/>
      <c r="H24" s="73"/>
      <c r="J24" s="12">
        <v>280</v>
      </c>
      <c r="K24" s="102"/>
      <c r="L24"/>
      <c r="M24"/>
      <c r="N24"/>
      <c r="Q24" s="19">
        <v>280</v>
      </c>
      <c r="R24" s="8">
        <f t="shared" si="0"/>
        <v>20</v>
      </c>
      <c r="S24" s="8">
        <f t="shared" si="1"/>
        <v>20</v>
      </c>
      <c r="T24" s="8">
        <f t="shared" si="2"/>
        <v>20</v>
      </c>
      <c r="V24" s="19">
        <v>280</v>
      </c>
      <c r="W24" s="8">
        <f t="shared" si="3"/>
        <v>20</v>
      </c>
      <c r="X24" s="8">
        <f t="shared" si="12"/>
        <v>20</v>
      </c>
      <c r="Y24" s="8">
        <f t="shared" si="4"/>
        <v>30</v>
      </c>
      <c r="AB24" s="20">
        <v>280</v>
      </c>
      <c r="AC24" s="9">
        <f t="shared" si="5"/>
        <v>20</v>
      </c>
      <c r="AD24" s="9">
        <f t="shared" si="6"/>
        <v>20</v>
      </c>
      <c r="AE24" s="9">
        <f t="shared" si="7"/>
        <v>20</v>
      </c>
      <c r="AG24" s="20">
        <v>280</v>
      </c>
      <c r="AH24" s="9">
        <f t="shared" si="8"/>
        <v>20</v>
      </c>
      <c r="AI24" s="9">
        <f t="shared" si="13"/>
        <v>20</v>
      </c>
      <c r="AJ24" s="9">
        <f t="shared" si="9"/>
        <v>30</v>
      </c>
      <c r="AM24" s="21">
        <v>280</v>
      </c>
      <c r="AN24" s="10">
        <v>-10</v>
      </c>
      <c r="AP24" s="10">
        <f t="shared" si="10"/>
        <v>20</v>
      </c>
      <c r="AQ24" s="10">
        <f t="shared" si="11"/>
        <v>30</v>
      </c>
      <c r="AT24" s="12">
        <v>280</v>
      </c>
      <c r="AU24" s="83"/>
      <c r="AV24" s="82"/>
      <c r="AW24" s="69"/>
      <c r="AX24" s="69"/>
      <c r="AY24" s="69"/>
      <c r="AZ24" s="69"/>
    </row>
    <row r="25" spans="2:52" ht="16.5">
      <c r="B25" s="12">
        <v>300</v>
      </c>
      <c r="C25" s="73"/>
      <c r="D25" s="74"/>
      <c r="E25" s="73"/>
      <c r="F25" s="74"/>
      <c r="G25" s="73"/>
      <c r="H25" s="73"/>
      <c r="J25" s="12">
        <v>300</v>
      </c>
      <c r="K25" s="102"/>
      <c r="L25"/>
      <c r="M25"/>
      <c r="N25"/>
      <c r="Q25" s="19">
        <v>300</v>
      </c>
      <c r="R25" s="8">
        <f t="shared" si="0"/>
        <v>20</v>
      </c>
      <c r="S25" s="8">
        <f t="shared" si="1"/>
        <v>20</v>
      </c>
      <c r="T25" s="8">
        <f t="shared" si="2"/>
        <v>20</v>
      </c>
      <c r="V25" s="19">
        <v>300</v>
      </c>
      <c r="W25" s="8">
        <f t="shared" si="3"/>
        <v>20</v>
      </c>
      <c r="X25" s="8">
        <f t="shared" si="12"/>
        <v>20</v>
      </c>
      <c r="Y25" s="8">
        <f t="shared" si="4"/>
        <v>30</v>
      </c>
      <c r="AB25" s="20">
        <v>300</v>
      </c>
      <c r="AC25" s="9">
        <f t="shared" si="5"/>
        <v>20</v>
      </c>
      <c r="AD25" s="9">
        <f t="shared" si="6"/>
        <v>20</v>
      </c>
      <c r="AE25" s="9">
        <f t="shared" si="7"/>
        <v>20</v>
      </c>
      <c r="AG25" s="20">
        <v>300</v>
      </c>
      <c r="AH25" s="9">
        <f t="shared" si="8"/>
        <v>20</v>
      </c>
      <c r="AI25" s="9">
        <f t="shared" si="13"/>
        <v>20</v>
      </c>
      <c r="AJ25" s="9">
        <f t="shared" si="9"/>
        <v>30</v>
      </c>
      <c r="AM25" s="21">
        <v>300</v>
      </c>
      <c r="AN25" s="10">
        <v>-10</v>
      </c>
      <c r="AO25" s="10">
        <v>10</v>
      </c>
      <c r="AP25" s="10">
        <f t="shared" si="10"/>
        <v>20</v>
      </c>
      <c r="AQ25" s="10">
        <f t="shared" si="11"/>
        <v>30</v>
      </c>
      <c r="AT25" s="12">
        <v>300</v>
      </c>
      <c r="AU25" s="83"/>
      <c r="AV25" s="82"/>
      <c r="AW25" s="69"/>
      <c r="AX25" s="69"/>
      <c r="AY25" s="69"/>
      <c r="AZ25" s="69"/>
    </row>
    <row r="26" spans="2:52" ht="16.5">
      <c r="B26" s="12">
        <v>315</v>
      </c>
      <c r="C26" s="73"/>
      <c r="D26" s="74"/>
      <c r="E26" s="73"/>
      <c r="F26" s="74"/>
      <c r="G26" s="73"/>
      <c r="H26" s="73"/>
      <c r="J26" s="12">
        <v>315</v>
      </c>
      <c r="K26" s="102"/>
      <c r="L26"/>
      <c r="M26"/>
      <c r="N26"/>
      <c r="Q26" s="19">
        <v>315</v>
      </c>
      <c r="R26" s="8">
        <f t="shared" si="0"/>
        <v>20</v>
      </c>
      <c r="S26" s="8">
        <f t="shared" si="1"/>
        <v>20</v>
      </c>
      <c r="T26" s="8">
        <f t="shared" si="2"/>
        <v>20</v>
      </c>
      <c r="V26" s="19">
        <v>315</v>
      </c>
      <c r="W26" s="8">
        <f t="shared" si="3"/>
        <v>20</v>
      </c>
      <c r="X26" s="8">
        <f t="shared" si="12"/>
        <v>20</v>
      </c>
      <c r="Y26" s="8">
        <f t="shared" si="4"/>
        <v>30</v>
      </c>
      <c r="AB26" s="20">
        <v>315</v>
      </c>
      <c r="AC26" s="9">
        <f t="shared" si="5"/>
        <v>20</v>
      </c>
      <c r="AD26" s="9">
        <f t="shared" si="6"/>
        <v>20</v>
      </c>
      <c r="AE26" s="9">
        <f t="shared" si="7"/>
        <v>20</v>
      </c>
      <c r="AG26" s="20">
        <v>315</v>
      </c>
      <c r="AH26" s="9">
        <f t="shared" si="8"/>
        <v>20</v>
      </c>
      <c r="AI26" s="9">
        <f t="shared" si="13"/>
        <v>20</v>
      </c>
      <c r="AJ26" s="9">
        <f t="shared" si="9"/>
        <v>30</v>
      </c>
      <c r="AM26" s="21">
        <v>315</v>
      </c>
      <c r="AN26" s="10">
        <v>-10</v>
      </c>
      <c r="AP26" s="10">
        <f t="shared" si="10"/>
        <v>20</v>
      </c>
      <c r="AQ26" s="10">
        <f t="shared" si="11"/>
        <v>30</v>
      </c>
      <c r="AT26" s="12">
        <v>315</v>
      </c>
      <c r="AU26" s="83"/>
      <c r="AV26" s="82"/>
      <c r="AW26" s="69"/>
      <c r="AX26" s="69"/>
      <c r="AY26" s="69"/>
      <c r="AZ26" s="69"/>
    </row>
    <row r="27" spans="2:52" ht="16.5">
      <c r="B27" s="12">
        <v>335</v>
      </c>
      <c r="C27" s="73"/>
      <c r="D27" s="74"/>
      <c r="E27" s="73"/>
      <c r="F27" s="74"/>
      <c r="G27" s="73"/>
      <c r="H27" s="73"/>
      <c r="J27" s="12">
        <v>335</v>
      </c>
      <c r="K27" s="102"/>
      <c r="L27"/>
      <c r="M27"/>
      <c r="N27"/>
      <c r="Q27" s="19">
        <v>335</v>
      </c>
      <c r="R27" s="8">
        <f t="shared" si="0"/>
        <v>20</v>
      </c>
      <c r="S27" s="8">
        <f t="shared" si="1"/>
        <v>20</v>
      </c>
      <c r="T27" s="8">
        <f t="shared" si="2"/>
        <v>20</v>
      </c>
      <c r="V27" s="19">
        <v>335</v>
      </c>
      <c r="W27" s="8">
        <f t="shared" si="3"/>
        <v>20</v>
      </c>
      <c r="X27" s="8">
        <f t="shared" si="12"/>
        <v>20</v>
      </c>
      <c r="Y27" s="8">
        <f t="shared" si="4"/>
        <v>30</v>
      </c>
      <c r="AB27" s="20">
        <v>335</v>
      </c>
      <c r="AC27" s="9">
        <f t="shared" si="5"/>
        <v>20</v>
      </c>
      <c r="AD27" s="9">
        <f t="shared" si="6"/>
        <v>20</v>
      </c>
      <c r="AE27" s="9">
        <f t="shared" si="7"/>
        <v>20</v>
      </c>
      <c r="AG27" s="20">
        <v>335</v>
      </c>
      <c r="AH27" s="9">
        <f t="shared" si="8"/>
        <v>20</v>
      </c>
      <c r="AI27" s="9">
        <f t="shared" si="13"/>
        <v>20</v>
      </c>
      <c r="AJ27" s="9">
        <f t="shared" si="9"/>
        <v>30</v>
      </c>
      <c r="AM27" s="21">
        <v>335</v>
      </c>
      <c r="AN27" s="10">
        <v>-10</v>
      </c>
      <c r="AP27" s="10">
        <f t="shared" si="10"/>
        <v>20</v>
      </c>
      <c r="AQ27" s="10">
        <f t="shared" si="11"/>
        <v>30</v>
      </c>
      <c r="AT27" s="12">
        <v>335</v>
      </c>
      <c r="AU27" s="83"/>
      <c r="AV27" s="82"/>
      <c r="AW27" s="69"/>
      <c r="AX27" s="69"/>
      <c r="AY27" s="69"/>
      <c r="AZ27" s="69"/>
    </row>
    <row r="28" spans="2:52" ht="16.5">
      <c r="B28" s="12">
        <v>355</v>
      </c>
      <c r="C28" s="73"/>
      <c r="D28" s="74"/>
      <c r="E28" s="73"/>
      <c r="F28" s="74"/>
      <c r="G28" s="73"/>
      <c r="H28" s="73"/>
      <c r="J28" s="12">
        <v>355</v>
      </c>
      <c r="K28" s="102"/>
      <c r="L28"/>
      <c r="M28"/>
      <c r="N28"/>
      <c r="Q28" s="19">
        <v>355</v>
      </c>
      <c r="R28" s="8">
        <f t="shared" si="0"/>
        <v>20</v>
      </c>
      <c r="S28" s="8">
        <f t="shared" si="1"/>
        <v>20</v>
      </c>
      <c r="T28" s="8">
        <f t="shared" si="2"/>
        <v>20</v>
      </c>
      <c r="V28" s="19">
        <v>355</v>
      </c>
      <c r="W28" s="8">
        <f t="shared" si="3"/>
        <v>20</v>
      </c>
      <c r="X28" s="8">
        <f t="shared" si="12"/>
        <v>20</v>
      </c>
      <c r="Y28" s="8">
        <f t="shared" si="4"/>
        <v>30</v>
      </c>
      <c r="AB28" s="20">
        <v>355</v>
      </c>
      <c r="AC28" s="9">
        <f t="shared" si="5"/>
        <v>20</v>
      </c>
      <c r="AD28" s="9">
        <f t="shared" si="6"/>
        <v>20</v>
      </c>
      <c r="AE28" s="9">
        <f t="shared" si="7"/>
        <v>20</v>
      </c>
      <c r="AG28" s="20">
        <v>355</v>
      </c>
      <c r="AH28" s="9">
        <f t="shared" si="8"/>
        <v>20</v>
      </c>
      <c r="AI28" s="9">
        <f t="shared" si="13"/>
        <v>20</v>
      </c>
      <c r="AJ28" s="9">
        <f t="shared" si="9"/>
        <v>30</v>
      </c>
      <c r="AM28" s="21">
        <v>355</v>
      </c>
      <c r="AN28" s="10">
        <v>-10</v>
      </c>
      <c r="AO28" s="10">
        <v>10</v>
      </c>
      <c r="AP28" s="10">
        <f t="shared" si="10"/>
        <v>20</v>
      </c>
      <c r="AQ28" s="10">
        <f t="shared" si="11"/>
        <v>30</v>
      </c>
      <c r="AT28" s="12">
        <v>355</v>
      </c>
      <c r="AU28" s="83"/>
      <c r="AV28" s="82"/>
      <c r="AW28" s="69"/>
      <c r="AX28" s="69"/>
      <c r="AY28" s="69"/>
      <c r="AZ28" s="69"/>
    </row>
    <row r="29" spans="2:52" ht="16.5">
      <c r="B29" s="12">
        <v>375</v>
      </c>
      <c r="C29" s="73"/>
      <c r="D29" s="74"/>
      <c r="E29" s="73"/>
      <c r="F29" s="74"/>
      <c r="G29" s="73"/>
      <c r="H29" s="73"/>
      <c r="J29" s="12">
        <v>375</v>
      </c>
      <c r="K29" s="102"/>
      <c r="L29"/>
      <c r="M29"/>
      <c r="N29"/>
      <c r="Q29" s="19">
        <v>375</v>
      </c>
      <c r="R29" s="8">
        <f t="shared" si="0"/>
        <v>20</v>
      </c>
      <c r="S29" s="8">
        <f t="shared" si="1"/>
        <v>20</v>
      </c>
      <c r="T29" s="8">
        <f t="shared" si="2"/>
        <v>20</v>
      </c>
      <c r="V29" s="19">
        <v>375</v>
      </c>
      <c r="W29" s="8">
        <f t="shared" si="3"/>
        <v>20</v>
      </c>
      <c r="X29" s="8">
        <f t="shared" si="12"/>
        <v>20</v>
      </c>
      <c r="Y29" s="8">
        <f t="shared" si="4"/>
        <v>30</v>
      </c>
      <c r="AB29" s="20">
        <v>375</v>
      </c>
      <c r="AC29" s="9">
        <f t="shared" si="5"/>
        <v>20</v>
      </c>
      <c r="AD29" s="9">
        <f t="shared" si="6"/>
        <v>20</v>
      </c>
      <c r="AE29" s="9">
        <f t="shared" si="7"/>
        <v>20</v>
      </c>
      <c r="AG29" s="20">
        <v>375</v>
      </c>
      <c r="AH29" s="9">
        <f t="shared" si="8"/>
        <v>20</v>
      </c>
      <c r="AI29" s="9">
        <f t="shared" si="13"/>
        <v>20</v>
      </c>
      <c r="AJ29" s="9">
        <f t="shared" si="9"/>
        <v>30</v>
      </c>
      <c r="AM29" s="21">
        <v>375</v>
      </c>
      <c r="AN29" s="10">
        <v>-10</v>
      </c>
      <c r="AP29" s="10">
        <f t="shared" si="10"/>
        <v>20</v>
      </c>
      <c r="AQ29" s="10">
        <f t="shared" si="11"/>
        <v>30</v>
      </c>
      <c r="AT29" s="12">
        <v>375</v>
      </c>
      <c r="AU29" s="83"/>
      <c r="AV29" s="82"/>
      <c r="AW29" s="69"/>
      <c r="AX29" s="69"/>
      <c r="AY29" s="69"/>
      <c r="AZ29" s="69"/>
    </row>
    <row r="30" spans="2:52" ht="16.5">
      <c r="B30" s="12">
        <v>400</v>
      </c>
      <c r="C30" s="73"/>
      <c r="D30" s="74"/>
      <c r="E30" s="73"/>
      <c r="F30" s="74"/>
      <c r="G30" s="73"/>
      <c r="H30" s="73"/>
      <c r="J30" s="12">
        <v>400</v>
      </c>
      <c r="K30" s="102"/>
      <c r="L30"/>
      <c r="M30"/>
      <c r="N30"/>
      <c r="Q30" s="19">
        <v>400</v>
      </c>
      <c r="R30" s="8">
        <f t="shared" si="0"/>
        <v>20</v>
      </c>
      <c r="S30" s="8">
        <f t="shared" si="1"/>
        <v>20</v>
      </c>
      <c r="T30" s="8">
        <f t="shared" si="2"/>
        <v>20</v>
      </c>
      <c r="V30" s="19">
        <v>400</v>
      </c>
      <c r="W30" s="8">
        <f t="shared" si="3"/>
        <v>20</v>
      </c>
      <c r="X30" s="8">
        <f t="shared" si="12"/>
        <v>20</v>
      </c>
      <c r="Y30" s="8">
        <f t="shared" si="4"/>
        <v>30</v>
      </c>
      <c r="AB30" s="20">
        <v>400</v>
      </c>
      <c r="AC30" s="9">
        <f t="shared" si="5"/>
        <v>20</v>
      </c>
      <c r="AD30" s="9">
        <f t="shared" si="6"/>
        <v>20</v>
      </c>
      <c r="AE30" s="9">
        <f t="shared" si="7"/>
        <v>20</v>
      </c>
      <c r="AG30" s="20">
        <v>400</v>
      </c>
      <c r="AH30" s="9">
        <f t="shared" si="8"/>
        <v>20</v>
      </c>
      <c r="AI30" s="9">
        <f t="shared" si="13"/>
        <v>20</v>
      </c>
      <c r="AJ30" s="9">
        <f t="shared" si="9"/>
        <v>30</v>
      </c>
      <c r="AM30" s="21">
        <v>400</v>
      </c>
      <c r="AN30" s="10">
        <v>-10</v>
      </c>
      <c r="AP30" s="10">
        <f t="shared" si="10"/>
        <v>20</v>
      </c>
      <c r="AQ30" s="10">
        <f t="shared" si="11"/>
        <v>30</v>
      </c>
      <c r="AT30" s="12">
        <v>400</v>
      </c>
      <c r="AU30" s="83"/>
      <c r="AV30" s="82"/>
      <c r="AW30" s="69"/>
      <c r="AX30" s="69"/>
      <c r="AY30" s="69"/>
      <c r="AZ30" s="69"/>
    </row>
    <row r="31" spans="2:52" ht="16.5">
      <c r="B31" s="12">
        <v>425</v>
      </c>
      <c r="C31" s="73"/>
      <c r="D31" s="74"/>
      <c r="E31" s="73"/>
      <c r="F31" s="74"/>
      <c r="G31" s="73"/>
      <c r="H31" s="73"/>
      <c r="J31" s="12">
        <v>425</v>
      </c>
      <c r="K31" s="102"/>
      <c r="L31"/>
      <c r="M31"/>
      <c r="N31"/>
      <c r="Q31" s="19">
        <v>425</v>
      </c>
      <c r="R31" s="8">
        <f t="shared" si="0"/>
        <v>20</v>
      </c>
      <c r="S31" s="8">
        <f t="shared" si="1"/>
        <v>20</v>
      </c>
      <c r="T31" s="8">
        <f t="shared" si="2"/>
        <v>20</v>
      </c>
      <c r="V31" s="19">
        <v>425</v>
      </c>
      <c r="W31" s="8">
        <f t="shared" si="3"/>
        <v>20</v>
      </c>
      <c r="X31" s="8">
        <f t="shared" si="12"/>
        <v>20</v>
      </c>
      <c r="Y31" s="8">
        <f t="shared" si="4"/>
        <v>30</v>
      </c>
      <c r="AB31" s="20">
        <v>425</v>
      </c>
      <c r="AC31" s="9">
        <f t="shared" si="5"/>
        <v>20</v>
      </c>
      <c r="AD31" s="9">
        <f t="shared" si="6"/>
        <v>20</v>
      </c>
      <c r="AE31" s="9">
        <f t="shared" si="7"/>
        <v>20</v>
      </c>
      <c r="AG31" s="20">
        <v>425</v>
      </c>
      <c r="AH31" s="9">
        <f t="shared" si="8"/>
        <v>20</v>
      </c>
      <c r="AI31" s="9">
        <f t="shared" si="13"/>
        <v>20</v>
      </c>
      <c r="AJ31" s="9">
        <f t="shared" si="9"/>
        <v>30</v>
      </c>
      <c r="AM31" s="21">
        <v>425</v>
      </c>
      <c r="AN31" s="10">
        <v>-10</v>
      </c>
      <c r="AO31" s="10">
        <v>10</v>
      </c>
      <c r="AP31" s="10">
        <f t="shared" si="10"/>
        <v>20</v>
      </c>
      <c r="AQ31" s="10">
        <f t="shared" si="11"/>
        <v>30</v>
      </c>
      <c r="AT31" s="12">
        <v>425</v>
      </c>
      <c r="AU31" s="83"/>
      <c r="AV31" s="82"/>
      <c r="AW31" s="69"/>
      <c r="AX31" s="69"/>
      <c r="AY31" s="69"/>
      <c r="AZ31" s="69"/>
    </row>
    <row r="32" spans="2:52" ht="16.5">
      <c r="B32" s="12">
        <v>450</v>
      </c>
      <c r="C32" s="73"/>
      <c r="D32" s="74"/>
      <c r="E32" s="73"/>
      <c r="F32" s="74"/>
      <c r="G32" s="73"/>
      <c r="H32" s="73"/>
      <c r="J32" s="12">
        <v>450</v>
      </c>
      <c r="K32" s="102"/>
      <c r="L32"/>
      <c r="M32"/>
      <c r="N32"/>
      <c r="Q32" s="19">
        <v>450</v>
      </c>
      <c r="R32" s="8">
        <f t="shared" si="0"/>
        <v>20</v>
      </c>
      <c r="S32" s="8">
        <f t="shared" si="1"/>
        <v>20</v>
      </c>
      <c r="T32" s="8">
        <f t="shared" si="2"/>
        <v>20</v>
      </c>
      <c r="V32" s="19">
        <v>450</v>
      </c>
      <c r="W32" s="8">
        <f t="shared" si="3"/>
        <v>20</v>
      </c>
      <c r="X32" s="8">
        <f t="shared" si="12"/>
        <v>20</v>
      </c>
      <c r="Y32" s="8">
        <f t="shared" si="4"/>
        <v>30</v>
      </c>
      <c r="AB32" s="20">
        <v>450</v>
      </c>
      <c r="AC32" s="9">
        <f t="shared" si="5"/>
        <v>20</v>
      </c>
      <c r="AD32" s="9">
        <f t="shared" si="6"/>
        <v>20</v>
      </c>
      <c r="AE32" s="9">
        <f t="shared" si="7"/>
        <v>20</v>
      </c>
      <c r="AG32" s="20">
        <v>450</v>
      </c>
      <c r="AH32" s="9">
        <f t="shared" si="8"/>
        <v>20</v>
      </c>
      <c r="AI32" s="9">
        <f t="shared" si="13"/>
        <v>20</v>
      </c>
      <c r="AJ32" s="9">
        <f t="shared" si="9"/>
        <v>30</v>
      </c>
      <c r="AM32" s="21">
        <v>450</v>
      </c>
      <c r="AN32" s="10">
        <v>-10</v>
      </c>
      <c r="AP32" s="10">
        <f t="shared" si="10"/>
        <v>20</v>
      </c>
      <c r="AQ32" s="10">
        <f t="shared" si="11"/>
        <v>30</v>
      </c>
      <c r="AT32" s="12">
        <v>450</v>
      </c>
      <c r="AU32" s="83"/>
      <c r="AV32" s="82"/>
      <c r="AW32" s="69"/>
      <c r="AX32" s="69"/>
      <c r="AY32" s="69"/>
      <c r="AZ32" s="69"/>
    </row>
    <row r="33" spans="2:52" ht="16.5">
      <c r="B33" s="12">
        <v>475</v>
      </c>
      <c r="C33" s="73"/>
      <c r="D33" s="74"/>
      <c r="E33" s="73"/>
      <c r="F33" s="74"/>
      <c r="G33" s="73"/>
      <c r="H33" s="73"/>
      <c r="J33" s="12">
        <v>475</v>
      </c>
      <c r="K33" s="102"/>
      <c r="L33"/>
      <c r="M33"/>
      <c r="N33"/>
      <c r="Q33" s="19">
        <v>475</v>
      </c>
      <c r="R33" s="8">
        <f t="shared" si="0"/>
        <v>20</v>
      </c>
      <c r="S33" s="8">
        <f t="shared" si="1"/>
        <v>20</v>
      </c>
      <c r="T33" s="8">
        <f t="shared" si="2"/>
        <v>20</v>
      </c>
      <c r="V33" s="19">
        <v>475</v>
      </c>
      <c r="W33" s="8">
        <f t="shared" si="3"/>
        <v>20</v>
      </c>
      <c r="X33" s="8">
        <f t="shared" si="12"/>
        <v>20</v>
      </c>
      <c r="Y33" s="8">
        <f t="shared" si="4"/>
        <v>30</v>
      </c>
      <c r="AB33" s="20">
        <v>475</v>
      </c>
      <c r="AC33" s="9">
        <f t="shared" si="5"/>
        <v>20</v>
      </c>
      <c r="AD33" s="9">
        <f t="shared" si="6"/>
        <v>20</v>
      </c>
      <c r="AE33" s="9">
        <f t="shared" si="7"/>
        <v>20</v>
      </c>
      <c r="AG33" s="20">
        <v>475</v>
      </c>
      <c r="AH33" s="9">
        <f t="shared" si="8"/>
        <v>20</v>
      </c>
      <c r="AI33" s="9">
        <f t="shared" si="13"/>
        <v>20</v>
      </c>
      <c r="AJ33" s="9">
        <f t="shared" si="9"/>
        <v>30</v>
      </c>
      <c r="AM33" s="21">
        <v>475</v>
      </c>
      <c r="AN33" s="10">
        <v>-10</v>
      </c>
      <c r="AP33" s="10">
        <f t="shared" si="10"/>
        <v>20</v>
      </c>
      <c r="AQ33" s="10">
        <f t="shared" si="11"/>
        <v>30</v>
      </c>
      <c r="AT33" s="12">
        <v>475</v>
      </c>
      <c r="AU33" s="83"/>
      <c r="AV33" s="82"/>
      <c r="AW33" s="69"/>
      <c r="AX33" s="69"/>
      <c r="AY33" s="69"/>
      <c r="AZ33" s="69"/>
    </row>
    <row r="34" spans="2:52" ht="16.5">
      <c r="B34" s="12">
        <v>500</v>
      </c>
      <c r="C34" s="73"/>
      <c r="D34" s="74"/>
      <c r="E34" s="73"/>
      <c r="F34" s="74"/>
      <c r="G34" s="73"/>
      <c r="H34" s="73"/>
      <c r="J34" s="12">
        <v>500</v>
      </c>
      <c r="K34" s="102"/>
      <c r="L34"/>
      <c r="M34"/>
      <c r="N34"/>
      <c r="Q34" s="19">
        <v>500</v>
      </c>
      <c r="R34" s="8">
        <f t="shared" si="0"/>
        <v>20</v>
      </c>
      <c r="S34" s="8">
        <f t="shared" si="1"/>
        <v>20</v>
      </c>
      <c r="T34" s="8">
        <f t="shared" si="2"/>
        <v>20</v>
      </c>
      <c r="V34" s="19">
        <v>500</v>
      </c>
      <c r="W34" s="8">
        <f t="shared" si="3"/>
        <v>20</v>
      </c>
      <c r="X34" s="8">
        <f t="shared" si="12"/>
        <v>20</v>
      </c>
      <c r="Y34" s="8">
        <f t="shared" si="4"/>
        <v>30</v>
      </c>
      <c r="AB34" s="20">
        <v>500</v>
      </c>
      <c r="AC34" s="9">
        <f t="shared" si="5"/>
        <v>20</v>
      </c>
      <c r="AD34" s="9">
        <f t="shared" si="6"/>
        <v>20</v>
      </c>
      <c r="AE34" s="9">
        <f t="shared" si="7"/>
        <v>20</v>
      </c>
      <c r="AG34" s="20">
        <v>500</v>
      </c>
      <c r="AH34" s="9">
        <f t="shared" si="8"/>
        <v>20</v>
      </c>
      <c r="AI34" s="9">
        <f t="shared" si="13"/>
        <v>20</v>
      </c>
      <c r="AJ34" s="9">
        <f t="shared" si="9"/>
        <v>30</v>
      </c>
      <c r="AM34" s="21">
        <v>500</v>
      </c>
      <c r="AN34" s="10">
        <v>-10</v>
      </c>
      <c r="AO34" s="10">
        <v>10</v>
      </c>
      <c r="AP34" s="10">
        <f t="shared" si="10"/>
        <v>20</v>
      </c>
      <c r="AQ34" s="10">
        <f t="shared" si="11"/>
        <v>30</v>
      </c>
      <c r="AT34" s="12">
        <v>500</v>
      </c>
      <c r="AU34" s="83"/>
      <c r="AV34" s="82"/>
      <c r="AW34" s="69"/>
      <c r="AX34" s="69"/>
      <c r="AY34" s="69"/>
      <c r="AZ34" s="69"/>
    </row>
    <row r="35" spans="2:52" ht="16.5">
      <c r="B35" s="12">
        <v>530</v>
      </c>
      <c r="C35" s="73"/>
      <c r="D35" s="74"/>
      <c r="E35" s="73"/>
      <c r="F35" s="74"/>
      <c r="G35" s="73"/>
      <c r="H35" s="73"/>
      <c r="J35" s="12">
        <v>530</v>
      </c>
      <c r="K35" s="102"/>
      <c r="L35"/>
      <c r="M35"/>
      <c r="N35"/>
      <c r="Q35" s="19">
        <v>530</v>
      </c>
      <c r="R35" s="8">
        <f t="shared" si="0"/>
        <v>20</v>
      </c>
      <c r="S35" s="8">
        <f t="shared" si="1"/>
        <v>20</v>
      </c>
      <c r="T35" s="8">
        <f t="shared" si="2"/>
        <v>20</v>
      </c>
      <c r="V35" s="19">
        <v>530</v>
      </c>
      <c r="W35" s="8">
        <f t="shared" si="3"/>
        <v>20</v>
      </c>
      <c r="X35" s="8">
        <f t="shared" si="12"/>
        <v>20</v>
      </c>
      <c r="Y35" s="8">
        <f t="shared" si="4"/>
        <v>30</v>
      </c>
      <c r="AB35" s="20">
        <v>530</v>
      </c>
      <c r="AC35" s="9">
        <f t="shared" si="5"/>
        <v>20</v>
      </c>
      <c r="AD35" s="9">
        <f t="shared" si="6"/>
        <v>20</v>
      </c>
      <c r="AE35" s="9">
        <f t="shared" si="7"/>
        <v>20</v>
      </c>
      <c r="AG35" s="20">
        <v>530</v>
      </c>
      <c r="AH35" s="9">
        <f t="shared" si="8"/>
        <v>20</v>
      </c>
      <c r="AI35" s="9">
        <f t="shared" si="13"/>
        <v>20</v>
      </c>
      <c r="AJ35" s="9">
        <f t="shared" si="9"/>
        <v>30</v>
      </c>
      <c r="AM35" s="21">
        <v>530</v>
      </c>
      <c r="AN35" s="10">
        <v>-10</v>
      </c>
      <c r="AP35" s="10">
        <f t="shared" si="10"/>
        <v>20</v>
      </c>
      <c r="AQ35" s="10">
        <f t="shared" si="11"/>
        <v>30</v>
      </c>
      <c r="AT35" s="12">
        <v>530</v>
      </c>
      <c r="AU35" s="83"/>
      <c r="AV35" s="82"/>
      <c r="AW35" s="69"/>
      <c r="AX35" s="69"/>
      <c r="AY35" s="69"/>
      <c r="AZ35" s="69"/>
    </row>
    <row r="36" spans="2:52" ht="16.5">
      <c r="B36" s="12">
        <v>560</v>
      </c>
      <c r="C36" s="73"/>
      <c r="D36" s="74"/>
      <c r="E36" s="73"/>
      <c r="F36" s="74"/>
      <c r="G36" s="73"/>
      <c r="H36" s="73"/>
      <c r="J36" s="12">
        <v>560</v>
      </c>
      <c r="K36" s="102"/>
      <c r="L36"/>
      <c r="M36"/>
      <c r="N36"/>
      <c r="Q36" s="19">
        <v>560</v>
      </c>
      <c r="R36" s="8">
        <f t="shared" si="0"/>
        <v>20</v>
      </c>
      <c r="S36" s="8">
        <f t="shared" si="1"/>
        <v>20</v>
      </c>
      <c r="T36" s="8">
        <f t="shared" si="2"/>
        <v>20</v>
      </c>
      <c r="V36" s="19">
        <v>560</v>
      </c>
      <c r="W36" s="8">
        <f t="shared" si="3"/>
        <v>20</v>
      </c>
      <c r="X36" s="8">
        <f t="shared" si="12"/>
        <v>20</v>
      </c>
      <c r="Y36" s="8">
        <f t="shared" si="4"/>
        <v>30</v>
      </c>
      <c r="AB36" s="20">
        <v>560</v>
      </c>
      <c r="AC36" s="9">
        <f t="shared" si="5"/>
        <v>20</v>
      </c>
      <c r="AD36" s="9">
        <f t="shared" si="6"/>
        <v>20</v>
      </c>
      <c r="AE36" s="9">
        <f t="shared" si="7"/>
        <v>20</v>
      </c>
      <c r="AG36" s="20">
        <v>560</v>
      </c>
      <c r="AH36" s="9">
        <f t="shared" si="8"/>
        <v>20</v>
      </c>
      <c r="AI36" s="9">
        <f t="shared" si="13"/>
        <v>20</v>
      </c>
      <c r="AJ36" s="9">
        <f t="shared" si="9"/>
        <v>30</v>
      </c>
      <c r="AM36" s="21">
        <v>560</v>
      </c>
      <c r="AN36" s="10">
        <v>-10</v>
      </c>
      <c r="AP36" s="10">
        <f t="shared" si="10"/>
        <v>20</v>
      </c>
      <c r="AQ36" s="10">
        <f t="shared" si="11"/>
        <v>30</v>
      </c>
      <c r="AT36" s="12">
        <v>560</v>
      </c>
      <c r="AU36" s="83"/>
      <c r="AV36" s="82"/>
      <c r="AW36" s="69"/>
      <c r="AX36" s="69"/>
      <c r="AY36" s="69"/>
      <c r="AZ36" s="69"/>
    </row>
    <row r="37" spans="2:52" ht="16.5">
      <c r="B37" s="12">
        <v>600</v>
      </c>
      <c r="C37" s="73"/>
      <c r="D37" s="74"/>
      <c r="E37" s="73"/>
      <c r="F37" s="74"/>
      <c r="G37" s="73"/>
      <c r="H37" s="73"/>
      <c r="J37" s="12">
        <v>600</v>
      </c>
      <c r="K37" s="102"/>
      <c r="L37"/>
      <c r="M37"/>
      <c r="N37"/>
      <c r="Q37" s="19">
        <v>600</v>
      </c>
      <c r="R37" s="8">
        <f t="shared" si="0"/>
        <v>20</v>
      </c>
      <c r="S37" s="8">
        <f t="shared" si="1"/>
        <v>20</v>
      </c>
      <c r="T37" s="8">
        <f t="shared" si="2"/>
        <v>20</v>
      </c>
      <c r="V37" s="19">
        <v>600</v>
      </c>
      <c r="W37" s="8">
        <f t="shared" si="3"/>
        <v>20</v>
      </c>
      <c r="X37" s="8">
        <f t="shared" si="12"/>
        <v>20</v>
      </c>
      <c r="Y37" s="8">
        <f t="shared" si="4"/>
        <v>30</v>
      </c>
      <c r="AB37" s="20">
        <v>600</v>
      </c>
      <c r="AC37" s="9">
        <f t="shared" si="5"/>
        <v>20</v>
      </c>
      <c r="AD37" s="9">
        <f t="shared" si="6"/>
        <v>20</v>
      </c>
      <c r="AE37" s="9">
        <f t="shared" si="7"/>
        <v>20</v>
      </c>
      <c r="AG37" s="20">
        <v>600</v>
      </c>
      <c r="AH37" s="9">
        <f t="shared" si="8"/>
        <v>20</v>
      </c>
      <c r="AI37" s="9">
        <f t="shared" si="13"/>
        <v>20</v>
      </c>
      <c r="AJ37" s="9">
        <f t="shared" si="9"/>
        <v>30</v>
      </c>
      <c r="AM37" s="21">
        <v>600</v>
      </c>
      <c r="AN37" s="10">
        <v>-10</v>
      </c>
      <c r="AO37" s="10">
        <v>10</v>
      </c>
      <c r="AP37" s="10">
        <f t="shared" si="10"/>
        <v>20</v>
      </c>
      <c r="AQ37" s="10">
        <f t="shared" si="11"/>
        <v>30</v>
      </c>
      <c r="AT37" s="12">
        <v>600</v>
      </c>
      <c r="AU37" s="83"/>
      <c r="AV37" s="82"/>
      <c r="AW37" s="69"/>
      <c r="AX37" s="69"/>
      <c r="AY37" s="69"/>
      <c r="AZ37" s="69"/>
    </row>
    <row r="38" spans="2:52" ht="16.5">
      <c r="B38" s="12">
        <v>630</v>
      </c>
      <c r="C38" s="73"/>
      <c r="D38" s="74"/>
      <c r="E38" s="73"/>
      <c r="F38" s="74"/>
      <c r="G38" s="73"/>
      <c r="H38" s="73"/>
      <c r="J38" s="12">
        <v>630</v>
      </c>
      <c r="K38" s="102"/>
      <c r="L38"/>
      <c r="M38"/>
      <c r="N38"/>
      <c r="Q38" s="19">
        <v>630</v>
      </c>
      <c r="R38" s="8">
        <f t="shared" ref="R38:R70" si="14">+$K38+20-C38</f>
        <v>20</v>
      </c>
      <c r="S38" s="8">
        <f t="shared" ref="S38:S70" si="15">+$K38+20-D38</f>
        <v>20</v>
      </c>
      <c r="T38" s="8">
        <f t="shared" ref="T38:T70" si="16">+$K38+20-E38</f>
        <v>20</v>
      </c>
      <c r="V38" s="19">
        <v>630</v>
      </c>
      <c r="W38" s="8">
        <f t="shared" si="3"/>
        <v>20</v>
      </c>
      <c r="X38" s="8">
        <f t="shared" si="12"/>
        <v>20</v>
      </c>
      <c r="Y38" s="8">
        <f t="shared" ref="Y38:Y69" si="17">+X38-$AN38</f>
        <v>30</v>
      </c>
      <c r="AB38" s="20">
        <v>630</v>
      </c>
      <c r="AC38" s="9">
        <f t="shared" ref="AC38:AC70" si="18">+$L38+20-F38</f>
        <v>20</v>
      </c>
      <c r="AD38" s="9">
        <f t="shared" ref="AD38:AD70" si="19">+$L38+20-G38</f>
        <v>20</v>
      </c>
      <c r="AE38" s="9">
        <f t="shared" ref="AE38:AE70" si="20">+$L38+20-H38</f>
        <v>20</v>
      </c>
      <c r="AG38" s="20">
        <v>630</v>
      </c>
      <c r="AH38" s="9">
        <f t="shared" si="8"/>
        <v>20</v>
      </c>
      <c r="AI38" s="9">
        <f t="shared" si="13"/>
        <v>20</v>
      </c>
      <c r="AJ38" s="9">
        <f t="shared" si="9"/>
        <v>30</v>
      </c>
      <c r="AM38" s="21">
        <v>630</v>
      </c>
      <c r="AN38" s="10">
        <v>-10</v>
      </c>
      <c r="AP38" s="10">
        <f t="shared" ref="AP38:AP69" si="21">+AVERAGE(AI38,X38)</f>
        <v>20</v>
      </c>
      <c r="AQ38" s="10">
        <f t="shared" ref="AQ38:AQ69" si="22">+AP38-AN38</f>
        <v>30</v>
      </c>
      <c r="AT38" s="12">
        <v>630</v>
      </c>
      <c r="AU38" s="83"/>
      <c r="AV38" s="82"/>
      <c r="AW38" s="69"/>
      <c r="AX38" s="69"/>
      <c r="AY38" s="69"/>
      <c r="AZ38" s="69"/>
    </row>
    <row r="39" spans="2:52" ht="16.5">
      <c r="B39" s="12">
        <v>670</v>
      </c>
      <c r="C39" s="73"/>
      <c r="D39" s="74"/>
      <c r="E39" s="73"/>
      <c r="F39" s="74"/>
      <c r="G39" s="73"/>
      <c r="H39" s="73"/>
      <c r="J39" s="12">
        <v>670</v>
      </c>
      <c r="K39" s="102"/>
      <c r="L39"/>
      <c r="M39"/>
      <c r="N39"/>
      <c r="Q39" s="19">
        <v>670</v>
      </c>
      <c r="R39" s="8">
        <f t="shared" si="14"/>
        <v>20</v>
      </c>
      <c r="S39" s="8">
        <f t="shared" si="15"/>
        <v>20</v>
      </c>
      <c r="T39" s="8">
        <f t="shared" si="16"/>
        <v>20</v>
      </c>
      <c r="V39" s="19">
        <v>670</v>
      </c>
      <c r="W39" s="8">
        <f t="shared" si="3"/>
        <v>20</v>
      </c>
      <c r="X39" s="8">
        <f t="shared" si="12"/>
        <v>20</v>
      </c>
      <c r="Y39" s="8">
        <f t="shared" si="17"/>
        <v>30</v>
      </c>
      <c r="AB39" s="20">
        <v>670</v>
      </c>
      <c r="AC39" s="9">
        <f t="shared" si="18"/>
        <v>20</v>
      </c>
      <c r="AD39" s="9">
        <f t="shared" si="19"/>
        <v>20</v>
      </c>
      <c r="AE39" s="9">
        <f t="shared" si="20"/>
        <v>20</v>
      </c>
      <c r="AG39" s="20">
        <v>670</v>
      </c>
      <c r="AH39" s="9">
        <f t="shared" si="8"/>
        <v>20</v>
      </c>
      <c r="AI39" s="9">
        <f t="shared" si="13"/>
        <v>20</v>
      </c>
      <c r="AJ39" s="9">
        <f t="shared" si="9"/>
        <v>30</v>
      </c>
      <c r="AM39" s="21">
        <v>670</v>
      </c>
      <c r="AN39" s="10">
        <v>-10</v>
      </c>
      <c r="AP39" s="10">
        <f t="shared" si="21"/>
        <v>20</v>
      </c>
      <c r="AQ39" s="10">
        <f t="shared" si="22"/>
        <v>30</v>
      </c>
      <c r="AT39" s="12">
        <v>670</v>
      </c>
      <c r="AU39" s="83"/>
      <c r="AV39" s="82"/>
      <c r="AW39" s="69"/>
      <c r="AX39" s="69"/>
      <c r="AY39" s="69"/>
      <c r="AZ39" s="69"/>
    </row>
    <row r="40" spans="2:52" ht="16.5">
      <c r="B40" s="12">
        <v>710</v>
      </c>
      <c r="C40" s="73"/>
      <c r="D40" s="74"/>
      <c r="E40" s="73"/>
      <c r="F40" s="74"/>
      <c r="G40" s="73"/>
      <c r="H40" s="73"/>
      <c r="J40" s="12">
        <v>710</v>
      </c>
      <c r="K40" s="102"/>
      <c r="L40"/>
      <c r="M40"/>
      <c r="N40"/>
      <c r="Q40" s="19">
        <v>710</v>
      </c>
      <c r="R40" s="8">
        <f t="shared" si="14"/>
        <v>20</v>
      </c>
      <c r="S40" s="8">
        <f t="shared" si="15"/>
        <v>20</v>
      </c>
      <c r="T40" s="8">
        <f t="shared" si="16"/>
        <v>20</v>
      </c>
      <c r="V40" s="19">
        <v>710</v>
      </c>
      <c r="W40" s="8">
        <f t="shared" si="3"/>
        <v>20</v>
      </c>
      <c r="X40" s="8">
        <f t="shared" si="12"/>
        <v>20</v>
      </c>
      <c r="Y40" s="8">
        <f t="shared" si="17"/>
        <v>30</v>
      </c>
      <c r="AB40" s="20">
        <v>710</v>
      </c>
      <c r="AC40" s="9">
        <f t="shared" si="18"/>
        <v>20</v>
      </c>
      <c r="AD40" s="9">
        <f t="shared" si="19"/>
        <v>20</v>
      </c>
      <c r="AE40" s="9">
        <f t="shared" si="20"/>
        <v>20</v>
      </c>
      <c r="AG40" s="20">
        <v>710</v>
      </c>
      <c r="AH40" s="9">
        <f t="shared" si="8"/>
        <v>20</v>
      </c>
      <c r="AI40" s="9">
        <f t="shared" si="13"/>
        <v>20</v>
      </c>
      <c r="AJ40" s="9">
        <f t="shared" si="9"/>
        <v>30</v>
      </c>
      <c r="AM40" s="21">
        <v>710</v>
      </c>
      <c r="AN40" s="10">
        <v>-10</v>
      </c>
      <c r="AO40" s="10">
        <v>10</v>
      </c>
      <c r="AP40" s="10">
        <f t="shared" si="21"/>
        <v>20</v>
      </c>
      <c r="AQ40" s="10">
        <f t="shared" si="22"/>
        <v>30</v>
      </c>
      <c r="AT40" s="12">
        <v>710</v>
      </c>
      <c r="AU40" s="83"/>
      <c r="AV40" s="82"/>
      <c r="AW40" s="69"/>
      <c r="AX40" s="69"/>
      <c r="AY40" s="69"/>
      <c r="AZ40" s="69"/>
    </row>
    <row r="41" spans="2:52" ht="16.5">
      <c r="B41" s="12">
        <v>750</v>
      </c>
      <c r="C41" s="73"/>
      <c r="D41" s="74"/>
      <c r="E41" s="73"/>
      <c r="F41" s="74"/>
      <c r="G41" s="73"/>
      <c r="H41" s="73"/>
      <c r="J41" s="12">
        <v>750</v>
      </c>
      <c r="K41" s="102"/>
      <c r="L41"/>
      <c r="M41"/>
      <c r="N41"/>
      <c r="Q41" s="19">
        <v>750</v>
      </c>
      <c r="R41" s="8">
        <f t="shared" si="14"/>
        <v>20</v>
      </c>
      <c r="S41" s="8">
        <f t="shared" si="15"/>
        <v>20</v>
      </c>
      <c r="T41" s="8">
        <f t="shared" si="16"/>
        <v>20</v>
      </c>
      <c r="V41" s="19">
        <v>750</v>
      </c>
      <c r="W41" s="8">
        <f t="shared" si="3"/>
        <v>20</v>
      </c>
      <c r="X41" s="8">
        <f t="shared" si="12"/>
        <v>20</v>
      </c>
      <c r="Y41" s="8">
        <f t="shared" si="17"/>
        <v>30</v>
      </c>
      <c r="AB41" s="20">
        <v>750</v>
      </c>
      <c r="AC41" s="9">
        <f t="shared" si="18"/>
        <v>20</v>
      </c>
      <c r="AD41" s="9">
        <f t="shared" si="19"/>
        <v>20</v>
      </c>
      <c r="AE41" s="9">
        <f t="shared" si="20"/>
        <v>20</v>
      </c>
      <c r="AG41" s="20">
        <v>750</v>
      </c>
      <c r="AH41" s="9">
        <f t="shared" si="8"/>
        <v>20</v>
      </c>
      <c r="AI41" s="9">
        <f t="shared" si="13"/>
        <v>20</v>
      </c>
      <c r="AJ41" s="9">
        <f t="shared" si="9"/>
        <v>30</v>
      </c>
      <c r="AM41" s="21">
        <v>750</v>
      </c>
      <c r="AN41" s="10">
        <v>-10</v>
      </c>
      <c r="AP41" s="10">
        <f t="shared" si="21"/>
        <v>20</v>
      </c>
      <c r="AQ41" s="10">
        <f t="shared" si="22"/>
        <v>30</v>
      </c>
      <c r="AT41" s="12">
        <v>750</v>
      </c>
      <c r="AU41" s="83"/>
      <c r="AV41" s="82"/>
      <c r="AW41" s="69"/>
      <c r="AX41" s="69"/>
      <c r="AY41" s="69"/>
      <c r="AZ41" s="69"/>
    </row>
    <row r="42" spans="2:52" ht="16.5">
      <c r="B42" s="12">
        <v>800</v>
      </c>
      <c r="C42" s="73"/>
      <c r="D42" s="74"/>
      <c r="E42" s="73"/>
      <c r="F42" s="74"/>
      <c r="G42" s="73"/>
      <c r="H42" s="73"/>
      <c r="J42" s="12">
        <v>800</v>
      </c>
      <c r="K42" s="102"/>
      <c r="L42"/>
      <c r="M42"/>
      <c r="N42"/>
      <c r="Q42" s="19">
        <v>800</v>
      </c>
      <c r="R42" s="8">
        <f t="shared" si="14"/>
        <v>20</v>
      </c>
      <c r="S42" s="8">
        <f t="shared" si="15"/>
        <v>20</v>
      </c>
      <c r="T42" s="8">
        <f t="shared" si="16"/>
        <v>20</v>
      </c>
      <c r="V42" s="19">
        <v>800</v>
      </c>
      <c r="W42" s="8">
        <f t="shared" si="3"/>
        <v>20</v>
      </c>
      <c r="X42" s="8">
        <f t="shared" si="12"/>
        <v>20</v>
      </c>
      <c r="Y42" s="8">
        <f t="shared" si="17"/>
        <v>30</v>
      </c>
      <c r="AB42" s="20">
        <v>800</v>
      </c>
      <c r="AC42" s="9">
        <f t="shared" si="18"/>
        <v>20</v>
      </c>
      <c r="AD42" s="9">
        <f t="shared" si="19"/>
        <v>20</v>
      </c>
      <c r="AE42" s="9">
        <f t="shared" si="20"/>
        <v>20</v>
      </c>
      <c r="AG42" s="20">
        <v>800</v>
      </c>
      <c r="AH42" s="9">
        <f t="shared" si="8"/>
        <v>20</v>
      </c>
      <c r="AI42" s="9">
        <f t="shared" si="13"/>
        <v>20</v>
      </c>
      <c r="AJ42" s="9">
        <f t="shared" si="9"/>
        <v>30</v>
      </c>
      <c r="AM42" s="21">
        <v>800</v>
      </c>
      <c r="AN42" s="10">
        <v>-10</v>
      </c>
      <c r="AP42" s="10">
        <f t="shared" si="21"/>
        <v>20</v>
      </c>
      <c r="AQ42" s="10">
        <f t="shared" si="22"/>
        <v>30</v>
      </c>
      <c r="AT42" s="12">
        <v>800</v>
      </c>
      <c r="AU42" s="83"/>
      <c r="AV42" s="82"/>
      <c r="AW42" s="69"/>
      <c r="AX42" s="69"/>
      <c r="AY42" s="69"/>
      <c r="AZ42" s="69"/>
    </row>
    <row r="43" spans="2:52" ht="16.5">
      <c r="B43" s="12">
        <v>850</v>
      </c>
      <c r="C43" s="73"/>
      <c r="D43" s="74"/>
      <c r="E43" s="73"/>
      <c r="F43" s="74"/>
      <c r="G43" s="73"/>
      <c r="H43" s="73"/>
      <c r="J43" s="12">
        <v>850</v>
      </c>
      <c r="K43" s="102"/>
      <c r="L43"/>
      <c r="M43"/>
      <c r="N43"/>
      <c r="Q43" s="19">
        <v>850</v>
      </c>
      <c r="R43" s="8">
        <f t="shared" si="14"/>
        <v>20</v>
      </c>
      <c r="S43" s="8">
        <f t="shared" si="15"/>
        <v>20</v>
      </c>
      <c r="T43" s="8">
        <f t="shared" si="16"/>
        <v>20</v>
      </c>
      <c r="V43" s="19">
        <v>850</v>
      </c>
      <c r="W43" s="8">
        <f t="shared" si="3"/>
        <v>20</v>
      </c>
      <c r="X43" s="8">
        <f t="shared" si="12"/>
        <v>20</v>
      </c>
      <c r="Y43" s="8">
        <f t="shared" si="17"/>
        <v>30</v>
      </c>
      <c r="AB43" s="20">
        <v>850</v>
      </c>
      <c r="AC43" s="9">
        <f t="shared" si="18"/>
        <v>20</v>
      </c>
      <c r="AD43" s="9">
        <f t="shared" si="19"/>
        <v>20</v>
      </c>
      <c r="AE43" s="9">
        <f t="shared" si="20"/>
        <v>20</v>
      </c>
      <c r="AG43" s="20">
        <v>850</v>
      </c>
      <c r="AH43" s="9">
        <f t="shared" si="8"/>
        <v>20</v>
      </c>
      <c r="AI43" s="9">
        <f t="shared" si="13"/>
        <v>20</v>
      </c>
      <c r="AJ43" s="9">
        <f t="shared" si="9"/>
        <v>30</v>
      </c>
      <c r="AM43" s="21">
        <v>850</v>
      </c>
      <c r="AN43" s="10">
        <v>-10</v>
      </c>
      <c r="AO43" s="10">
        <v>10</v>
      </c>
      <c r="AP43" s="10">
        <f t="shared" si="21"/>
        <v>20</v>
      </c>
      <c r="AQ43" s="10">
        <f t="shared" si="22"/>
        <v>30</v>
      </c>
      <c r="AT43" s="12">
        <v>850</v>
      </c>
      <c r="AU43" s="83"/>
      <c r="AV43" s="82"/>
      <c r="AW43" s="69"/>
      <c r="AX43" s="69"/>
      <c r="AY43" s="69"/>
      <c r="AZ43" s="69"/>
    </row>
    <row r="44" spans="2:52" ht="16.5">
      <c r="B44" s="12">
        <v>900</v>
      </c>
      <c r="C44" s="73"/>
      <c r="D44" s="74"/>
      <c r="E44" s="73"/>
      <c r="F44" s="74"/>
      <c r="G44" s="73"/>
      <c r="H44" s="73"/>
      <c r="J44" s="12">
        <v>900</v>
      </c>
      <c r="K44" s="102"/>
      <c r="L44"/>
      <c r="M44"/>
      <c r="N44"/>
      <c r="Q44" s="19">
        <v>900</v>
      </c>
      <c r="R44" s="8">
        <f t="shared" si="14"/>
        <v>20</v>
      </c>
      <c r="S44" s="8">
        <f t="shared" si="15"/>
        <v>20</v>
      </c>
      <c r="T44" s="8">
        <f t="shared" si="16"/>
        <v>20</v>
      </c>
      <c r="V44" s="19">
        <v>900</v>
      </c>
      <c r="W44" s="8">
        <f t="shared" si="3"/>
        <v>20</v>
      </c>
      <c r="X44" s="8">
        <f t="shared" si="12"/>
        <v>20</v>
      </c>
      <c r="Y44" s="8">
        <f t="shared" si="17"/>
        <v>30</v>
      </c>
      <c r="AB44" s="20">
        <v>900</v>
      </c>
      <c r="AC44" s="9">
        <f t="shared" si="18"/>
        <v>20</v>
      </c>
      <c r="AD44" s="9">
        <f t="shared" si="19"/>
        <v>20</v>
      </c>
      <c r="AE44" s="9">
        <f t="shared" si="20"/>
        <v>20</v>
      </c>
      <c r="AG44" s="20">
        <v>900</v>
      </c>
      <c r="AH44" s="9">
        <f t="shared" si="8"/>
        <v>20</v>
      </c>
      <c r="AI44" s="9">
        <f t="shared" si="13"/>
        <v>20</v>
      </c>
      <c r="AJ44" s="9">
        <f t="shared" si="9"/>
        <v>30</v>
      </c>
      <c r="AM44" s="21">
        <v>900</v>
      </c>
      <c r="AN44" s="10">
        <v>-10</v>
      </c>
      <c r="AP44" s="10">
        <f t="shared" si="21"/>
        <v>20</v>
      </c>
      <c r="AQ44" s="10">
        <f t="shared" si="22"/>
        <v>30</v>
      </c>
      <c r="AT44" s="12">
        <v>900</v>
      </c>
      <c r="AU44" s="83"/>
      <c r="AV44" s="82"/>
      <c r="AW44" s="69"/>
      <c r="AX44" s="69"/>
      <c r="AY44" s="69"/>
      <c r="AZ44" s="69"/>
    </row>
    <row r="45" spans="2:52" ht="16.5">
      <c r="B45" s="12">
        <v>950</v>
      </c>
      <c r="C45" s="73"/>
      <c r="D45" s="74"/>
      <c r="E45" s="73"/>
      <c r="F45" s="74"/>
      <c r="G45" s="73"/>
      <c r="H45" s="73"/>
      <c r="J45" s="12">
        <v>950</v>
      </c>
      <c r="K45" s="102"/>
      <c r="L45"/>
      <c r="M45"/>
      <c r="N45"/>
      <c r="Q45" s="19">
        <v>950</v>
      </c>
      <c r="R45" s="8">
        <f t="shared" si="14"/>
        <v>20</v>
      </c>
      <c r="S45" s="8">
        <f t="shared" si="15"/>
        <v>20</v>
      </c>
      <c r="T45" s="8">
        <f t="shared" si="16"/>
        <v>20</v>
      </c>
      <c r="V45" s="19">
        <v>950</v>
      </c>
      <c r="W45" s="8">
        <f t="shared" si="3"/>
        <v>20</v>
      </c>
      <c r="X45" s="8">
        <f t="shared" si="12"/>
        <v>20</v>
      </c>
      <c r="Y45" s="8">
        <f t="shared" si="17"/>
        <v>30</v>
      </c>
      <c r="AB45" s="20">
        <v>950</v>
      </c>
      <c r="AC45" s="9">
        <f t="shared" si="18"/>
        <v>20</v>
      </c>
      <c r="AD45" s="9">
        <f t="shared" si="19"/>
        <v>20</v>
      </c>
      <c r="AE45" s="9">
        <f t="shared" si="20"/>
        <v>20</v>
      </c>
      <c r="AG45" s="20">
        <v>950</v>
      </c>
      <c r="AH45" s="9">
        <f t="shared" si="8"/>
        <v>20</v>
      </c>
      <c r="AI45" s="9">
        <f t="shared" si="13"/>
        <v>20</v>
      </c>
      <c r="AJ45" s="9">
        <f t="shared" si="9"/>
        <v>30</v>
      </c>
      <c r="AM45" s="21">
        <v>950</v>
      </c>
      <c r="AN45" s="10">
        <v>-10</v>
      </c>
      <c r="AP45" s="10">
        <f t="shared" si="21"/>
        <v>20</v>
      </c>
      <c r="AQ45" s="10">
        <f t="shared" si="22"/>
        <v>30</v>
      </c>
      <c r="AT45" s="12">
        <v>950</v>
      </c>
      <c r="AU45" s="83"/>
      <c r="AV45" s="82"/>
      <c r="AW45" s="69"/>
      <c r="AX45" s="69"/>
      <c r="AY45" s="69"/>
      <c r="AZ45" s="69"/>
    </row>
    <row r="46" spans="2:52" ht="16.5">
      <c r="B46" s="12">
        <v>1000</v>
      </c>
      <c r="C46" s="73"/>
      <c r="D46" s="74"/>
      <c r="E46" s="73"/>
      <c r="F46" s="74"/>
      <c r="G46" s="73"/>
      <c r="H46" s="73"/>
      <c r="J46" s="12">
        <v>1000</v>
      </c>
      <c r="K46" s="102"/>
      <c r="L46"/>
      <c r="M46"/>
      <c r="N46"/>
      <c r="Q46" s="19">
        <v>1000</v>
      </c>
      <c r="R46" s="8">
        <f t="shared" si="14"/>
        <v>20</v>
      </c>
      <c r="S46" s="8">
        <f t="shared" si="15"/>
        <v>20</v>
      </c>
      <c r="T46" s="8">
        <f t="shared" si="16"/>
        <v>20</v>
      </c>
      <c r="V46" s="19">
        <v>1000</v>
      </c>
      <c r="W46" s="8">
        <f t="shared" si="3"/>
        <v>20</v>
      </c>
      <c r="X46" s="8">
        <f t="shared" si="12"/>
        <v>20</v>
      </c>
      <c r="Y46" s="8">
        <f t="shared" si="17"/>
        <v>30</v>
      </c>
      <c r="AB46" s="20">
        <v>1000</v>
      </c>
      <c r="AC46" s="9">
        <f t="shared" si="18"/>
        <v>20</v>
      </c>
      <c r="AD46" s="9">
        <f t="shared" si="19"/>
        <v>20</v>
      </c>
      <c r="AE46" s="9">
        <f t="shared" si="20"/>
        <v>20</v>
      </c>
      <c r="AG46" s="20">
        <v>1000</v>
      </c>
      <c r="AH46" s="9">
        <f t="shared" si="8"/>
        <v>20</v>
      </c>
      <c r="AI46" s="9">
        <f t="shared" si="13"/>
        <v>20</v>
      </c>
      <c r="AJ46" s="9">
        <f t="shared" si="9"/>
        <v>30</v>
      </c>
      <c r="AM46" s="21">
        <v>1000</v>
      </c>
      <c r="AN46" s="10">
        <v>-10</v>
      </c>
      <c r="AO46" s="10">
        <v>10</v>
      </c>
      <c r="AP46" s="10">
        <f t="shared" si="21"/>
        <v>20</v>
      </c>
      <c r="AQ46" s="10">
        <f t="shared" si="22"/>
        <v>30</v>
      </c>
      <c r="AT46" s="12">
        <v>1000</v>
      </c>
      <c r="AU46" s="83"/>
      <c r="AV46" s="82"/>
      <c r="AW46" s="69"/>
      <c r="AX46" s="69"/>
      <c r="AY46" s="69"/>
      <c r="AZ46" s="69"/>
    </row>
    <row r="47" spans="2:52" ht="16.5">
      <c r="B47" s="12">
        <v>1060</v>
      </c>
      <c r="C47" s="73"/>
      <c r="D47" s="74"/>
      <c r="E47" s="73"/>
      <c r="F47" s="74"/>
      <c r="G47" s="73"/>
      <c r="H47" s="73"/>
      <c r="J47" s="12">
        <v>1060</v>
      </c>
      <c r="K47" s="102"/>
      <c r="L47"/>
      <c r="M47"/>
      <c r="N47"/>
      <c r="Q47" s="19">
        <v>1060</v>
      </c>
      <c r="R47" s="8">
        <f t="shared" si="14"/>
        <v>20</v>
      </c>
      <c r="S47" s="8">
        <f t="shared" si="15"/>
        <v>20</v>
      </c>
      <c r="T47" s="8">
        <f t="shared" si="16"/>
        <v>20</v>
      </c>
      <c r="V47" s="19">
        <v>1060</v>
      </c>
      <c r="W47" s="8">
        <f t="shared" si="3"/>
        <v>20</v>
      </c>
      <c r="X47" s="8">
        <f t="shared" si="12"/>
        <v>20</v>
      </c>
      <c r="Y47" s="8">
        <f t="shared" si="17"/>
        <v>30</v>
      </c>
      <c r="AB47" s="20">
        <v>1060</v>
      </c>
      <c r="AC47" s="9">
        <f t="shared" si="18"/>
        <v>20</v>
      </c>
      <c r="AD47" s="9">
        <f t="shared" si="19"/>
        <v>20</v>
      </c>
      <c r="AE47" s="9">
        <f t="shared" si="20"/>
        <v>20</v>
      </c>
      <c r="AG47" s="20">
        <v>1060</v>
      </c>
      <c r="AH47" s="9">
        <f t="shared" si="8"/>
        <v>20</v>
      </c>
      <c r="AI47" s="9">
        <f t="shared" si="13"/>
        <v>20</v>
      </c>
      <c r="AJ47" s="9">
        <f t="shared" si="9"/>
        <v>30</v>
      </c>
      <c r="AM47" s="21">
        <v>1060</v>
      </c>
      <c r="AN47" s="10">
        <v>-10</v>
      </c>
      <c r="AP47" s="10">
        <f t="shared" si="21"/>
        <v>20</v>
      </c>
      <c r="AQ47" s="10">
        <f t="shared" si="22"/>
        <v>30</v>
      </c>
      <c r="AT47" s="12">
        <v>1060</v>
      </c>
      <c r="AU47" s="83"/>
      <c r="AV47" s="82"/>
      <c r="AW47" s="69"/>
      <c r="AX47" s="69"/>
      <c r="AY47" s="69"/>
      <c r="AZ47" s="69"/>
    </row>
    <row r="48" spans="2:52" ht="16.5">
      <c r="B48" s="12">
        <v>1120</v>
      </c>
      <c r="C48" s="73"/>
      <c r="D48" s="74"/>
      <c r="E48" s="73"/>
      <c r="F48" s="74"/>
      <c r="G48" s="73"/>
      <c r="H48" s="73"/>
      <c r="J48" s="12">
        <v>1120</v>
      </c>
      <c r="K48" s="102"/>
      <c r="L48"/>
      <c r="M48"/>
      <c r="N48"/>
      <c r="Q48" s="19">
        <v>1120</v>
      </c>
      <c r="R48" s="8">
        <f t="shared" si="14"/>
        <v>20</v>
      </c>
      <c r="S48" s="8">
        <f t="shared" si="15"/>
        <v>20</v>
      </c>
      <c r="T48" s="8">
        <f t="shared" si="16"/>
        <v>20</v>
      </c>
      <c r="V48" s="19">
        <v>1120</v>
      </c>
      <c r="W48" s="8">
        <f t="shared" si="3"/>
        <v>20</v>
      </c>
      <c r="X48" s="8">
        <f t="shared" si="12"/>
        <v>20</v>
      </c>
      <c r="Y48" s="8">
        <f t="shared" si="17"/>
        <v>30</v>
      </c>
      <c r="AB48" s="20">
        <v>1120</v>
      </c>
      <c r="AC48" s="9">
        <f t="shared" si="18"/>
        <v>20</v>
      </c>
      <c r="AD48" s="9">
        <f t="shared" si="19"/>
        <v>20</v>
      </c>
      <c r="AE48" s="9">
        <f t="shared" si="20"/>
        <v>20</v>
      </c>
      <c r="AG48" s="20">
        <v>1120</v>
      </c>
      <c r="AH48" s="9">
        <f t="shared" si="8"/>
        <v>20</v>
      </c>
      <c r="AI48" s="9">
        <f t="shared" si="13"/>
        <v>20</v>
      </c>
      <c r="AJ48" s="9">
        <f t="shared" si="9"/>
        <v>30</v>
      </c>
      <c r="AM48" s="21">
        <v>1120</v>
      </c>
      <c r="AN48" s="10">
        <v>-10</v>
      </c>
      <c r="AP48" s="10">
        <f t="shared" si="21"/>
        <v>20</v>
      </c>
      <c r="AQ48" s="10">
        <f t="shared" si="22"/>
        <v>30</v>
      </c>
      <c r="AT48" s="12">
        <v>1120</v>
      </c>
      <c r="AU48" s="83"/>
      <c r="AV48" s="82"/>
      <c r="AW48" s="69"/>
      <c r="AX48" s="69"/>
      <c r="AY48" s="69"/>
      <c r="AZ48" s="69"/>
    </row>
    <row r="49" spans="2:52" ht="16.5">
      <c r="B49" s="12">
        <v>1180</v>
      </c>
      <c r="C49" s="73"/>
      <c r="D49" s="74"/>
      <c r="E49" s="73"/>
      <c r="F49" s="74"/>
      <c r="G49" s="73"/>
      <c r="H49" s="73"/>
      <c r="J49" s="12">
        <v>1180</v>
      </c>
      <c r="K49" s="102"/>
      <c r="L49"/>
      <c r="M49"/>
      <c r="N49"/>
      <c r="Q49" s="19">
        <v>1180</v>
      </c>
      <c r="R49" s="8">
        <f t="shared" si="14"/>
        <v>20</v>
      </c>
      <c r="S49" s="8">
        <f t="shared" si="15"/>
        <v>20</v>
      </c>
      <c r="T49" s="8">
        <f t="shared" si="16"/>
        <v>20</v>
      </c>
      <c r="V49" s="19">
        <v>1180</v>
      </c>
      <c r="W49" s="8">
        <f t="shared" si="3"/>
        <v>20</v>
      </c>
      <c r="X49" s="8">
        <f t="shared" si="12"/>
        <v>20</v>
      </c>
      <c r="Y49" s="8">
        <f t="shared" si="17"/>
        <v>30</v>
      </c>
      <c r="AB49" s="20">
        <v>1180</v>
      </c>
      <c r="AC49" s="9">
        <f t="shared" si="18"/>
        <v>20</v>
      </c>
      <c r="AD49" s="9">
        <f t="shared" si="19"/>
        <v>20</v>
      </c>
      <c r="AE49" s="9">
        <f t="shared" si="20"/>
        <v>20</v>
      </c>
      <c r="AG49" s="20">
        <v>1180</v>
      </c>
      <c r="AH49" s="9">
        <f t="shared" si="8"/>
        <v>20</v>
      </c>
      <c r="AI49" s="9">
        <f t="shared" si="13"/>
        <v>20</v>
      </c>
      <c r="AJ49" s="9">
        <f t="shared" si="9"/>
        <v>30</v>
      </c>
      <c r="AM49" s="21">
        <v>1180</v>
      </c>
      <c r="AN49" s="10">
        <v>-10</v>
      </c>
      <c r="AO49" s="10">
        <v>10</v>
      </c>
      <c r="AP49" s="10">
        <f t="shared" si="21"/>
        <v>20</v>
      </c>
      <c r="AQ49" s="10">
        <f t="shared" si="22"/>
        <v>30</v>
      </c>
      <c r="AT49" s="12">
        <v>1180</v>
      </c>
      <c r="AU49" s="83"/>
      <c r="AV49" s="82"/>
      <c r="AW49" s="69"/>
      <c r="AX49" s="69"/>
      <c r="AY49" s="69"/>
      <c r="AZ49" s="69"/>
    </row>
    <row r="50" spans="2:52" ht="16.5">
      <c r="B50" s="12">
        <v>1250</v>
      </c>
      <c r="C50" s="73"/>
      <c r="D50" s="74"/>
      <c r="E50" s="73"/>
      <c r="F50" s="74"/>
      <c r="G50" s="73"/>
      <c r="H50" s="73"/>
      <c r="J50" s="12">
        <v>1250</v>
      </c>
      <c r="K50" s="102"/>
      <c r="L50"/>
      <c r="M50"/>
      <c r="N50"/>
      <c r="Q50" s="19">
        <v>1250</v>
      </c>
      <c r="R50" s="8">
        <f t="shared" si="14"/>
        <v>20</v>
      </c>
      <c r="S50" s="8">
        <f t="shared" si="15"/>
        <v>20</v>
      </c>
      <c r="T50" s="8">
        <f t="shared" si="16"/>
        <v>20</v>
      </c>
      <c r="V50" s="19">
        <v>1250</v>
      </c>
      <c r="W50" s="8">
        <f t="shared" si="3"/>
        <v>20</v>
      </c>
      <c r="X50" s="8">
        <f t="shared" si="12"/>
        <v>20</v>
      </c>
      <c r="Y50" s="8">
        <f t="shared" si="17"/>
        <v>30</v>
      </c>
      <c r="AB50" s="20">
        <v>1250</v>
      </c>
      <c r="AC50" s="9">
        <f t="shared" si="18"/>
        <v>20</v>
      </c>
      <c r="AD50" s="9">
        <f t="shared" si="19"/>
        <v>20</v>
      </c>
      <c r="AE50" s="9">
        <f t="shared" si="20"/>
        <v>20</v>
      </c>
      <c r="AG50" s="20">
        <v>1250</v>
      </c>
      <c r="AH50" s="9">
        <f t="shared" si="8"/>
        <v>20</v>
      </c>
      <c r="AI50" s="9">
        <f t="shared" si="13"/>
        <v>20</v>
      </c>
      <c r="AJ50" s="9">
        <f t="shared" si="9"/>
        <v>30</v>
      </c>
      <c r="AM50" s="21">
        <v>1250</v>
      </c>
      <c r="AN50" s="10">
        <v>-10</v>
      </c>
      <c r="AP50" s="10">
        <f t="shared" si="21"/>
        <v>20</v>
      </c>
      <c r="AQ50" s="10">
        <f t="shared" si="22"/>
        <v>30</v>
      </c>
      <c r="AT50" s="12">
        <v>1250</v>
      </c>
      <c r="AU50" s="83"/>
      <c r="AV50" s="82"/>
      <c r="AW50" s="69"/>
      <c r="AX50" s="69"/>
      <c r="AY50" s="69"/>
      <c r="AZ50" s="69"/>
    </row>
    <row r="51" spans="2:52" ht="16.5">
      <c r="B51" s="12">
        <v>1320</v>
      </c>
      <c r="C51" s="73"/>
      <c r="D51" s="74"/>
      <c r="E51" s="73"/>
      <c r="F51" s="74"/>
      <c r="G51" s="73"/>
      <c r="H51" s="73"/>
      <c r="J51" s="12">
        <v>1320</v>
      </c>
      <c r="K51" s="102"/>
      <c r="L51"/>
      <c r="M51"/>
      <c r="N51"/>
      <c r="Q51" s="19">
        <v>1320</v>
      </c>
      <c r="R51" s="8">
        <f t="shared" si="14"/>
        <v>20</v>
      </c>
      <c r="S51" s="8">
        <f t="shared" si="15"/>
        <v>20</v>
      </c>
      <c r="T51" s="8">
        <f t="shared" si="16"/>
        <v>20</v>
      </c>
      <c r="V51" s="19">
        <v>1320</v>
      </c>
      <c r="W51" s="8">
        <f t="shared" si="3"/>
        <v>20</v>
      </c>
      <c r="X51" s="8">
        <f t="shared" si="12"/>
        <v>20</v>
      </c>
      <c r="Y51" s="8">
        <f t="shared" si="17"/>
        <v>30</v>
      </c>
      <c r="AB51" s="20">
        <v>1320</v>
      </c>
      <c r="AC51" s="9">
        <f t="shared" si="18"/>
        <v>20</v>
      </c>
      <c r="AD51" s="9">
        <f t="shared" si="19"/>
        <v>20</v>
      </c>
      <c r="AE51" s="9">
        <f t="shared" si="20"/>
        <v>20</v>
      </c>
      <c r="AG51" s="20">
        <v>1320</v>
      </c>
      <c r="AH51" s="9">
        <f t="shared" si="8"/>
        <v>20</v>
      </c>
      <c r="AI51" s="9">
        <f t="shared" si="13"/>
        <v>20</v>
      </c>
      <c r="AJ51" s="9">
        <f t="shared" si="9"/>
        <v>30</v>
      </c>
      <c r="AM51" s="21">
        <v>1320</v>
      </c>
      <c r="AN51" s="10">
        <v>-10</v>
      </c>
      <c r="AP51" s="10">
        <f t="shared" si="21"/>
        <v>20</v>
      </c>
      <c r="AQ51" s="10">
        <f t="shared" si="22"/>
        <v>30</v>
      </c>
      <c r="AT51" s="12">
        <v>1320</v>
      </c>
      <c r="AU51" s="83"/>
      <c r="AV51" s="82"/>
      <c r="AW51" s="69"/>
      <c r="AX51" s="69"/>
      <c r="AY51" s="69"/>
      <c r="AZ51" s="69"/>
    </row>
    <row r="52" spans="2:52" ht="16.5">
      <c r="B52" s="12">
        <v>1400</v>
      </c>
      <c r="C52" s="73"/>
      <c r="D52" s="74"/>
      <c r="E52" s="73"/>
      <c r="F52" s="74"/>
      <c r="G52" s="73"/>
      <c r="H52" s="73"/>
      <c r="J52" s="12">
        <v>1400</v>
      </c>
      <c r="K52" s="102"/>
      <c r="L52"/>
      <c r="M52"/>
      <c r="N52"/>
      <c r="Q52" s="19">
        <v>1400</v>
      </c>
      <c r="R52" s="8">
        <f t="shared" si="14"/>
        <v>20</v>
      </c>
      <c r="S52" s="8">
        <f t="shared" si="15"/>
        <v>20</v>
      </c>
      <c r="T52" s="8">
        <f t="shared" si="16"/>
        <v>20</v>
      </c>
      <c r="V52" s="19">
        <v>1400</v>
      </c>
      <c r="W52" s="8">
        <f t="shared" si="3"/>
        <v>20</v>
      </c>
      <c r="X52" s="8">
        <f t="shared" si="12"/>
        <v>20</v>
      </c>
      <c r="Y52" s="8">
        <f t="shared" si="17"/>
        <v>30</v>
      </c>
      <c r="AB52" s="20">
        <v>1400</v>
      </c>
      <c r="AC52" s="9">
        <f t="shared" si="18"/>
        <v>20</v>
      </c>
      <c r="AD52" s="9">
        <f t="shared" si="19"/>
        <v>20</v>
      </c>
      <c r="AE52" s="9">
        <f t="shared" si="20"/>
        <v>20</v>
      </c>
      <c r="AG52" s="20">
        <v>1400</v>
      </c>
      <c r="AH52" s="9">
        <f t="shared" si="8"/>
        <v>20</v>
      </c>
      <c r="AI52" s="9">
        <f t="shared" si="13"/>
        <v>20</v>
      </c>
      <c r="AJ52" s="9">
        <f t="shared" si="9"/>
        <v>30</v>
      </c>
      <c r="AM52" s="21">
        <v>1400</v>
      </c>
      <c r="AN52" s="10">
        <v>-10</v>
      </c>
      <c r="AO52" s="10">
        <v>10</v>
      </c>
      <c r="AP52" s="10">
        <f t="shared" si="21"/>
        <v>20</v>
      </c>
      <c r="AQ52" s="10">
        <f t="shared" si="22"/>
        <v>30</v>
      </c>
      <c r="AT52" s="12">
        <v>1400</v>
      </c>
      <c r="AU52" s="83"/>
      <c r="AV52" s="82"/>
      <c r="AW52" s="69"/>
      <c r="AX52" s="69"/>
      <c r="AY52" s="69"/>
      <c r="AZ52" s="69"/>
    </row>
    <row r="53" spans="2:52" ht="16.5">
      <c r="B53" s="12">
        <v>1500</v>
      </c>
      <c r="C53" s="73"/>
      <c r="D53" s="74"/>
      <c r="E53" s="73"/>
      <c r="F53" s="74"/>
      <c r="G53" s="73"/>
      <c r="H53" s="73"/>
      <c r="J53" s="12">
        <v>1500</v>
      </c>
      <c r="K53" s="102"/>
      <c r="L53"/>
      <c r="M53"/>
      <c r="N53"/>
      <c r="Q53" s="19">
        <v>1500</v>
      </c>
      <c r="R53" s="8">
        <f t="shared" si="14"/>
        <v>20</v>
      </c>
      <c r="S53" s="8">
        <f t="shared" si="15"/>
        <v>20</v>
      </c>
      <c r="T53" s="8">
        <f t="shared" si="16"/>
        <v>20</v>
      </c>
      <c r="V53" s="19">
        <v>1500</v>
      </c>
      <c r="W53" s="8">
        <f t="shared" si="3"/>
        <v>20</v>
      </c>
      <c r="X53" s="8">
        <f t="shared" si="12"/>
        <v>20</v>
      </c>
      <c r="Y53" s="8">
        <f t="shared" si="17"/>
        <v>30</v>
      </c>
      <c r="AB53" s="20">
        <v>1500</v>
      </c>
      <c r="AC53" s="9">
        <f t="shared" si="18"/>
        <v>20</v>
      </c>
      <c r="AD53" s="9">
        <f t="shared" si="19"/>
        <v>20</v>
      </c>
      <c r="AE53" s="9">
        <f t="shared" si="20"/>
        <v>20</v>
      </c>
      <c r="AG53" s="20">
        <v>1500</v>
      </c>
      <c r="AH53" s="9">
        <f t="shared" si="8"/>
        <v>20</v>
      </c>
      <c r="AI53" s="9">
        <f t="shared" si="13"/>
        <v>20</v>
      </c>
      <c r="AJ53" s="9">
        <f t="shared" si="9"/>
        <v>30</v>
      </c>
      <c r="AM53" s="21">
        <v>1500</v>
      </c>
      <c r="AN53" s="10">
        <v>-10</v>
      </c>
      <c r="AP53" s="10">
        <f t="shared" si="21"/>
        <v>20</v>
      </c>
      <c r="AQ53" s="10">
        <f t="shared" si="22"/>
        <v>30</v>
      </c>
      <c r="AT53" s="12">
        <v>1500</v>
      </c>
      <c r="AU53" s="83"/>
      <c r="AV53" s="82"/>
      <c r="AW53" s="69"/>
      <c r="AX53" s="69"/>
      <c r="AY53" s="69"/>
      <c r="AZ53" s="69"/>
    </row>
    <row r="54" spans="2:52" ht="16.5">
      <c r="B54" s="12">
        <v>1600</v>
      </c>
      <c r="C54" s="73"/>
      <c r="D54" s="74"/>
      <c r="E54" s="73"/>
      <c r="F54" s="74"/>
      <c r="G54" s="73"/>
      <c r="H54" s="73"/>
      <c r="J54" s="12">
        <v>1600</v>
      </c>
      <c r="K54" s="102"/>
      <c r="L54"/>
      <c r="M54"/>
      <c r="N54"/>
      <c r="Q54" s="19">
        <v>1600</v>
      </c>
      <c r="R54" s="8">
        <f t="shared" si="14"/>
        <v>20</v>
      </c>
      <c r="S54" s="8">
        <f t="shared" si="15"/>
        <v>20</v>
      </c>
      <c r="T54" s="8">
        <f t="shared" si="16"/>
        <v>20</v>
      </c>
      <c r="V54" s="19">
        <v>1600</v>
      </c>
      <c r="W54" s="8">
        <f t="shared" si="3"/>
        <v>20</v>
      </c>
      <c r="X54" s="8">
        <f t="shared" si="12"/>
        <v>20</v>
      </c>
      <c r="Y54" s="8">
        <f t="shared" si="17"/>
        <v>30</v>
      </c>
      <c r="AB54" s="20">
        <v>1600</v>
      </c>
      <c r="AC54" s="9">
        <f t="shared" si="18"/>
        <v>20</v>
      </c>
      <c r="AD54" s="9">
        <f t="shared" si="19"/>
        <v>20</v>
      </c>
      <c r="AE54" s="9">
        <f t="shared" si="20"/>
        <v>20</v>
      </c>
      <c r="AG54" s="20">
        <v>1600</v>
      </c>
      <c r="AH54" s="9">
        <f t="shared" si="8"/>
        <v>20</v>
      </c>
      <c r="AI54" s="9">
        <f t="shared" si="13"/>
        <v>20</v>
      </c>
      <c r="AJ54" s="9">
        <f t="shared" si="9"/>
        <v>30</v>
      </c>
      <c r="AM54" s="21">
        <v>1600</v>
      </c>
      <c r="AN54" s="10">
        <v>-10</v>
      </c>
      <c r="AP54" s="10">
        <f t="shared" si="21"/>
        <v>20</v>
      </c>
      <c r="AQ54" s="10">
        <f t="shared" si="22"/>
        <v>30</v>
      </c>
      <c r="AT54" s="12">
        <v>1600</v>
      </c>
      <c r="AU54" s="83"/>
      <c r="AV54" s="82"/>
      <c r="AW54" s="69"/>
      <c r="AX54" s="69"/>
      <c r="AY54" s="69"/>
      <c r="AZ54" s="69"/>
    </row>
    <row r="55" spans="2:52" ht="16.5">
      <c r="B55" s="12">
        <v>1700</v>
      </c>
      <c r="C55" s="73"/>
      <c r="D55" s="74"/>
      <c r="E55" s="73"/>
      <c r="F55" s="74"/>
      <c r="G55" s="73"/>
      <c r="H55" s="73"/>
      <c r="J55" s="12">
        <v>1700</v>
      </c>
      <c r="K55" s="102"/>
      <c r="L55"/>
      <c r="M55"/>
      <c r="N55"/>
      <c r="Q55" s="19">
        <v>1700</v>
      </c>
      <c r="R55" s="8">
        <f t="shared" si="14"/>
        <v>20</v>
      </c>
      <c r="S55" s="8">
        <f t="shared" si="15"/>
        <v>20</v>
      </c>
      <c r="T55" s="8">
        <f t="shared" si="16"/>
        <v>20</v>
      </c>
      <c r="V55" s="19">
        <v>1700</v>
      </c>
      <c r="W55" s="8">
        <f t="shared" si="3"/>
        <v>20</v>
      </c>
      <c r="X55" s="8">
        <f t="shared" si="12"/>
        <v>20</v>
      </c>
      <c r="Y55" s="8">
        <f t="shared" si="17"/>
        <v>30</v>
      </c>
      <c r="AB55" s="20">
        <v>1700</v>
      </c>
      <c r="AC55" s="9">
        <f t="shared" si="18"/>
        <v>20</v>
      </c>
      <c r="AD55" s="9">
        <f t="shared" si="19"/>
        <v>20</v>
      </c>
      <c r="AE55" s="9">
        <f t="shared" si="20"/>
        <v>20</v>
      </c>
      <c r="AG55" s="20">
        <v>1700</v>
      </c>
      <c r="AH55" s="9">
        <f t="shared" si="8"/>
        <v>20</v>
      </c>
      <c r="AI55" s="9">
        <f t="shared" si="13"/>
        <v>20</v>
      </c>
      <c r="AJ55" s="9">
        <f t="shared" si="9"/>
        <v>30</v>
      </c>
      <c r="AM55" s="21">
        <v>1700</v>
      </c>
      <c r="AN55" s="10">
        <v>-10</v>
      </c>
      <c r="AO55" s="10">
        <v>10</v>
      </c>
      <c r="AP55" s="10">
        <f t="shared" si="21"/>
        <v>20</v>
      </c>
      <c r="AQ55" s="10">
        <f t="shared" si="22"/>
        <v>30</v>
      </c>
      <c r="AT55" s="12">
        <v>1700</v>
      </c>
      <c r="AU55" s="83"/>
      <c r="AV55" s="82"/>
      <c r="AW55" s="69"/>
      <c r="AX55" s="69"/>
      <c r="AY55" s="69"/>
      <c r="AZ55" s="69"/>
    </row>
    <row r="56" spans="2:52" ht="16.5">
      <c r="B56" s="12">
        <v>1800</v>
      </c>
      <c r="C56" s="73"/>
      <c r="D56" s="74"/>
      <c r="E56" s="73"/>
      <c r="F56" s="74"/>
      <c r="G56" s="73"/>
      <c r="H56" s="73"/>
      <c r="J56" s="12">
        <v>1800</v>
      </c>
      <c r="K56" s="102"/>
      <c r="L56"/>
      <c r="M56"/>
      <c r="N56"/>
      <c r="Q56" s="19">
        <v>1800</v>
      </c>
      <c r="R56" s="8">
        <f t="shared" si="14"/>
        <v>20</v>
      </c>
      <c r="S56" s="8">
        <f t="shared" si="15"/>
        <v>20</v>
      </c>
      <c r="T56" s="8">
        <f t="shared" si="16"/>
        <v>20</v>
      </c>
      <c r="V56" s="19">
        <v>1800</v>
      </c>
      <c r="W56" s="8">
        <f t="shared" si="3"/>
        <v>20</v>
      </c>
      <c r="X56" s="8">
        <f t="shared" si="12"/>
        <v>20</v>
      </c>
      <c r="Y56" s="8">
        <f t="shared" si="17"/>
        <v>30</v>
      </c>
      <c r="AB56" s="20">
        <v>1800</v>
      </c>
      <c r="AC56" s="9">
        <f t="shared" si="18"/>
        <v>20</v>
      </c>
      <c r="AD56" s="9">
        <f t="shared" si="19"/>
        <v>20</v>
      </c>
      <c r="AE56" s="9">
        <f t="shared" si="20"/>
        <v>20</v>
      </c>
      <c r="AG56" s="20">
        <v>1800</v>
      </c>
      <c r="AH56" s="9">
        <f t="shared" si="8"/>
        <v>20</v>
      </c>
      <c r="AI56" s="9">
        <f t="shared" si="13"/>
        <v>20</v>
      </c>
      <c r="AJ56" s="9">
        <f t="shared" si="9"/>
        <v>30</v>
      </c>
      <c r="AM56" s="21">
        <v>1800</v>
      </c>
      <c r="AN56" s="10">
        <v>-10</v>
      </c>
      <c r="AP56" s="10">
        <f t="shared" si="21"/>
        <v>20</v>
      </c>
      <c r="AQ56" s="10">
        <f t="shared" si="22"/>
        <v>30</v>
      </c>
      <c r="AT56" s="12">
        <v>1800</v>
      </c>
      <c r="AU56" s="83"/>
      <c r="AV56" s="82"/>
      <c r="AW56" s="69"/>
      <c r="AX56" s="69"/>
      <c r="AY56" s="69"/>
      <c r="AZ56" s="69"/>
    </row>
    <row r="57" spans="2:52" ht="16.5">
      <c r="B57" s="12">
        <v>1900</v>
      </c>
      <c r="C57" s="73"/>
      <c r="D57" s="74"/>
      <c r="E57" s="73"/>
      <c r="F57" s="74"/>
      <c r="G57" s="73"/>
      <c r="H57" s="73"/>
      <c r="J57" s="12">
        <v>1900</v>
      </c>
      <c r="K57" s="102"/>
      <c r="L57"/>
      <c r="M57"/>
      <c r="N57"/>
      <c r="Q57" s="19">
        <v>1900</v>
      </c>
      <c r="R57" s="8">
        <f t="shared" si="14"/>
        <v>20</v>
      </c>
      <c r="S57" s="8">
        <f t="shared" si="15"/>
        <v>20</v>
      </c>
      <c r="T57" s="8">
        <f t="shared" si="16"/>
        <v>20</v>
      </c>
      <c r="V57" s="19">
        <v>1900</v>
      </c>
      <c r="W57" s="8">
        <f t="shared" si="3"/>
        <v>20</v>
      </c>
      <c r="X57" s="8">
        <f t="shared" si="12"/>
        <v>20</v>
      </c>
      <c r="Y57" s="8">
        <f t="shared" si="17"/>
        <v>30</v>
      </c>
      <c r="AB57" s="20">
        <v>1900</v>
      </c>
      <c r="AC57" s="9">
        <f t="shared" si="18"/>
        <v>20</v>
      </c>
      <c r="AD57" s="9">
        <f t="shared" si="19"/>
        <v>20</v>
      </c>
      <c r="AE57" s="9">
        <f t="shared" si="20"/>
        <v>20</v>
      </c>
      <c r="AG57" s="20">
        <v>1900</v>
      </c>
      <c r="AH57" s="9">
        <f t="shared" si="8"/>
        <v>20</v>
      </c>
      <c r="AI57" s="9">
        <f t="shared" si="13"/>
        <v>20</v>
      </c>
      <c r="AJ57" s="9">
        <f t="shared" si="9"/>
        <v>30</v>
      </c>
      <c r="AM57" s="21">
        <v>1900</v>
      </c>
      <c r="AN57" s="10">
        <v>-10</v>
      </c>
      <c r="AP57" s="10">
        <f t="shared" si="21"/>
        <v>20</v>
      </c>
      <c r="AQ57" s="10">
        <f t="shared" si="22"/>
        <v>30</v>
      </c>
      <c r="AT57" s="12">
        <v>1900</v>
      </c>
      <c r="AU57" s="83"/>
      <c r="AV57" s="82"/>
      <c r="AW57" s="69"/>
      <c r="AX57" s="69"/>
      <c r="AY57" s="69"/>
      <c r="AZ57" s="69"/>
    </row>
    <row r="58" spans="2:52" ht="16.5">
      <c r="B58" s="12">
        <v>2000</v>
      </c>
      <c r="C58" s="73"/>
      <c r="D58" s="74"/>
      <c r="E58" s="73"/>
      <c r="F58" s="74"/>
      <c r="G58" s="73"/>
      <c r="H58" s="73"/>
      <c r="J58" s="12">
        <v>2000</v>
      </c>
      <c r="K58" s="102"/>
      <c r="L58"/>
      <c r="M58"/>
      <c r="N58"/>
      <c r="Q58" s="19">
        <v>2000</v>
      </c>
      <c r="R58" s="8">
        <f t="shared" si="14"/>
        <v>20</v>
      </c>
      <c r="S58" s="8">
        <f t="shared" si="15"/>
        <v>20</v>
      </c>
      <c r="T58" s="8">
        <f t="shared" si="16"/>
        <v>20</v>
      </c>
      <c r="V58" s="19">
        <v>2000</v>
      </c>
      <c r="W58" s="8">
        <f t="shared" si="3"/>
        <v>20</v>
      </c>
      <c r="X58" s="8">
        <f t="shared" si="12"/>
        <v>20</v>
      </c>
      <c r="Y58" s="8">
        <f t="shared" si="17"/>
        <v>30</v>
      </c>
      <c r="AB58" s="20">
        <v>2000</v>
      </c>
      <c r="AC58" s="9">
        <f t="shared" si="18"/>
        <v>20</v>
      </c>
      <c r="AD58" s="9">
        <f t="shared" si="19"/>
        <v>20</v>
      </c>
      <c r="AE58" s="9">
        <f t="shared" si="20"/>
        <v>20</v>
      </c>
      <c r="AG58" s="20">
        <v>2000</v>
      </c>
      <c r="AH58" s="9">
        <f t="shared" si="8"/>
        <v>20</v>
      </c>
      <c r="AI58" s="9">
        <f t="shared" si="13"/>
        <v>20</v>
      </c>
      <c r="AJ58" s="9">
        <f t="shared" si="9"/>
        <v>30</v>
      </c>
      <c r="AM58" s="21">
        <v>2000</v>
      </c>
      <c r="AN58" s="10">
        <v>-10</v>
      </c>
      <c r="AO58" s="10">
        <v>10</v>
      </c>
      <c r="AP58" s="10">
        <f t="shared" si="21"/>
        <v>20</v>
      </c>
      <c r="AQ58" s="10">
        <f t="shared" si="22"/>
        <v>30</v>
      </c>
      <c r="AT58" s="12">
        <v>2000</v>
      </c>
      <c r="AU58" s="83"/>
      <c r="AV58" s="82"/>
      <c r="AW58" s="69"/>
      <c r="AX58" s="69"/>
      <c r="AY58" s="69"/>
      <c r="AZ58" s="69"/>
    </row>
    <row r="59" spans="2:52" ht="16.5">
      <c r="B59" s="12">
        <v>2120</v>
      </c>
      <c r="C59" s="73"/>
      <c r="D59" s="74"/>
      <c r="E59" s="73"/>
      <c r="F59" s="74"/>
      <c r="G59" s="73"/>
      <c r="H59" s="73"/>
      <c r="J59" s="12">
        <v>2120</v>
      </c>
      <c r="K59" s="102"/>
      <c r="L59"/>
      <c r="M59"/>
      <c r="N59"/>
      <c r="Q59" s="19">
        <v>2120</v>
      </c>
      <c r="R59" s="8">
        <f t="shared" si="14"/>
        <v>20</v>
      </c>
      <c r="S59" s="8">
        <f t="shared" si="15"/>
        <v>20</v>
      </c>
      <c r="T59" s="8">
        <f t="shared" si="16"/>
        <v>20</v>
      </c>
      <c r="V59" s="19">
        <v>2120</v>
      </c>
      <c r="W59" s="8">
        <f t="shared" si="3"/>
        <v>20</v>
      </c>
      <c r="X59" s="8">
        <f t="shared" si="12"/>
        <v>20</v>
      </c>
      <c r="Y59" s="8">
        <f t="shared" si="17"/>
        <v>30</v>
      </c>
      <c r="AB59" s="20">
        <v>2120</v>
      </c>
      <c r="AC59" s="9">
        <f t="shared" si="18"/>
        <v>20</v>
      </c>
      <c r="AD59" s="9">
        <f t="shared" si="19"/>
        <v>20</v>
      </c>
      <c r="AE59" s="9">
        <f t="shared" si="20"/>
        <v>20</v>
      </c>
      <c r="AG59" s="20">
        <v>2120</v>
      </c>
      <c r="AH59" s="9">
        <f t="shared" si="8"/>
        <v>20</v>
      </c>
      <c r="AI59" s="9">
        <f t="shared" si="13"/>
        <v>20</v>
      </c>
      <c r="AJ59" s="9">
        <f t="shared" si="9"/>
        <v>30</v>
      </c>
      <c r="AM59" s="21">
        <v>2120</v>
      </c>
      <c r="AN59" s="10">
        <v>-10</v>
      </c>
      <c r="AP59" s="10">
        <f t="shared" si="21"/>
        <v>20</v>
      </c>
      <c r="AQ59" s="10">
        <f t="shared" si="22"/>
        <v>30</v>
      </c>
      <c r="AT59" s="12">
        <v>2120</v>
      </c>
      <c r="AU59" s="83"/>
      <c r="AV59" s="82"/>
      <c r="AW59" s="69"/>
      <c r="AX59" s="69"/>
      <c r="AY59" s="69"/>
      <c r="AZ59" s="69"/>
    </row>
    <row r="60" spans="2:52" ht="16.5">
      <c r="B60" s="12">
        <v>2240</v>
      </c>
      <c r="C60" s="73"/>
      <c r="D60" s="74"/>
      <c r="E60" s="73"/>
      <c r="F60" s="74"/>
      <c r="G60" s="73"/>
      <c r="H60" s="73"/>
      <c r="J60" s="12">
        <v>2240</v>
      </c>
      <c r="K60" s="102"/>
      <c r="L60"/>
      <c r="M60"/>
      <c r="N60"/>
      <c r="Q60" s="19">
        <v>2240</v>
      </c>
      <c r="R60" s="8">
        <f t="shared" si="14"/>
        <v>20</v>
      </c>
      <c r="S60" s="8">
        <f t="shared" si="15"/>
        <v>20</v>
      </c>
      <c r="T60" s="8">
        <f t="shared" si="16"/>
        <v>20</v>
      </c>
      <c r="V60" s="19">
        <v>2240</v>
      </c>
      <c r="W60" s="8">
        <f t="shared" si="3"/>
        <v>20</v>
      </c>
      <c r="X60" s="8">
        <f t="shared" si="12"/>
        <v>20</v>
      </c>
      <c r="Y60" s="8">
        <f t="shared" si="17"/>
        <v>30</v>
      </c>
      <c r="AB60" s="20">
        <v>2240</v>
      </c>
      <c r="AC60" s="9">
        <f t="shared" si="18"/>
        <v>20</v>
      </c>
      <c r="AD60" s="9">
        <f t="shared" si="19"/>
        <v>20</v>
      </c>
      <c r="AE60" s="9">
        <f t="shared" si="20"/>
        <v>20</v>
      </c>
      <c r="AG60" s="20">
        <v>2240</v>
      </c>
      <c r="AH60" s="9">
        <f t="shared" si="8"/>
        <v>20</v>
      </c>
      <c r="AI60" s="9">
        <f t="shared" si="13"/>
        <v>20</v>
      </c>
      <c r="AJ60" s="9">
        <f t="shared" si="9"/>
        <v>30</v>
      </c>
      <c r="AM60" s="21">
        <v>2240</v>
      </c>
      <c r="AN60" s="10">
        <v>-10</v>
      </c>
      <c r="AP60" s="10">
        <f t="shared" si="21"/>
        <v>20</v>
      </c>
      <c r="AQ60" s="10">
        <f t="shared" si="22"/>
        <v>30</v>
      </c>
      <c r="AT60" s="12">
        <v>2240</v>
      </c>
      <c r="AU60" s="83"/>
      <c r="AV60" s="82"/>
      <c r="AW60" s="69"/>
      <c r="AX60" s="69"/>
      <c r="AY60" s="69"/>
      <c r="AZ60" s="69"/>
    </row>
    <row r="61" spans="2:52" ht="16.5">
      <c r="B61" s="12">
        <v>2360</v>
      </c>
      <c r="C61" s="73"/>
      <c r="D61" s="74"/>
      <c r="E61" s="73"/>
      <c r="F61" s="74"/>
      <c r="G61" s="73"/>
      <c r="H61" s="73"/>
      <c r="J61" s="12">
        <v>2360</v>
      </c>
      <c r="K61" s="102"/>
      <c r="L61"/>
      <c r="M61"/>
      <c r="N61"/>
      <c r="Q61" s="19">
        <v>2360</v>
      </c>
      <c r="R61" s="8">
        <f t="shared" si="14"/>
        <v>20</v>
      </c>
      <c r="S61" s="8">
        <f t="shared" si="15"/>
        <v>20</v>
      </c>
      <c r="T61" s="8">
        <f t="shared" si="16"/>
        <v>20</v>
      </c>
      <c r="V61" s="19">
        <v>2360</v>
      </c>
      <c r="W61" s="8">
        <f t="shared" si="3"/>
        <v>20</v>
      </c>
      <c r="X61" s="8">
        <f t="shared" si="12"/>
        <v>20</v>
      </c>
      <c r="Y61" s="8">
        <f t="shared" si="17"/>
        <v>30</v>
      </c>
      <c r="AB61" s="20">
        <v>2360</v>
      </c>
      <c r="AC61" s="9">
        <f t="shared" si="18"/>
        <v>20</v>
      </c>
      <c r="AD61" s="9">
        <f t="shared" si="19"/>
        <v>20</v>
      </c>
      <c r="AE61" s="9">
        <f t="shared" si="20"/>
        <v>20</v>
      </c>
      <c r="AG61" s="20">
        <v>2360</v>
      </c>
      <c r="AH61" s="9">
        <f t="shared" si="8"/>
        <v>20</v>
      </c>
      <c r="AI61" s="9">
        <f t="shared" si="13"/>
        <v>20</v>
      </c>
      <c r="AJ61" s="9">
        <f t="shared" si="9"/>
        <v>30</v>
      </c>
      <c r="AM61" s="21">
        <v>2360</v>
      </c>
      <c r="AN61" s="10">
        <v>-10</v>
      </c>
      <c r="AO61" s="10">
        <v>10</v>
      </c>
      <c r="AP61" s="10">
        <f t="shared" si="21"/>
        <v>20</v>
      </c>
      <c r="AQ61" s="10">
        <f t="shared" si="22"/>
        <v>30</v>
      </c>
      <c r="AT61" s="12">
        <v>2360</v>
      </c>
      <c r="AU61" s="83"/>
      <c r="AV61" s="82"/>
      <c r="AW61" s="69"/>
      <c r="AX61" s="69"/>
      <c r="AY61" s="69"/>
      <c r="AZ61" s="69"/>
    </row>
    <row r="62" spans="2:52" ht="16.5">
      <c r="B62" s="12">
        <v>2500</v>
      </c>
      <c r="C62" s="73"/>
      <c r="D62" s="74"/>
      <c r="E62" s="73"/>
      <c r="F62" s="74"/>
      <c r="G62" s="73"/>
      <c r="H62" s="73"/>
      <c r="J62" s="12">
        <v>2500</v>
      </c>
      <c r="K62" s="102"/>
      <c r="L62"/>
      <c r="M62"/>
      <c r="N62"/>
      <c r="Q62" s="19">
        <v>2500</v>
      </c>
      <c r="R62" s="8">
        <f t="shared" si="14"/>
        <v>20</v>
      </c>
      <c r="S62" s="8">
        <f t="shared" si="15"/>
        <v>20</v>
      </c>
      <c r="T62" s="8">
        <f t="shared" si="16"/>
        <v>20</v>
      </c>
      <c r="V62" s="19">
        <v>2500</v>
      </c>
      <c r="W62" s="8">
        <f t="shared" si="3"/>
        <v>20</v>
      </c>
      <c r="X62" s="8">
        <f t="shared" si="12"/>
        <v>20</v>
      </c>
      <c r="Y62" s="8">
        <f t="shared" si="17"/>
        <v>30</v>
      </c>
      <c r="AB62" s="20">
        <v>2500</v>
      </c>
      <c r="AC62" s="9">
        <f t="shared" si="18"/>
        <v>20</v>
      </c>
      <c r="AD62" s="9">
        <f t="shared" si="19"/>
        <v>20</v>
      </c>
      <c r="AE62" s="9">
        <f t="shared" si="20"/>
        <v>20</v>
      </c>
      <c r="AG62" s="20">
        <v>2500</v>
      </c>
      <c r="AH62" s="9">
        <f t="shared" si="8"/>
        <v>20</v>
      </c>
      <c r="AI62" s="9">
        <f t="shared" si="13"/>
        <v>20</v>
      </c>
      <c r="AJ62" s="9">
        <f t="shared" si="9"/>
        <v>30</v>
      </c>
      <c r="AM62" s="21">
        <v>2500</v>
      </c>
      <c r="AN62" s="10">
        <v>-10</v>
      </c>
      <c r="AP62" s="10">
        <f t="shared" si="21"/>
        <v>20</v>
      </c>
      <c r="AQ62" s="10">
        <f t="shared" si="22"/>
        <v>30</v>
      </c>
      <c r="AT62" s="12">
        <v>2500</v>
      </c>
      <c r="AU62" s="83"/>
      <c r="AV62" s="82"/>
      <c r="AW62" s="69"/>
      <c r="AX62" s="69"/>
      <c r="AY62" s="69"/>
      <c r="AZ62" s="69"/>
    </row>
    <row r="63" spans="2:52" ht="16.5">
      <c r="B63" s="12">
        <v>2650</v>
      </c>
      <c r="C63" s="73"/>
      <c r="D63" s="74"/>
      <c r="E63" s="73"/>
      <c r="F63" s="74"/>
      <c r="G63" s="73"/>
      <c r="H63" s="73"/>
      <c r="J63" s="12">
        <v>2650</v>
      </c>
      <c r="K63" s="102"/>
      <c r="L63"/>
      <c r="M63"/>
      <c r="N63"/>
      <c r="Q63" s="19">
        <v>2650</v>
      </c>
      <c r="R63" s="8">
        <f t="shared" si="14"/>
        <v>20</v>
      </c>
      <c r="S63" s="8">
        <f t="shared" si="15"/>
        <v>20</v>
      </c>
      <c r="T63" s="8">
        <f t="shared" si="16"/>
        <v>20</v>
      </c>
      <c r="V63" s="19">
        <v>2650</v>
      </c>
      <c r="W63" s="8">
        <f t="shared" si="3"/>
        <v>20</v>
      </c>
      <c r="X63" s="8">
        <f t="shared" si="12"/>
        <v>20</v>
      </c>
      <c r="Y63" s="8">
        <f t="shared" si="17"/>
        <v>30</v>
      </c>
      <c r="AB63" s="20">
        <v>2650</v>
      </c>
      <c r="AC63" s="9">
        <f t="shared" si="18"/>
        <v>20</v>
      </c>
      <c r="AD63" s="9">
        <f t="shared" si="19"/>
        <v>20</v>
      </c>
      <c r="AE63" s="9">
        <f t="shared" si="20"/>
        <v>20</v>
      </c>
      <c r="AG63" s="20">
        <v>2650</v>
      </c>
      <c r="AH63" s="9">
        <f t="shared" si="8"/>
        <v>20</v>
      </c>
      <c r="AI63" s="9">
        <f t="shared" si="13"/>
        <v>20</v>
      </c>
      <c r="AJ63" s="9">
        <f t="shared" si="9"/>
        <v>30</v>
      </c>
      <c r="AM63" s="21">
        <v>2650</v>
      </c>
      <c r="AN63" s="10">
        <v>-10</v>
      </c>
      <c r="AP63" s="10">
        <f t="shared" si="21"/>
        <v>20</v>
      </c>
      <c r="AQ63" s="10">
        <f t="shared" si="22"/>
        <v>30</v>
      </c>
      <c r="AT63" s="12">
        <v>2650</v>
      </c>
      <c r="AU63" s="83"/>
      <c r="AV63" s="82"/>
      <c r="AW63" s="69"/>
      <c r="AX63" s="69"/>
      <c r="AY63" s="69"/>
      <c r="AZ63" s="69"/>
    </row>
    <row r="64" spans="2:52" ht="16.5">
      <c r="B64" s="12">
        <v>2800</v>
      </c>
      <c r="C64" s="73"/>
      <c r="D64" s="74"/>
      <c r="E64" s="73"/>
      <c r="F64" s="74"/>
      <c r="G64" s="73"/>
      <c r="H64" s="73"/>
      <c r="J64" s="12">
        <v>2800</v>
      </c>
      <c r="K64" s="102"/>
      <c r="L64"/>
      <c r="M64"/>
      <c r="N64"/>
      <c r="Q64" s="19">
        <v>2800</v>
      </c>
      <c r="R64" s="8">
        <f t="shared" si="14"/>
        <v>20</v>
      </c>
      <c r="S64" s="8">
        <f t="shared" si="15"/>
        <v>20</v>
      </c>
      <c r="T64" s="8">
        <f t="shared" si="16"/>
        <v>20</v>
      </c>
      <c r="V64" s="19">
        <v>2800</v>
      </c>
      <c r="W64" s="8">
        <f t="shared" si="3"/>
        <v>20</v>
      </c>
      <c r="X64" s="8">
        <f t="shared" si="12"/>
        <v>20</v>
      </c>
      <c r="Y64" s="8">
        <f t="shared" si="17"/>
        <v>30</v>
      </c>
      <c r="AB64" s="20">
        <v>2800</v>
      </c>
      <c r="AC64" s="9">
        <f t="shared" si="18"/>
        <v>20</v>
      </c>
      <c r="AD64" s="9">
        <f t="shared" si="19"/>
        <v>20</v>
      </c>
      <c r="AE64" s="9">
        <f t="shared" si="20"/>
        <v>20</v>
      </c>
      <c r="AG64" s="20">
        <v>2800</v>
      </c>
      <c r="AH64" s="9">
        <f t="shared" si="8"/>
        <v>20</v>
      </c>
      <c r="AI64" s="9">
        <f t="shared" si="13"/>
        <v>20</v>
      </c>
      <c r="AJ64" s="9">
        <f t="shared" si="9"/>
        <v>30</v>
      </c>
      <c r="AM64" s="21">
        <v>2800</v>
      </c>
      <c r="AN64" s="10">
        <v>-10</v>
      </c>
      <c r="AO64" s="10">
        <v>10</v>
      </c>
      <c r="AP64" s="10">
        <f t="shared" si="21"/>
        <v>20</v>
      </c>
      <c r="AQ64" s="10">
        <f t="shared" si="22"/>
        <v>30</v>
      </c>
      <c r="AT64" s="12">
        <v>2800</v>
      </c>
      <c r="AU64" s="83"/>
      <c r="AV64" s="82"/>
      <c r="AW64" s="69"/>
      <c r="AX64" s="69"/>
      <c r="AY64" s="69"/>
      <c r="AZ64" s="69"/>
    </row>
    <row r="65" spans="2:52" ht="16.5">
      <c r="B65" s="12">
        <v>3000</v>
      </c>
      <c r="C65" s="73"/>
      <c r="D65" s="74"/>
      <c r="E65" s="73"/>
      <c r="F65" s="74"/>
      <c r="G65" s="73"/>
      <c r="H65" s="73"/>
      <c r="J65" s="12">
        <v>3000</v>
      </c>
      <c r="K65" s="102"/>
      <c r="L65"/>
      <c r="M65"/>
      <c r="N65"/>
      <c r="Q65" s="19">
        <v>3000</v>
      </c>
      <c r="R65" s="8">
        <f t="shared" si="14"/>
        <v>20</v>
      </c>
      <c r="S65" s="8">
        <f t="shared" si="15"/>
        <v>20</v>
      </c>
      <c r="T65" s="8">
        <f t="shared" si="16"/>
        <v>20</v>
      </c>
      <c r="V65" s="19">
        <v>3000</v>
      </c>
      <c r="W65" s="8">
        <f t="shared" si="3"/>
        <v>20</v>
      </c>
      <c r="X65" s="8">
        <f t="shared" si="12"/>
        <v>20</v>
      </c>
      <c r="Y65" s="8">
        <f t="shared" si="17"/>
        <v>30</v>
      </c>
      <c r="AB65" s="20">
        <v>3000</v>
      </c>
      <c r="AC65" s="9">
        <f t="shared" si="18"/>
        <v>20</v>
      </c>
      <c r="AD65" s="9">
        <f t="shared" si="19"/>
        <v>20</v>
      </c>
      <c r="AE65" s="9">
        <f t="shared" si="20"/>
        <v>20</v>
      </c>
      <c r="AG65" s="20">
        <v>3000</v>
      </c>
      <c r="AH65" s="9">
        <f t="shared" si="8"/>
        <v>20</v>
      </c>
      <c r="AI65" s="9">
        <f t="shared" si="13"/>
        <v>20</v>
      </c>
      <c r="AJ65" s="9">
        <f t="shared" si="9"/>
        <v>30</v>
      </c>
      <c r="AM65" s="21">
        <v>3000</v>
      </c>
      <c r="AN65" s="10">
        <v>-10</v>
      </c>
      <c r="AP65" s="10">
        <f t="shared" si="21"/>
        <v>20</v>
      </c>
      <c r="AQ65" s="10">
        <f t="shared" si="22"/>
        <v>30</v>
      </c>
      <c r="AT65" s="12">
        <v>3000</v>
      </c>
      <c r="AU65" s="83"/>
      <c r="AV65" s="82"/>
      <c r="AW65" s="69"/>
      <c r="AX65" s="69"/>
      <c r="AY65" s="69"/>
      <c r="AZ65" s="69"/>
    </row>
    <row r="66" spans="2:52" ht="16.5">
      <c r="B66" s="12">
        <v>3150</v>
      </c>
      <c r="C66" s="73"/>
      <c r="D66" s="74"/>
      <c r="E66" s="73"/>
      <c r="F66" s="74"/>
      <c r="G66" s="73"/>
      <c r="H66" s="73"/>
      <c r="J66" s="12">
        <v>3150</v>
      </c>
      <c r="K66" s="102"/>
      <c r="L66"/>
      <c r="M66"/>
      <c r="N66"/>
      <c r="Q66" s="19">
        <v>3150</v>
      </c>
      <c r="R66" s="8">
        <f t="shared" si="14"/>
        <v>20</v>
      </c>
      <c r="S66" s="8">
        <f t="shared" si="15"/>
        <v>20</v>
      </c>
      <c r="T66" s="8">
        <f t="shared" si="16"/>
        <v>20</v>
      </c>
      <c r="V66" s="19">
        <v>3150</v>
      </c>
      <c r="W66" s="8">
        <f t="shared" si="3"/>
        <v>20</v>
      </c>
      <c r="X66" s="8">
        <f t="shared" si="12"/>
        <v>20</v>
      </c>
      <c r="Y66" s="8">
        <f t="shared" si="17"/>
        <v>30</v>
      </c>
      <c r="AB66" s="20">
        <v>3150</v>
      </c>
      <c r="AC66" s="9">
        <f t="shared" si="18"/>
        <v>20</v>
      </c>
      <c r="AD66" s="9">
        <f t="shared" si="19"/>
        <v>20</v>
      </c>
      <c r="AE66" s="9">
        <f t="shared" si="20"/>
        <v>20</v>
      </c>
      <c r="AG66" s="20">
        <v>3150</v>
      </c>
      <c r="AH66" s="9">
        <f t="shared" si="8"/>
        <v>20</v>
      </c>
      <c r="AI66" s="9">
        <f t="shared" si="13"/>
        <v>20</v>
      </c>
      <c r="AJ66" s="9">
        <f t="shared" si="9"/>
        <v>30</v>
      </c>
      <c r="AM66" s="21">
        <v>3150</v>
      </c>
      <c r="AN66" s="10">
        <v>-10</v>
      </c>
      <c r="AP66" s="10">
        <f t="shared" si="21"/>
        <v>20</v>
      </c>
      <c r="AQ66" s="10">
        <f t="shared" si="22"/>
        <v>30</v>
      </c>
      <c r="AT66" s="12">
        <v>3150</v>
      </c>
      <c r="AU66" s="83"/>
      <c r="AV66" s="82"/>
      <c r="AW66" s="69"/>
      <c r="AX66" s="69"/>
      <c r="AY66" s="69"/>
      <c r="AZ66" s="69"/>
    </row>
    <row r="67" spans="2:52" ht="16.5">
      <c r="B67" s="12">
        <v>3350</v>
      </c>
      <c r="C67" s="73"/>
      <c r="D67" s="74"/>
      <c r="E67" s="73"/>
      <c r="F67" s="74"/>
      <c r="G67" s="73"/>
      <c r="H67" s="73"/>
      <c r="J67" s="12">
        <v>3350</v>
      </c>
      <c r="K67" s="102"/>
      <c r="L67"/>
      <c r="M67"/>
      <c r="N67"/>
      <c r="Q67" s="19">
        <v>3350</v>
      </c>
      <c r="R67" s="8">
        <f t="shared" si="14"/>
        <v>20</v>
      </c>
      <c r="S67" s="8">
        <f t="shared" si="15"/>
        <v>20</v>
      </c>
      <c r="T67" s="8">
        <f t="shared" si="16"/>
        <v>20</v>
      </c>
      <c r="V67" s="19">
        <v>3350</v>
      </c>
      <c r="W67" s="8">
        <f t="shared" si="3"/>
        <v>20</v>
      </c>
      <c r="X67" s="8">
        <f t="shared" si="12"/>
        <v>20</v>
      </c>
      <c r="Y67" s="8">
        <f t="shared" si="17"/>
        <v>30</v>
      </c>
      <c r="AB67" s="20">
        <v>3350</v>
      </c>
      <c r="AC67" s="9">
        <f t="shared" si="18"/>
        <v>20</v>
      </c>
      <c r="AD67" s="9">
        <f t="shared" si="19"/>
        <v>20</v>
      </c>
      <c r="AE67" s="9">
        <f t="shared" si="20"/>
        <v>20</v>
      </c>
      <c r="AG67" s="20">
        <v>3350</v>
      </c>
      <c r="AH67" s="9">
        <f t="shared" si="8"/>
        <v>20</v>
      </c>
      <c r="AI67" s="9">
        <f t="shared" si="13"/>
        <v>20</v>
      </c>
      <c r="AJ67" s="9">
        <f t="shared" si="9"/>
        <v>30</v>
      </c>
      <c r="AM67" s="21">
        <v>3350</v>
      </c>
      <c r="AN67" s="10">
        <v>-10</v>
      </c>
      <c r="AO67" s="10">
        <v>10</v>
      </c>
      <c r="AP67" s="10">
        <f t="shared" si="21"/>
        <v>20</v>
      </c>
      <c r="AQ67" s="10">
        <f t="shared" si="22"/>
        <v>30</v>
      </c>
      <c r="AT67" s="12">
        <v>3350</v>
      </c>
      <c r="AU67" s="83"/>
      <c r="AV67" s="82"/>
      <c r="AW67" s="69"/>
      <c r="AX67" s="69"/>
      <c r="AY67" s="69"/>
      <c r="AZ67" s="69"/>
    </row>
    <row r="68" spans="2:52" ht="16.5">
      <c r="B68" s="12">
        <v>3550</v>
      </c>
      <c r="C68" s="73"/>
      <c r="D68" s="74"/>
      <c r="E68" s="73"/>
      <c r="F68" s="74"/>
      <c r="G68" s="73"/>
      <c r="H68" s="73"/>
      <c r="J68" s="12">
        <v>3550</v>
      </c>
      <c r="K68" s="102"/>
      <c r="L68"/>
      <c r="M68"/>
      <c r="N68"/>
      <c r="Q68" s="19">
        <v>3550</v>
      </c>
      <c r="R68" s="8">
        <f t="shared" si="14"/>
        <v>20</v>
      </c>
      <c r="S68" s="8">
        <f t="shared" si="15"/>
        <v>20</v>
      </c>
      <c r="T68" s="8">
        <f t="shared" si="16"/>
        <v>20</v>
      </c>
      <c r="V68" s="19">
        <v>3550</v>
      </c>
      <c r="W68" s="8">
        <f t="shared" si="3"/>
        <v>20</v>
      </c>
      <c r="X68" s="8">
        <f t="shared" si="12"/>
        <v>20</v>
      </c>
      <c r="Y68" s="8">
        <f t="shared" si="17"/>
        <v>30</v>
      </c>
      <c r="AB68" s="20">
        <v>3550</v>
      </c>
      <c r="AC68" s="9">
        <f t="shared" si="18"/>
        <v>20</v>
      </c>
      <c r="AD68" s="9">
        <f t="shared" si="19"/>
        <v>20</v>
      </c>
      <c r="AE68" s="9">
        <f t="shared" si="20"/>
        <v>20</v>
      </c>
      <c r="AG68" s="20">
        <v>3550</v>
      </c>
      <c r="AH68" s="9">
        <f t="shared" si="8"/>
        <v>20</v>
      </c>
      <c r="AI68" s="9">
        <f t="shared" si="13"/>
        <v>20</v>
      </c>
      <c r="AJ68" s="9">
        <f t="shared" si="9"/>
        <v>30</v>
      </c>
      <c r="AM68" s="21">
        <v>3550</v>
      </c>
      <c r="AN68" s="10">
        <v>-10</v>
      </c>
      <c r="AP68" s="10">
        <f t="shared" si="21"/>
        <v>20</v>
      </c>
      <c r="AQ68" s="10">
        <f t="shared" si="22"/>
        <v>30</v>
      </c>
      <c r="AT68" s="12">
        <v>3550</v>
      </c>
      <c r="AU68" s="83"/>
      <c r="AV68" s="82"/>
      <c r="AW68" s="69"/>
      <c r="AX68" s="69"/>
      <c r="AY68" s="69"/>
      <c r="AZ68" s="69"/>
    </row>
    <row r="69" spans="2:52" ht="16.5">
      <c r="B69" s="12">
        <v>3750</v>
      </c>
      <c r="C69" s="73"/>
      <c r="D69" s="74"/>
      <c r="E69" s="73"/>
      <c r="F69" s="74"/>
      <c r="G69" s="73"/>
      <c r="H69" s="73"/>
      <c r="J69" s="12">
        <v>3750</v>
      </c>
      <c r="K69" s="102"/>
      <c r="L69"/>
      <c r="M69"/>
      <c r="N69"/>
      <c r="Q69" s="19">
        <v>3750</v>
      </c>
      <c r="R69" s="8">
        <f t="shared" si="14"/>
        <v>20</v>
      </c>
      <c r="S69" s="8">
        <f t="shared" si="15"/>
        <v>20</v>
      </c>
      <c r="T69" s="8">
        <f t="shared" si="16"/>
        <v>20</v>
      </c>
      <c r="V69" s="19">
        <v>3750</v>
      </c>
      <c r="W69" s="8">
        <f t="shared" si="3"/>
        <v>20</v>
      </c>
      <c r="X69" s="8">
        <f t="shared" si="12"/>
        <v>20</v>
      </c>
      <c r="Y69" s="8">
        <f t="shared" si="17"/>
        <v>30</v>
      </c>
      <c r="AB69" s="20">
        <v>3750</v>
      </c>
      <c r="AC69" s="9">
        <f t="shared" si="18"/>
        <v>20</v>
      </c>
      <c r="AD69" s="9">
        <f t="shared" si="19"/>
        <v>20</v>
      </c>
      <c r="AE69" s="9">
        <f t="shared" si="20"/>
        <v>20</v>
      </c>
      <c r="AG69" s="20">
        <v>3750</v>
      </c>
      <c r="AH69" s="9">
        <f t="shared" si="8"/>
        <v>20</v>
      </c>
      <c r="AI69" s="9">
        <f t="shared" si="13"/>
        <v>20</v>
      </c>
      <c r="AJ69" s="9">
        <f t="shared" si="9"/>
        <v>30</v>
      </c>
      <c r="AM69" s="21">
        <v>3750</v>
      </c>
      <c r="AN69" s="10">
        <v>-10</v>
      </c>
      <c r="AP69" s="10">
        <f t="shared" si="21"/>
        <v>20</v>
      </c>
      <c r="AQ69" s="10">
        <f t="shared" si="22"/>
        <v>30</v>
      </c>
      <c r="AT69" s="12">
        <v>3750</v>
      </c>
      <c r="AU69" s="83"/>
      <c r="AV69" s="82"/>
      <c r="AW69" s="69"/>
      <c r="AX69" s="69"/>
      <c r="AY69" s="69"/>
      <c r="AZ69" s="69"/>
    </row>
    <row r="70" spans="2:52" ht="16.5">
      <c r="B70" s="12">
        <v>4000</v>
      </c>
      <c r="C70" s="73"/>
      <c r="D70" s="74"/>
      <c r="E70" s="73"/>
      <c r="F70" s="74"/>
      <c r="G70" s="73"/>
      <c r="H70" s="73"/>
      <c r="J70" s="12">
        <v>4000</v>
      </c>
      <c r="K70" s="102"/>
      <c r="L70"/>
      <c r="M70"/>
      <c r="N70"/>
      <c r="Q70" s="19">
        <v>4000</v>
      </c>
      <c r="R70" s="8">
        <f t="shared" si="14"/>
        <v>20</v>
      </c>
      <c r="S70" s="8">
        <f t="shared" si="15"/>
        <v>20</v>
      </c>
      <c r="T70" s="8">
        <f t="shared" si="16"/>
        <v>20</v>
      </c>
      <c r="V70" s="19">
        <v>4000</v>
      </c>
      <c r="W70" s="8">
        <f t="shared" ref="W70:W86" si="23">+AVERAGE(R70:T70)</f>
        <v>20</v>
      </c>
      <c r="X70" s="8">
        <f t="shared" si="12"/>
        <v>20</v>
      </c>
      <c r="Y70" s="8">
        <f t="shared" ref="Y70:Y86" si="24">+X70-$AN70</f>
        <v>30</v>
      </c>
      <c r="AB70" s="20">
        <v>4000</v>
      </c>
      <c r="AC70" s="9">
        <f t="shared" si="18"/>
        <v>20</v>
      </c>
      <c r="AD70" s="9">
        <f t="shared" si="19"/>
        <v>20</v>
      </c>
      <c r="AE70" s="9">
        <f t="shared" si="20"/>
        <v>20</v>
      </c>
      <c r="AG70" s="20">
        <v>4000</v>
      </c>
      <c r="AH70" s="9">
        <f t="shared" ref="AH70:AH86" si="25">+AVERAGE(AC70:AE70)</f>
        <v>20</v>
      </c>
      <c r="AI70" s="9">
        <f t="shared" si="13"/>
        <v>20</v>
      </c>
      <c r="AJ70" s="9">
        <f t="shared" ref="AJ70:AJ86" si="26">+AI70-$AN70</f>
        <v>30</v>
      </c>
      <c r="AM70" s="21">
        <v>4000</v>
      </c>
      <c r="AN70" s="10">
        <v>-10</v>
      </c>
      <c r="AO70" s="10">
        <v>10</v>
      </c>
      <c r="AP70" s="10">
        <f t="shared" ref="AP70:AP86" si="27">+AVERAGE(AI70,X70)</f>
        <v>20</v>
      </c>
      <c r="AQ70" s="10">
        <f t="shared" ref="AQ70:AQ86" si="28">+AP70-AN70</f>
        <v>30</v>
      </c>
      <c r="AT70" s="12">
        <v>4000</v>
      </c>
      <c r="AU70" s="83"/>
      <c r="AV70" s="82"/>
      <c r="AW70" s="69"/>
      <c r="AX70" s="69"/>
      <c r="AY70" s="69"/>
      <c r="AZ70" s="69"/>
    </row>
    <row r="71" spans="2:52" ht="16.5">
      <c r="B71" s="12">
        <v>4250</v>
      </c>
      <c r="C71" s="73"/>
      <c r="D71" s="74"/>
      <c r="E71" s="73"/>
      <c r="F71" s="74"/>
      <c r="G71" s="73"/>
      <c r="H71" s="73"/>
      <c r="J71" s="12">
        <v>4250</v>
      </c>
      <c r="K71" s="102"/>
      <c r="L71"/>
      <c r="M71"/>
      <c r="N71"/>
      <c r="Q71" s="19">
        <v>4250</v>
      </c>
      <c r="R71" s="8">
        <f t="shared" ref="R71:T86" si="29">+$K71+20-C71</f>
        <v>20</v>
      </c>
      <c r="S71" s="8">
        <f t="shared" si="29"/>
        <v>20</v>
      </c>
      <c r="T71" s="8">
        <f t="shared" si="29"/>
        <v>20</v>
      </c>
      <c r="V71" s="19">
        <v>4250</v>
      </c>
      <c r="W71" s="8">
        <f t="shared" si="23"/>
        <v>20</v>
      </c>
      <c r="X71" s="8">
        <f t="shared" ref="X71:X86" si="30">+K71+20</f>
        <v>20</v>
      </c>
      <c r="Y71" s="8">
        <f t="shared" si="24"/>
        <v>30</v>
      </c>
      <c r="AB71" s="20">
        <v>4250</v>
      </c>
      <c r="AC71" s="9">
        <f t="shared" ref="AC71:AE86" si="31">+$L71+20-F71</f>
        <v>20</v>
      </c>
      <c r="AD71" s="9">
        <f t="shared" si="31"/>
        <v>20</v>
      </c>
      <c r="AE71" s="9">
        <f t="shared" si="31"/>
        <v>20</v>
      </c>
      <c r="AG71" s="20">
        <v>4250</v>
      </c>
      <c r="AH71" s="9">
        <f t="shared" si="25"/>
        <v>20</v>
      </c>
      <c r="AI71" s="9">
        <f t="shared" ref="AI71:AI86" si="32">+L71+20</f>
        <v>20</v>
      </c>
      <c r="AJ71" s="9">
        <f t="shared" si="26"/>
        <v>30</v>
      </c>
      <c r="AM71" s="21">
        <v>4250</v>
      </c>
      <c r="AN71" s="10">
        <v>-10</v>
      </c>
      <c r="AP71" s="10">
        <f t="shared" si="27"/>
        <v>20</v>
      </c>
      <c r="AQ71" s="10">
        <f t="shared" si="28"/>
        <v>30</v>
      </c>
      <c r="AT71" s="12">
        <v>4250</v>
      </c>
      <c r="AU71" s="83"/>
      <c r="AV71" s="82"/>
      <c r="AW71" s="69"/>
      <c r="AX71" s="69"/>
      <c r="AY71" s="69"/>
      <c r="AZ71" s="69"/>
    </row>
    <row r="72" spans="2:52" ht="16.5">
      <c r="B72" s="12">
        <v>4500</v>
      </c>
      <c r="C72" s="73"/>
      <c r="D72" s="74"/>
      <c r="E72" s="73"/>
      <c r="F72" s="74"/>
      <c r="G72" s="73"/>
      <c r="H72" s="73"/>
      <c r="J72" s="12">
        <v>4500</v>
      </c>
      <c r="K72" s="102"/>
      <c r="L72"/>
      <c r="M72"/>
      <c r="N72"/>
      <c r="Q72" s="19">
        <v>4500</v>
      </c>
      <c r="R72" s="8">
        <f t="shared" si="29"/>
        <v>20</v>
      </c>
      <c r="S72" s="8">
        <f t="shared" si="29"/>
        <v>20</v>
      </c>
      <c r="T72" s="8">
        <f t="shared" si="29"/>
        <v>20</v>
      </c>
      <c r="V72" s="19">
        <v>4500</v>
      </c>
      <c r="W72" s="8">
        <f t="shared" si="23"/>
        <v>20</v>
      </c>
      <c r="X72" s="8">
        <f t="shared" si="30"/>
        <v>20</v>
      </c>
      <c r="Y72" s="8">
        <f t="shared" si="24"/>
        <v>30</v>
      </c>
      <c r="AB72" s="20">
        <v>4500</v>
      </c>
      <c r="AC72" s="9">
        <f t="shared" si="31"/>
        <v>20</v>
      </c>
      <c r="AD72" s="9">
        <f t="shared" si="31"/>
        <v>20</v>
      </c>
      <c r="AE72" s="9">
        <f t="shared" si="31"/>
        <v>20</v>
      </c>
      <c r="AG72" s="20">
        <v>4500</v>
      </c>
      <c r="AH72" s="9">
        <f t="shared" si="25"/>
        <v>20</v>
      </c>
      <c r="AI72" s="9">
        <f t="shared" si="32"/>
        <v>20</v>
      </c>
      <c r="AJ72" s="9">
        <f t="shared" si="26"/>
        <v>30</v>
      </c>
      <c r="AM72" s="21">
        <v>4500</v>
      </c>
      <c r="AN72" s="10">
        <v>-10</v>
      </c>
      <c r="AP72" s="10">
        <f t="shared" si="27"/>
        <v>20</v>
      </c>
      <c r="AQ72" s="10">
        <f t="shared" si="28"/>
        <v>30</v>
      </c>
      <c r="AT72" s="12">
        <v>4500</v>
      </c>
      <c r="AU72" s="83"/>
      <c r="AV72" s="82"/>
      <c r="AW72" s="69"/>
      <c r="AX72" s="69"/>
      <c r="AY72" s="69"/>
      <c r="AZ72" s="69"/>
    </row>
    <row r="73" spans="2:52" ht="16.5">
      <c r="B73" s="12">
        <v>4750</v>
      </c>
      <c r="C73" s="73"/>
      <c r="D73" s="74"/>
      <c r="E73" s="73"/>
      <c r="F73" s="74"/>
      <c r="G73" s="73"/>
      <c r="H73" s="73"/>
      <c r="J73" s="12">
        <v>4750</v>
      </c>
      <c r="K73" s="102"/>
      <c r="L73"/>
      <c r="M73"/>
      <c r="N73"/>
      <c r="Q73" s="19">
        <v>4750</v>
      </c>
      <c r="R73" s="8">
        <f t="shared" si="29"/>
        <v>20</v>
      </c>
      <c r="S73" s="8">
        <f t="shared" si="29"/>
        <v>20</v>
      </c>
      <c r="T73" s="8">
        <f t="shared" si="29"/>
        <v>20</v>
      </c>
      <c r="V73" s="19">
        <v>4750</v>
      </c>
      <c r="W73" s="8">
        <f t="shared" si="23"/>
        <v>20</v>
      </c>
      <c r="X73" s="8">
        <f t="shared" si="30"/>
        <v>20</v>
      </c>
      <c r="Y73" s="8">
        <f t="shared" si="24"/>
        <v>30</v>
      </c>
      <c r="AB73" s="20">
        <v>4750</v>
      </c>
      <c r="AC73" s="9">
        <f t="shared" si="31"/>
        <v>20</v>
      </c>
      <c r="AD73" s="9">
        <f t="shared" si="31"/>
        <v>20</v>
      </c>
      <c r="AE73" s="9">
        <f t="shared" si="31"/>
        <v>20</v>
      </c>
      <c r="AG73" s="20">
        <v>4750</v>
      </c>
      <c r="AH73" s="9">
        <f t="shared" si="25"/>
        <v>20</v>
      </c>
      <c r="AI73" s="9">
        <f t="shared" si="32"/>
        <v>20</v>
      </c>
      <c r="AJ73" s="9">
        <f t="shared" si="26"/>
        <v>30</v>
      </c>
      <c r="AM73" s="21">
        <v>4750</v>
      </c>
      <c r="AN73" s="10">
        <v>-10</v>
      </c>
      <c r="AO73" s="10">
        <v>10</v>
      </c>
      <c r="AP73" s="10">
        <f t="shared" si="27"/>
        <v>20</v>
      </c>
      <c r="AQ73" s="10">
        <f t="shared" si="28"/>
        <v>30</v>
      </c>
      <c r="AT73" s="12">
        <v>4750</v>
      </c>
      <c r="AU73" s="83"/>
      <c r="AV73" s="82"/>
      <c r="AW73" s="69"/>
      <c r="AX73" s="69"/>
      <c r="AY73" s="69"/>
      <c r="AZ73" s="69"/>
    </row>
    <row r="74" spans="2:52" ht="16.5">
      <c r="B74" s="12">
        <v>5000</v>
      </c>
      <c r="C74" s="73"/>
      <c r="D74" s="74"/>
      <c r="E74" s="73"/>
      <c r="F74" s="74"/>
      <c r="G74" s="73"/>
      <c r="H74" s="73"/>
      <c r="J74" s="12">
        <v>5000</v>
      </c>
      <c r="K74" s="102"/>
      <c r="L74"/>
      <c r="M74"/>
      <c r="N74"/>
      <c r="Q74" s="19">
        <v>5000</v>
      </c>
      <c r="R74" s="8">
        <f t="shared" si="29"/>
        <v>20</v>
      </c>
      <c r="S74" s="8">
        <f t="shared" si="29"/>
        <v>20</v>
      </c>
      <c r="T74" s="8">
        <f t="shared" si="29"/>
        <v>20</v>
      </c>
      <c r="V74" s="19">
        <v>5000</v>
      </c>
      <c r="W74" s="8">
        <f t="shared" si="23"/>
        <v>20</v>
      </c>
      <c r="X74" s="8">
        <f t="shared" si="30"/>
        <v>20</v>
      </c>
      <c r="Y74" s="8">
        <f t="shared" si="24"/>
        <v>30</v>
      </c>
      <c r="AB74" s="20">
        <v>5000</v>
      </c>
      <c r="AC74" s="9">
        <f t="shared" si="31"/>
        <v>20</v>
      </c>
      <c r="AD74" s="9">
        <f t="shared" si="31"/>
        <v>20</v>
      </c>
      <c r="AE74" s="9">
        <f t="shared" si="31"/>
        <v>20</v>
      </c>
      <c r="AG74" s="20">
        <v>5000</v>
      </c>
      <c r="AH74" s="9">
        <f t="shared" si="25"/>
        <v>20</v>
      </c>
      <c r="AI74" s="9">
        <f t="shared" si="32"/>
        <v>20</v>
      </c>
      <c r="AJ74" s="9">
        <f t="shared" si="26"/>
        <v>30</v>
      </c>
      <c r="AM74" s="21">
        <v>5000</v>
      </c>
      <c r="AN74" s="10">
        <v>-10</v>
      </c>
      <c r="AP74" s="10">
        <f t="shared" si="27"/>
        <v>20</v>
      </c>
      <c r="AQ74" s="10">
        <f t="shared" si="28"/>
        <v>30</v>
      </c>
      <c r="AT74" s="12">
        <v>5000</v>
      </c>
      <c r="AU74" s="83"/>
      <c r="AV74" s="82"/>
      <c r="AW74" s="69"/>
      <c r="AX74" s="69"/>
      <c r="AY74" s="69"/>
      <c r="AZ74" s="69"/>
    </row>
    <row r="75" spans="2:52" ht="16.5">
      <c r="B75" s="12">
        <v>5300</v>
      </c>
      <c r="C75" s="73"/>
      <c r="D75" s="74"/>
      <c r="E75" s="73"/>
      <c r="F75" s="74"/>
      <c r="G75" s="73"/>
      <c r="H75" s="73"/>
      <c r="J75" s="12">
        <v>5300</v>
      </c>
      <c r="K75" s="102"/>
      <c r="L75"/>
      <c r="M75"/>
      <c r="N75"/>
      <c r="Q75" s="19">
        <v>5300</v>
      </c>
      <c r="R75" s="8">
        <f t="shared" si="29"/>
        <v>20</v>
      </c>
      <c r="S75" s="8">
        <f t="shared" si="29"/>
        <v>20</v>
      </c>
      <c r="T75" s="8">
        <f t="shared" si="29"/>
        <v>20</v>
      </c>
      <c r="V75" s="19">
        <v>5300</v>
      </c>
      <c r="W75" s="8">
        <f t="shared" si="23"/>
        <v>20</v>
      </c>
      <c r="X75" s="8">
        <f t="shared" si="30"/>
        <v>20</v>
      </c>
      <c r="Y75" s="8">
        <f t="shared" si="24"/>
        <v>30</v>
      </c>
      <c r="AB75" s="20">
        <v>5300</v>
      </c>
      <c r="AC75" s="9">
        <f t="shared" si="31"/>
        <v>20</v>
      </c>
      <c r="AD75" s="9">
        <f t="shared" si="31"/>
        <v>20</v>
      </c>
      <c r="AE75" s="9">
        <f t="shared" si="31"/>
        <v>20</v>
      </c>
      <c r="AG75" s="20">
        <v>5300</v>
      </c>
      <c r="AH75" s="9">
        <f t="shared" si="25"/>
        <v>20</v>
      </c>
      <c r="AI75" s="9">
        <f t="shared" si="32"/>
        <v>20</v>
      </c>
      <c r="AJ75" s="9">
        <f t="shared" si="26"/>
        <v>30</v>
      </c>
      <c r="AM75" s="21">
        <v>5300</v>
      </c>
      <c r="AN75" s="10">
        <v>-10</v>
      </c>
      <c r="AP75" s="10">
        <f t="shared" si="27"/>
        <v>20</v>
      </c>
      <c r="AQ75" s="10">
        <f t="shared" si="28"/>
        <v>30</v>
      </c>
      <c r="AT75" s="12">
        <v>5300</v>
      </c>
      <c r="AU75" s="83"/>
      <c r="AV75" s="82"/>
      <c r="AW75" s="69"/>
      <c r="AX75" s="69"/>
      <c r="AY75" s="69"/>
      <c r="AZ75" s="69"/>
    </row>
    <row r="76" spans="2:52" ht="16.5">
      <c r="B76" s="12">
        <v>5600</v>
      </c>
      <c r="C76" s="73"/>
      <c r="D76" s="74"/>
      <c r="E76" s="73"/>
      <c r="F76" s="74"/>
      <c r="G76" s="73"/>
      <c r="H76" s="73"/>
      <c r="J76" s="12">
        <v>5600</v>
      </c>
      <c r="K76" s="102"/>
      <c r="L76"/>
      <c r="M76"/>
      <c r="N76"/>
      <c r="Q76" s="19">
        <v>5600</v>
      </c>
      <c r="R76" s="8">
        <f t="shared" si="29"/>
        <v>20</v>
      </c>
      <c r="S76" s="8">
        <f t="shared" si="29"/>
        <v>20</v>
      </c>
      <c r="T76" s="8">
        <f t="shared" si="29"/>
        <v>20</v>
      </c>
      <c r="V76" s="19">
        <v>5600</v>
      </c>
      <c r="W76" s="8">
        <f t="shared" si="23"/>
        <v>20</v>
      </c>
      <c r="X76" s="8">
        <f t="shared" si="30"/>
        <v>20</v>
      </c>
      <c r="Y76" s="8">
        <f t="shared" si="24"/>
        <v>30</v>
      </c>
      <c r="AB76" s="20">
        <v>5600</v>
      </c>
      <c r="AC76" s="9">
        <f t="shared" si="31"/>
        <v>20</v>
      </c>
      <c r="AD76" s="9">
        <f t="shared" si="31"/>
        <v>20</v>
      </c>
      <c r="AE76" s="9">
        <f t="shared" si="31"/>
        <v>20</v>
      </c>
      <c r="AG76" s="20">
        <v>5600</v>
      </c>
      <c r="AH76" s="9">
        <f t="shared" si="25"/>
        <v>20</v>
      </c>
      <c r="AI76" s="9">
        <f t="shared" si="32"/>
        <v>20</v>
      </c>
      <c r="AJ76" s="9">
        <f t="shared" si="26"/>
        <v>30</v>
      </c>
      <c r="AM76" s="21">
        <v>5600</v>
      </c>
      <c r="AN76" s="10">
        <v>-10</v>
      </c>
      <c r="AO76" s="10">
        <v>10</v>
      </c>
      <c r="AP76" s="10">
        <f t="shared" si="27"/>
        <v>20</v>
      </c>
      <c r="AQ76" s="10">
        <f t="shared" si="28"/>
        <v>30</v>
      </c>
      <c r="AT76" s="12">
        <v>5600</v>
      </c>
      <c r="AU76" s="83"/>
      <c r="AV76" s="82"/>
      <c r="AW76" s="69"/>
      <c r="AX76" s="69"/>
      <c r="AY76" s="69"/>
      <c r="AZ76" s="69"/>
    </row>
    <row r="77" spans="2:52" ht="16.5">
      <c r="B77" s="12">
        <v>6000</v>
      </c>
      <c r="C77" s="73"/>
      <c r="D77" s="74"/>
      <c r="E77" s="73"/>
      <c r="F77" s="74"/>
      <c r="G77" s="73"/>
      <c r="H77" s="73"/>
      <c r="J77" s="12">
        <v>6000</v>
      </c>
      <c r="K77" s="102"/>
      <c r="L77"/>
      <c r="M77"/>
      <c r="N77"/>
      <c r="Q77" s="19">
        <v>6000</v>
      </c>
      <c r="R77" s="8">
        <f t="shared" si="29"/>
        <v>20</v>
      </c>
      <c r="S77" s="8">
        <f t="shared" si="29"/>
        <v>20</v>
      </c>
      <c r="T77" s="8">
        <f t="shared" si="29"/>
        <v>20</v>
      </c>
      <c r="V77" s="19">
        <v>6000</v>
      </c>
      <c r="W77" s="8">
        <f t="shared" si="23"/>
        <v>20</v>
      </c>
      <c r="X77" s="8">
        <f t="shared" si="30"/>
        <v>20</v>
      </c>
      <c r="Y77" s="8">
        <f t="shared" si="24"/>
        <v>30</v>
      </c>
      <c r="AB77" s="20">
        <v>6000</v>
      </c>
      <c r="AC77" s="9">
        <f t="shared" si="31"/>
        <v>20</v>
      </c>
      <c r="AD77" s="9">
        <f t="shared" si="31"/>
        <v>20</v>
      </c>
      <c r="AE77" s="9">
        <f t="shared" si="31"/>
        <v>20</v>
      </c>
      <c r="AG77" s="20">
        <v>6000</v>
      </c>
      <c r="AH77" s="9">
        <f t="shared" si="25"/>
        <v>20</v>
      </c>
      <c r="AI77" s="9">
        <f t="shared" si="32"/>
        <v>20</v>
      </c>
      <c r="AJ77" s="9">
        <f t="shared" si="26"/>
        <v>30</v>
      </c>
      <c r="AM77" s="21">
        <v>6000</v>
      </c>
      <c r="AN77" s="10">
        <v>-10</v>
      </c>
      <c r="AP77" s="10">
        <f t="shared" si="27"/>
        <v>20</v>
      </c>
      <c r="AQ77" s="10">
        <f t="shared" si="28"/>
        <v>30</v>
      </c>
      <c r="AT77" s="12">
        <v>6000</v>
      </c>
      <c r="AU77" s="83"/>
      <c r="AV77" s="82"/>
      <c r="AW77" s="69"/>
      <c r="AX77" s="69"/>
      <c r="AY77" s="69"/>
      <c r="AZ77" s="69"/>
    </row>
    <row r="78" spans="2:52" ht="16.5">
      <c r="B78" s="12">
        <v>6300</v>
      </c>
      <c r="C78" s="73"/>
      <c r="D78" s="74"/>
      <c r="E78" s="73"/>
      <c r="F78" s="74"/>
      <c r="G78" s="73"/>
      <c r="H78" s="73"/>
      <c r="J78" s="12">
        <v>6300</v>
      </c>
      <c r="K78" s="102"/>
      <c r="L78"/>
      <c r="M78"/>
      <c r="N78"/>
      <c r="Q78" s="19">
        <v>6300</v>
      </c>
      <c r="R78" s="8">
        <f t="shared" si="29"/>
        <v>20</v>
      </c>
      <c r="S78" s="8">
        <f t="shared" si="29"/>
        <v>20</v>
      </c>
      <c r="T78" s="8">
        <f t="shared" si="29"/>
        <v>20</v>
      </c>
      <c r="V78" s="19">
        <v>6300</v>
      </c>
      <c r="W78" s="8">
        <f t="shared" si="23"/>
        <v>20</v>
      </c>
      <c r="X78" s="8">
        <f t="shared" si="30"/>
        <v>20</v>
      </c>
      <c r="Y78" s="8">
        <f t="shared" si="24"/>
        <v>30</v>
      </c>
      <c r="AB78" s="20">
        <v>6300</v>
      </c>
      <c r="AC78" s="9">
        <f t="shared" si="31"/>
        <v>20</v>
      </c>
      <c r="AD78" s="9">
        <f t="shared" si="31"/>
        <v>20</v>
      </c>
      <c r="AE78" s="9">
        <f t="shared" si="31"/>
        <v>20</v>
      </c>
      <c r="AG78" s="20">
        <v>6300</v>
      </c>
      <c r="AH78" s="9">
        <f t="shared" si="25"/>
        <v>20</v>
      </c>
      <c r="AI78" s="9">
        <f t="shared" si="32"/>
        <v>20</v>
      </c>
      <c r="AJ78" s="9">
        <f t="shared" si="26"/>
        <v>30</v>
      </c>
      <c r="AM78" s="21">
        <v>6300</v>
      </c>
      <c r="AN78" s="10">
        <v>-10</v>
      </c>
      <c r="AP78" s="10">
        <f t="shared" si="27"/>
        <v>20</v>
      </c>
      <c r="AQ78" s="10">
        <f t="shared" si="28"/>
        <v>30</v>
      </c>
      <c r="AT78" s="12">
        <v>6300</v>
      </c>
      <c r="AU78" s="83"/>
      <c r="AV78" s="82"/>
      <c r="AW78" s="69"/>
      <c r="AX78" s="69"/>
      <c r="AY78" s="69"/>
      <c r="AZ78" s="69"/>
    </row>
    <row r="79" spans="2:52" ht="16.5">
      <c r="B79" s="12">
        <v>6700</v>
      </c>
      <c r="C79" s="73"/>
      <c r="D79" s="74"/>
      <c r="E79" s="73"/>
      <c r="F79" s="74"/>
      <c r="G79" s="73"/>
      <c r="H79" s="73"/>
      <c r="J79" s="12">
        <v>6700</v>
      </c>
      <c r="K79" s="102"/>
      <c r="L79"/>
      <c r="M79"/>
      <c r="N79"/>
      <c r="Q79" s="19">
        <v>6700</v>
      </c>
      <c r="R79" s="8">
        <f t="shared" si="29"/>
        <v>20</v>
      </c>
      <c r="S79" s="8">
        <f t="shared" si="29"/>
        <v>20</v>
      </c>
      <c r="T79" s="8">
        <f t="shared" si="29"/>
        <v>20</v>
      </c>
      <c r="V79" s="19">
        <v>6700</v>
      </c>
      <c r="W79" s="8">
        <f t="shared" si="23"/>
        <v>20</v>
      </c>
      <c r="X79" s="8">
        <f t="shared" si="30"/>
        <v>20</v>
      </c>
      <c r="Y79" s="8">
        <f t="shared" si="24"/>
        <v>30</v>
      </c>
      <c r="AB79" s="20">
        <v>6700</v>
      </c>
      <c r="AC79" s="9">
        <f t="shared" si="31"/>
        <v>20</v>
      </c>
      <c r="AD79" s="9">
        <f t="shared" si="31"/>
        <v>20</v>
      </c>
      <c r="AE79" s="9">
        <f t="shared" si="31"/>
        <v>20</v>
      </c>
      <c r="AG79" s="20">
        <v>6700</v>
      </c>
      <c r="AH79" s="9">
        <f t="shared" si="25"/>
        <v>20</v>
      </c>
      <c r="AI79" s="9">
        <f t="shared" si="32"/>
        <v>20</v>
      </c>
      <c r="AJ79" s="9">
        <f t="shared" si="26"/>
        <v>30</v>
      </c>
      <c r="AM79" s="21">
        <v>6700</v>
      </c>
      <c r="AN79" s="10">
        <v>-10</v>
      </c>
      <c r="AO79" s="10">
        <v>10</v>
      </c>
      <c r="AP79" s="10">
        <f t="shared" si="27"/>
        <v>20</v>
      </c>
      <c r="AQ79" s="10">
        <f t="shared" si="28"/>
        <v>30</v>
      </c>
      <c r="AT79" s="12">
        <v>6700</v>
      </c>
      <c r="AU79" s="83"/>
      <c r="AV79" s="82"/>
      <c r="AW79" s="69"/>
      <c r="AX79" s="69"/>
      <c r="AY79" s="69"/>
      <c r="AZ79" s="69"/>
    </row>
    <row r="80" spans="2:52" ht="16.5">
      <c r="B80" s="12">
        <v>7100</v>
      </c>
      <c r="C80" s="73"/>
      <c r="D80" s="74"/>
      <c r="E80" s="73"/>
      <c r="F80" s="74"/>
      <c r="G80" s="73"/>
      <c r="H80" s="73"/>
      <c r="J80" s="12">
        <v>7100</v>
      </c>
      <c r="K80" s="102"/>
      <c r="L80"/>
      <c r="M80"/>
      <c r="N80"/>
      <c r="Q80" s="19">
        <v>7100</v>
      </c>
      <c r="R80" s="8">
        <f t="shared" si="29"/>
        <v>20</v>
      </c>
      <c r="S80" s="8">
        <f t="shared" si="29"/>
        <v>20</v>
      </c>
      <c r="T80" s="8">
        <f t="shared" si="29"/>
        <v>20</v>
      </c>
      <c r="V80" s="19">
        <v>7100</v>
      </c>
      <c r="W80" s="8">
        <f t="shared" si="23"/>
        <v>20</v>
      </c>
      <c r="X80" s="8">
        <f t="shared" si="30"/>
        <v>20</v>
      </c>
      <c r="Y80" s="8">
        <f t="shared" si="24"/>
        <v>30</v>
      </c>
      <c r="AB80" s="20">
        <v>7100</v>
      </c>
      <c r="AC80" s="9">
        <f t="shared" si="31"/>
        <v>20</v>
      </c>
      <c r="AD80" s="9">
        <f t="shared" si="31"/>
        <v>20</v>
      </c>
      <c r="AE80" s="9">
        <f t="shared" si="31"/>
        <v>20</v>
      </c>
      <c r="AG80" s="20">
        <v>7100</v>
      </c>
      <c r="AH80" s="9">
        <f t="shared" si="25"/>
        <v>20</v>
      </c>
      <c r="AI80" s="9">
        <f t="shared" si="32"/>
        <v>20</v>
      </c>
      <c r="AJ80" s="9">
        <f t="shared" si="26"/>
        <v>30</v>
      </c>
      <c r="AM80" s="21">
        <v>7100</v>
      </c>
      <c r="AN80" s="10">
        <v>-10</v>
      </c>
      <c r="AP80" s="10">
        <f t="shared" si="27"/>
        <v>20</v>
      </c>
      <c r="AQ80" s="10">
        <f t="shared" si="28"/>
        <v>30</v>
      </c>
      <c r="AT80" s="12">
        <v>7100</v>
      </c>
      <c r="AU80" s="83"/>
      <c r="AV80" s="82"/>
      <c r="AW80" s="69"/>
      <c r="AX80" s="69"/>
      <c r="AY80" s="69"/>
      <c r="AZ80" s="69"/>
    </row>
    <row r="81" spans="2:80" ht="16.5">
      <c r="B81" s="12">
        <v>7500</v>
      </c>
      <c r="C81" s="73"/>
      <c r="D81" s="74"/>
      <c r="E81" s="73"/>
      <c r="F81" s="74"/>
      <c r="G81" s="73"/>
      <c r="H81" s="73"/>
      <c r="J81" s="12">
        <v>7500</v>
      </c>
      <c r="K81" s="102"/>
      <c r="L81"/>
      <c r="M81"/>
      <c r="N81"/>
      <c r="Q81" s="19">
        <v>7500</v>
      </c>
      <c r="R81" s="8">
        <f t="shared" si="29"/>
        <v>20</v>
      </c>
      <c r="S81" s="8">
        <f t="shared" si="29"/>
        <v>20</v>
      </c>
      <c r="T81" s="8">
        <f t="shared" si="29"/>
        <v>20</v>
      </c>
      <c r="V81" s="19">
        <v>7500</v>
      </c>
      <c r="W81" s="8">
        <f t="shared" si="23"/>
        <v>20</v>
      </c>
      <c r="X81" s="8">
        <f t="shared" si="30"/>
        <v>20</v>
      </c>
      <c r="Y81" s="8">
        <f t="shared" si="24"/>
        <v>30</v>
      </c>
      <c r="AB81" s="20">
        <v>7500</v>
      </c>
      <c r="AC81" s="9">
        <f t="shared" si="31"/>
        <v>20</v>
      </c>
      <c r="AD81" s="9">
        <f t="shared" si="31"/>
        <v>20</v>
      </c>
      <c r="AE81" s="9">
        <f t="shared" si="31"/>
        <v>20</v>
      </c>
      <c r="AG81" s="20">
        <v>7500</v>
      </c>
      <c r="AH81" s="9">
        <f t="shared" si="25"/>
        <v>20</v>
      </c>
      <c r="AI81" s="9">
        <f t="shared" si="32"/>
        <v>20</v>
      </c>
      <c r="AJ81" s="9">
        <f t="shared" si="26"/>
        <v>30</v>
      </c>
      <c r="AM81" s="21">
        <v>7500</v>
      </c>
      <c r="AN81" s="10">
        <v>-10</v>
      </c>
      <c r="AP81" s="10">
        <f t="shared" si="27"/>
        <v>20</v>
      </c>
      <c r="AQ81" s="10">
        <f t="shared" si="28"/>
        <v>30</v>
      </c>
      <c r="AT81" s="12">
        <v>7500</v>
      </c>
      <c r="AU81" s="83"/>
      <c r="AV81" s="82"/>
      <c r="AW81" s="69"/>
      <c r="AX81" s="69"/>
      <c r="AY81" s="69"/>
      <c r="AZ81" s="69"/>
    </row>
    <row r="82" spans="2:80" ht="16.5">
      <c r="B82" s="12">
        <v>8000</v>
      </c>
      <c r="C82" s="73"/>
      <c r="D82" s="74"/>
      <c r="E82" s="73"/>
      <c r="F82" s="74"/>
      <c r="G82" s="73"/>
      <c r="H82" s="73"/>
      <c r="J82" s="12">
        <v>8000</v>
      </c>
      <c r="K82" s="102"/>
      <c r="L82"/>
      <c r="M82"/>
      <c r="N82"/>
      <c r="Q82" s="19">
        <v>8000</v>
      </c>
      <c r="R82" s="8">
        <f t="shared" si="29"/>
        <v>20</v>
      </c>
      <c r="S82" s="8">
        <f t="shared" si="29"/>
        <v>20</v>
      </c>
      <c r="T82" s="8">
        <f t="shared" si="29"/>
        <v>20</v>
      </c>
      <c r="V82" s="19">
        <v>8000</v>
      </c>
      <c r="W82" s="8">
        <f t="shared" si="23"/>
        <v>20</v>
      </c>
      <c r="X82" s="8">
        <f t="shared" si="30"/>
        <v>20</v>
      </c>
      <c r="Y82" s="8">
        <f t="shared" si="24"/>
        <v>30</v>
      </c>
      <c r="AB82" s="20">
        <v>8000</v>
      </c>
      <c r="AC82" s="9">
        <f t="shared" si="31"/>
        <v>20</v>
      </c>
      <c r="AD82" s="9">
        <f t="shared" si="31"/>
        <v>20</v>
      </c>
      <c r="AE82" s="9">
        <f t="shared" si="31"/>
        <v>20</v>
      </c>
      <c r="AG82" s="20">
        <v>8000</v>
      </c>
      <c r="AH82" s="9">
        <f t="shared" si="25"/>
        <v>20</v>
      </c>
      <c r="AI82" s="9">
        <f t="shared" si="32"/>
        <v>20</v>
      </c>
      <c r="AJ82" s="9">
        <f t="shared" si="26"/>
        <v>30</v>
      </c>
      <c r="AM82" s="21">
        <v>8000</v>
      </c>
      <c r="AN82" s="10">
        <v>-10</v>
      </c>
      <c r="AO82" s="10">
        <v>10</v>
      </c>
      <c r="AP82" s="10">
        <f t="shared" si="27"/>
        <v>20</v>
      </c>
      <c r="AQ82" s="10">
        <f t="shared" si="28"/>
        <v>30</v>
      </c>
      <c r="AT82" s="12">
        <v>8000</v>
      </c>
      <c r="AU82" s="83"/>
      <c r="AV82" s="82"/>
      <c r="AW82" s="69"/>
      <c r="AX82" s="69"/>
      <c r="AY82" s="69"/>
      <c r="AZ82" s="69"/>
    </row>
    <row r="83" spans="2:80" ht="16.5">
      <c r="B83" s="12">
        <v>8500</v>
      </c>
      <c r="C83" s="73"/>
      <c r="D83" s="74"/>
      <c r="E83" s="73"/>
      <c r="F83" s="74"/>
      <c r="G83" s="73"/>
      <c r="H83" s="73"/>
      <c r="J83" s="12">
        <v>8500</v>
      </c>
      <c r="K83" s="102"/>
      <c r="L83"/>
      <c r="M83"/>
      <c r="N83"/>
      <c r="Q83" s="19">
        <v>8500</v>
      </c>
      <c r="R83" s="8">
        <f t="shared" si="29"/>
        <v>20</v>
      </c>
      <c r="S83" s="8">
        <f t="shared" si="29"/>
        <v>20</v>
      </c>
      <c r="T83" s="8">
        <f t="shared" si="29"/>
        <v>20</v>
      </c>
      <c r="V83" s="19">
        <v>8500</v>
      </c>
      <c r="W83" s="8">
        <f t="shared" si="23"/>
        <v>20</v>
      </c>
      <c r="X83" s="8">
        <f t="shared" si="30"/>
        <v>20</v>
      </c>
      <c r="Y83" s="8">
        <f t="shared" si="24"/>
        <v>30</v>
      </c>
      <c r="AB83" s="20">
        <v>8500</v>
      </c>
      <c r="AC83" s="9">
        <f t="shared" si="31"/>
        <v>20</v>
      </c>
      <c r="AD83" s="9">
        <f t="shared" si="31"/>
        <v>20</v>
      </c>
      <c r="AE83" s="9">
        <f t="shared" si="31"/>
        <v>20</v>
      </c>
      <c r="AG83" s="20">
        <v>8500</v>
      </c>
      <c r="AH83" s="9">
        <f t="shared" si="25"/>
        <v>20</v>
      </c>
      <c r="AI83" s="9">
        <f t="shared" si="32"/>
        <v>20</v>
      </c>
      <c r="AJ83" s="9">
        <f t="shared" si="26"/>
        <v>30</v>
      </c>
      <c r="AM83" s="21">
        <v>8500</v>
      </c>
      <c r="AN83" s="10">
        <v>-10</v>
      </c>
      <c r="AP83" s="10">
        <f t="shared" si="27"/>
        <v>20</v>
      </c>
      <c r="AQ83" s="10">
        <f t="shared" si="28"/>
        <v>30</v>
      </c>
      <c r="AT83" s="12">
        <v>8500</v>
      </c>
      <c r="AU83" s="83"/>
      <c r="AV83" s="82"/>
      <c r="AW83" s="69"/>
      <c r="AX83" s="69"/>
      <c r="AY83" s="69"/>
      <c r="AZ83" s="69"/>
    </row>
    <row r="84" spans="2:80" ht="16.5">
      <c r="B84" s="12">
        <v>9000</v>
      </c>
      <c r="C84" s="73"/>
      <c r="D84" s="74"/>
      <c r="E84" s="73"/>
      <c r="F84" s="74"/>
      <c r="G84" s="73"/>
      <c r="H84" s="73"/>
      <c r="J84" s="12">
        <v>9000</v>
      </c>
      <c r="K84" s="102"/>
      <c r="L84"/>
      <c r="M84"/>
      <c r="N84"/>
      <c r="Q84" s="19">
        <v>9000</v>
      </c>
      <c r="R84" s="8">
        <f t="shared" si="29"/>
        <v>20</v>
      </c>
      <c r="S84" s="8">
        <f t="shared" si="29"/>
        <v>20</v>
      </c>
      <c r="T84" s="8">
        <f t="shared" si="29"/>
        <v>20</v>
      </c>
      <c r="V84" s="19">
        <v>9000</v>
      </c>
      <c r="W84" s="8">
        <f t="shared" si="23"/>
        <v>20</v>
      </c>
      <c r="X84" s="8">
        <f t="shared" si="30"/>
        <v>20</v>
      </c>
      <c r="Y84" s="8">
        <f t="shared" si="24"/>
        <v>30</v>
      </c>
      <c r="AB84" s="20">
        <v>9000</v>
      </c>
      <c r="AC84" s="9">
        <f t="shared" si="31"/>
        <v>20</v>
      </c>
      <c r="AD84" s="9">
        <f t="shared" si="31"/>
        <v>20</v>
      </c>
      <c r="AE84" s="9">
        <f t="shared" si="31"/>
        <v>20</v>
      </c>
      <c r="AG84" s="20">
        <v>9000</v>
      </c>
      <c r="AH84" s="9">
        <f t="shared" si="25"/>
        <v>20</v>
      </c>
      <c r="AI84" s="9">
        <f t="shared" si="32"/>
        <v>20</v>
      </c>
      <c r="AJ84" s="9">
        <f t="shared" si="26"/>
        <v>30</v>
      </c>
      <c r="AM84" s="21">
        <v>9000</v>
      </c>
      <c r="AN84" s="10">
        <v>-10</v>
      </c>
      <c r="AP84" s="10">
        <f t="shared" si="27"/>
        <v>20</v>
      </c>
      <c r="AQ84" s="10">
        <f t="shared" si="28"/>
        <v>30</v>
      </c>
      <c r="AT84" s="12">
        <v>9000</v>
      </c>
      <c r="AU84" s="83"/>
      <c r="AV84" s="82"/>
      <c r="AW84" s="69"/>
      <c r="AX84" s="69"/>
      <c r="AY84" s="69"/>
      <c r="AZ84" s="69"/>
    </row>
    <row r="85" spans="2:80" ht="16.5">
      <c r="B85" s="12">
        <v>9500</v>
      </c>
      <c r="C85" s="73"/>
      <c r="D85" s="74"/>
      <c r="E85" s="73"/>
      <c r="F85" s="74"/>
      <c r="G85" s="73"/>
      <c r="H85" s="73"/>
      <c r="J85" s="12">
        <v>9500</v>
      </c>
      <c r="K85" s="102"/>
      <c r="L85"/>
      <c r="M85"/>
      <c r="N85"/>
      <c r="Q85" s="19">
        <v>9500</v>
      </c>
      <c r="R85" s="8">
        <f t="shared" si="29"/>
        <v>20</v>
      </c>
      <c r="S85" s="8">
        <f t="shared" si="29"/>
        <v>20</v>
      </c>
      <c r="T85" s="8">
        <f t="shared" si="29"/>
        <v>20</v>
      </c>
      <c r="V85" s="19">
        <v>9500</v>
      </c>
      <c r="W85" s="8">
        <f t="shared" si="23"/>
        <v>20</v>
      </c>
      <c r="X85" s="8">
        <f t="shared" si="30"/>
        <v>20</v>
      </c>
      <c r="Y85" s="8">
        <f t="shared" si="24"/>
        <v>30</v>
      </c>
      <c r="AB85" s="20">
        <v>9500</v>
      </c>
      <c r="AC85" s="9">
        <f t="shared" si="31"/>
        <v>20</v>
      </c>
      <c r="AD85" s="9">
        <f t="shared" si="31"/>
        <v>20</v>
      </c>
      <c r="AE85" s="9">
        <f t="shared" si="31"/>
        <v>20</v>
      </c>
      <c r="AG85" s="20">
        <v>9500</v>
      </c>
      <c r="AH85" s="9">
        <f t="shared" si="25"/>
        <v>20</v>
      </c>
      <c r="AI85" s="9">
        <f t="shared" si="32"/>
        <v>20</v>
      </c>
      <c r="AJ85" s="9">
        <f t="shared" si="26"/>
        <v>30</v>
      </c>
      <c r="AM85" s="21">
        <v>9500</v>
      </c>
      <c r="AN85" s="10">
        <v>-10</v>
      </c>
      <c r="AO85" s="10">
        <v>10</v>
      </c>
      <c r="AP85" s="10">
        <f t="shared" si="27"/>
        <v>20</v>
      </c>
      <c r="AQ85" s="10">
        <f t="shared" si="28"/>
        <v>30</v>
      </c>
      <c r="AT85" s="12">
        <v>9500</v>
      </c>
      <c r="AU85" s="83"/>
      <c r="AV85" s="82"/>
      <c r="AW85" s="69"/>
      <c r="AX85" s="69"/>
      <c r="AY85" s="69"/>
      <c r="AZ85" s="69"/>
    </row>
    <row r="86" spans="2:80" ht="16.5">
      <c r="B86" s="12">
        <v>10000</v>
      </c>
      <c r="C86" s="73"/>
      <c r="D86" s="74"/>
      <c r="E86" s="73"/>
      <c r="F86" s="74"/>
      <c r="G86" s="73"/>
      <c r="H86" s="73"/>
      <c r="J86" s="12">
        <v>10000</v>
      </c>
      <c r="K86" s="102"/>
      <c r="L86"/>
      <c r="M86"/>
      <c r="N86"/>
      <c r="Q86" s="19">
        <v>10000</v>
      </c>
      <c r="R86" s="8">
        <f t="shared" si="29"/>
        <v>20</v>
      </c>
      <c r="S86" s="8">
        <f t="shared" si="29"/>
        <v>20</v>
      </c>
      <c r="T86" s="8">
        <f t="shared" si="29"/>
        <v>20</v>
      </c>
      <c r="V86" s="19">
        <v>10000</v>
      </c>
      <c r="W86" s="8">
        <f t="shared" si="23"/>
        <v>20</v>
      </c>
      <c r="X86" s="8">
        <f t="shared" si="30"/>
        <v>20</v>
      </c>
      <c r="Y86" s="8">
        <f t="shared" si="24"/>
        <v>30</v>
      </c>
      <c r="AB86" s="20">
        <v>10000</v>
      </c>
      <c r="AC86" s="9">
        <f t="shared" si="31"/>
        <v>20</v>
      </c>
      <c r="AD86" s="9">
        <f t="shared" si="31"/>
        <v>20</v>
      </c>
      <c r="AE86" s="9">
        <f t="shared" si="31"/>
        <v>20</v>
      </c>
      <c r="AG86" s="20">
        <v>10000</v>
      </c>
      <c r="AH86" s="9">
        <f t="shared" si="25"/>
        <v>20</v>
      </c>
      <c r="AI86" s="9">
        <f t="shared" si="32"/>
        <v>20</v>
      </c>
      <c r="AJ86" s="9">
        <f t="shared" si="26"/>
        <v>30</v>
      </c>
      <c r="AM86" s="21">
        <v>10000</v>
      </c>
      <c r="AN86" s="10">
        <v>-10</v>
      </c>
      <c r="AP86" s="10">
        <f t="shared" si="27"/>
        <v>20</v>
      </c>
      <c r="AQ86" s="10">
        <f t="shared" si="28"/>
        <v>30</v>
      </c>
      <c r="AT86" s="12">
        <v>10000</v>
      </c>
      <c r="AU86" s="83"/>
      <c r="AV86" s="82"/>
      <c r="AW86" s="69"/>
      <c r="AX86" s="69"/>
      <c r="AY86" s="69"/>
      <c r="AZ86" s="69"/>
    </row>
    <row r="88" spans="2:80">
      <c r="C88" s="11">
        <f>MAX(C6:E86)</f>
        <v>0</v>
      </c>
      <c r="F88" s="11">
        <f>MAX(F6:H86)</f>
        <v>0</v>
      </c>
      <c r="K88" s="11" t="s">
        <v>158</v>
      </c>
      <c r="L88" s="11" t="s">
        <v>158</v>
      </c>
      <c r="AR88" s="10"/>
      <c r="AT88" s="16"/>
      <c r="AU88" s="11">
        <f>MAX(AU6:AW86)</f>
        <v>0</v>
      </c>
      <c r="AX88" s="11">
        <f>MAX(AX6:AZ86)</f>
        <v>0</v>
      </c>
      <c r="AY88" s="16"/>
      <c r="AZ88" s="16"/>
      <c r="CA88" s="16"/>
      <c r="CB88" s="16"/>
    </row>
    <row r="89" spans="2:80">
      <c r="K89" s="11">
        <v>10.342000000000001</v>
      </c>
      <c r="L89" s="11">
        <v>10.342000000000001</v>
      </c>
    </row>
    <row r="90" spans="2:80">
      <c r="K90" s="11">
        <v>9.8290000000000006</v>
      </c>
      <c r="L90" s="11">
        <v>9.8290000000000006</v>
      </c>
    </row>
    <row r="91" spans="2:80">
      <c r="K91" s="11">
        <v>6.633</v>
      </c>
      <c r="L91" s="11">
        <v>6.633</v>
      </c>
    </row>
    <row r="92" spans="2:80">
      <c r="K92" s="11">
        <v>9.5359999999999996</v>
      </c>
      <c r="L92" s="11">
        <v>9.5359999999999996</v>
      </c>
    </row>
    <row r="93" spans="2:80">
      <c r="K93" s="11">
        <v>4.532</v>
      </c>
      <c r="L93" s="11">
        <v>4.532</v>
      </c>
    </row>
    <row r="94" spans="2:80">
      <c r="K94" s="11">
        <v>18.309000000000001</v>
      </c>
      <c r="L94" s="11">
        <v>18.309000000000001</v>
      </c>
    </row>
    <row r="95" spans="2:80">
      <c r="K95" s="11">
        <v>31.39</v>
      </c>
      <c r="L95" s="11">
        <v>31.39</v>
      </c>
    </row>
    <row r="96" spans="2:80">
      <c r="K96" s="11">
        <v>32.64</v>
      </c>
      <c r="L96" s="11">
        <v>32.64</v>
      </c>
    </row>
    <row r="97" spans="11:12">
      <c r="K97" s="11">
        <v>31.39</v>
      </c>
      <c r="L97" s="11">
        <v>31.39</v>
      </c>
    </row>
    <row r="98" spans="11:12">
      <c r="K98" s="11">
        <v>19.603000000000002</v>
      </c>
      <c r="L98" s="11">
        <v>19.603000000000002</v>
      </c>
    </row>
    <row r="99" spans="11:12">
      <c r="K99" s="11">
        <v>11.798999999999999</v>
      </c>
      <c r="L99" s="11">
        <v>11.798999999999999</v>
      </c>
    </row>
    <row r="100" spans="11:12">
      <c r="K100" s="11">
        <v>11.694000000000001</v>
      </c>
      <c r="L100" s="11">
        <v>11.694000000000001</v>
      </c>
    </row>
    <row r="101" spans="11:12">
      <c r="K101" s="11">
        <v>10.423</v>
      </c>
      <c r="L101" s="11">
        <v>10.423</v>
      </c>
    </row>
    <row r="102" spans="11:12">
      <c r="K102" s="11">
        <v>12.367000000000001</v>
      </c>
      <c r="L102" s="11">
        <v>12.367000000000001</v>
      </c>
    </row>
    <row r="103" spans="11:12">
      <c r="K103" s="11">
        <v>13.75</v>
      </c>
      <c r="L103" s="11">
        <v>13.75</v>
      </c>
    </row>
    <row r="104" spans="11:12">
      <c r="K104" s="11">
        <v>21.7</v>
      </c>
      <c r="L104" s="11">
        <v>21.7</v>
      </c>
    </row>
    <row r="105" spans="11:12">
      <c r="K105" s="11">
        <v>24.72</v>
      </c>
      <c r="L105" s="11">
        <v>24.72</v>
      </c>
    </row>
    <row r="106" spans="11:12">
      <c r="K106" s="11">
        <v>20.582000000000001</v>
      </c>
      <c r="L106" s="11">
        <v>20.582000000000001</v>
      </c>
    </row>
    <row r="107" spans="11:12">
      <c r="K107" s="11">
        <v>14.268000000000001</v>
      </c>
      <c r="L107" s="11">
        <v>14.268000000000001</v>
      </c>
    </row>
    <row r="108" spans="11:12">
      <c r="K108" s="11">
        <v>14.525</v>
      </c>
      <c r="L108" s="11">
        <v>14.525</v>
      </c>
    </row>
    <row r="109" spans="11:12">
      <c r="K109" s="11">
        <v>17.561</v>
      </c>
      <c r="L109" s="11">
        <v>17.561</v>
      </c>
    </row>
    <row r="110" spans="11:12">
      <c r="K110" s="11">
        <v>22.279</v>
      </c>
      <c r="L110" s="11">
        <v>22.279</v>
      </c>
    </row>
    <row r="111" spans="11:12">
      <c r="K111" s="11">
        <v>21.853000000000002</v>
      </c>
      <c r="L111" s="11">
        <v>21.853000000000002</v>
      </c>
    </row>
    <row r="112" spans="11:12">
      <c r="K112" s="11">
        <v>21.834</v>
      </c>
      <c r="L112" s="11">
        <v>21.834</v>
      </c>
    </row>
    <row r="113" spans="11:12">
      <c r="K113" s="11">
        <v>17.331</v>
      </c>
      <c r="L113" s="11">
        <v>17.331</v>
      </c>
    </row>
    <row r="114" spans="11:12">
      <c r="K114" s="11">
        <v>20.786000000000001</v>
      </c>
      <c r="L114" s="11">
        <v>20.786000000000001</v>
      </c>
    </row>
    <row r="115" spans="11:12">
      <c r="K115" s="11">
        <v>21.367999999999999</v>
      </c>
      <c r="L115" s="11">
        <v>21.367999999999999</v>
      </c>
    </row>
    <row r="116" spans="11:12">
      <c r="K116" s="11">
        <v>21.495999999999999</v>
      </c>
      <c r="L116" s="11">
        <v>21.495999999999999</v>
      </c>
    </row>
    <row r="117" spans="11:12">
      <c r="K117" s="11">
        <v>22.587</v>
      </c>
      <c r="L117" s="11">
        <v>22.587</v>
      </c>
    </row>
    <row r="118" spans="11:12">
      <c r="K118" s="11">
        <v>22.43</v>
      </c>
      <c r="L118" s="11">
        <v>22.43</v>
      </c>
    </row>
    <row r="119" spans="11:12">
      <c r="K119" s="11">
        <v>22.425999999999998</v>
      </c>
      <c r="L119" s="11">
        <v>22.425999999999998</v>
      </c>
    </row>
    <row r="120" spans="11:12">
      <c r="K120" s="11">
        <v>24.353999999999999</v>
      </c>
      <c r="L120" s="11">
        <v>24.353999999999999</v>
      </c>
    </row>
    <row r="121" spans="11:12">
      <c r="K121" s="11">
        <v>23.481000000000002</v>
      </c>
      <c r="L121" s="11">
        <v>23.481000000000002</v>
      </c>
    </row>
    <row r="122" spans="11:12">
      <c r="K122" s="11">
        <v>23.49</v>
      </c>
      <c r="L122" s="11">
        <v>23.49</v>
      </c>
    </row>
    <row r="123" spans="11:12">
      <c r="K123" s="11">
        <v>23.257999999999999</v>
      </c>
      <c r="L123" s="11">
        <v>23.257999999999999</v>
      </c>
    </row>
    <row r="124" spans="11:12">
      <c r="K124" s="11">
        <v>22.204999999999998</v>
      </c>
      <c r="L124" s="11">
        <v>22.204999999999998</v>
      </c>
    </row>
    <row r="125" spans="11:12">
      <c r="K125" s="11">
        <v>22.6</v>
      </c>
      <c r="L125" s="11">
        <v>22.6</v>
      </c>
    </row>
    <row r="126" spans="11:12">
      <c r="K126" s="11">
        <v>23.547999999999998</v>
      </c>
      <c r="L126" s="11">
        <v>23.547999999999998</v>
      </c>
    </row>
    <row r="127" spans="11:12">
      <c r="K127" s="11">
        <v>24.155999999999999</v>
      </c>
      <c r="L127" s="11">
        <v>24.155999999999999</v>
      </c>
    </row>
    <row r="128" spans="11:12">
      <c r="K128" s="11">
        <v>24.844999999999999</v>
      </c>
      <c r="L128" s="11">
        <v>24.844999999999999</v>
      </c>
    </row>
    <row r="129" spans="11:12">
      <c r="K129" s="11">
        <v>24.887</v>
      </c>
      <c r="L129" s="11">
        <v>24.887</v>
      </c>
    </row>
    <row r="130" spans="11:12">
      <c r="K130" s="11">
        <v>24.97</v>
      </c>
      <c r="L130" s="11">
        <v>24.97</v>
      </c>
    </row>
    <row r="131" spans="11:12">
      <c r="K131" s="11">
        <v>24.934000000000001</v>
      </c>
      <c r="L131" s="11">
        <v>24.934000000000001</v>
      </c>
    </row>
    <row r="132" spans="11:12">
      <c r="K132" s="11">
        <v>24.98</v>
      </c>
      <c r="L132" s="11">
        <v>24.98</v>
      </c>
    </row>
    <row r="133" spans="11:12">
      <c r="K133" s="11">
        <v>25.382000000000001</v>
      </c>
      <c r="L133" s="11">
        <v>25.382000000000001</v>
      </c>
    </row>
    <row r="134" spans="11:12">
      <c r="K134" s="11">
        <v>25.71</v>
      </c>
      <c r="L134" s="11">
        <v>25.71</v>
      </c>
    </row>
    <row r="135" spans="11:12">
      <c r="K135" s="11">
        <v>25.187999999999999</v>
      </c>
      <c r="L135" s="11">
        <v>25.187999999999999</v>
      </c>
    </row>
    <row r="136" spans="11:12">
      <c r="K136" s="11">
        <v>26.399000000000001</v>
      </c>
      <c r="L136" s="11">
        <v>26.399000000000001</v>
      </c>
    </row>
    <row r="137" spans="11:12">
      <c r="K137" s="11">
        <v>27.297000000000001</v>
      </c>
      <c r="L137" s="11">
        <v>27.297000000000001</v>
      </c>
    </row>
    <row r="138" spans="11:12">
      <c r="K138" s="11">
        <v>27.893000000000001</v>
      </c>
      <c r="L138" s="11">
        <v>27.893000000000001</v>
      </c>
    </row>
    <row r="139" spans="11:12">
      <c r="K139" s="11">
        <v>28.597000000000001</v>
      </c>
      <c r="L139" s="11">
        <v>28.597000000000001</v>
      </c>
    </row>
    <row r="140" spans="11:12">
      <c r="K140" s="11">
        <v>28.658999999999999</v>
      </c>
      <c r="L140" s="11">
        <v>28.658999999999999</v>
      </c>
    </row>
    <row r="141" spans="11:12">
      <c r="K141" s="11">
        <v>28.693000000000001</v>
      </c>
      <c r="L141" s="11">
        <v>28.693000000000001</v>
      </c>
    </row>
    <row r="142" spans="11:12">
      <c r="K142" s="11">
        <v>29.315000000000001</v>
      </c>
      <c r="L142" s="11">
        <v>29.315000000000001</v>
      </c>
    </row>
    <row r="143" spans="11:12">
      <c r="K143" s="11">
        <v>29.003</v>
      </c>
      <c r="L143" s="11">
        <v>29.003</v>
      </c>
    </row>
    <row r="144" spans="11:12">
      <c r="K144" s="11">
        <v>28.279</v>
      </c>
      <c r="L144" s="11">
        <v>28.279</v>
      </c>
    </row>
    <row r="145" spans="11:12">
      <c r="K145" s="11">
        <v>28.577000000000002</v>
      </c>
      <c r="L145" s="11">
        <v>28.577000000000002</v>
      </c>
    </row>
    <row r="146" spans="11:12">
      <c r="K146" s="11">
        <v>29.437999999999999</v>
      </c>
      <c r="L146" s="11">
        <v>29.437999999999999</v>
      </c>
    </row>
    <row r="147" spans="11:12">
      <c r="K147" s="11">
        <v>30.091000000000001</v>
      </c>
      <c r="L147" s="11">
        <v>30.091000000000001</v>
      </c>
    </row>
    <row r="148" spans="11:12">
      <c r="K148" s="11">
        <v>29.71</v>
      </c>
      <c r="L148" s="11">
        <v>29.71</v>
      </c>
    </row>
    <row r="149" spans="11:12">
      <c r="K149" s="11">
        <v>27.509</v>
      </c>
      <c r="L149" s="11">
        <v>27.509</v>
      </c>
    </row>
    <row r="150" spans="11:12">
      <c r="K150" s="11">
        <v>32.19</v>
      </c>
      <c r="L150" s="11">
        <v>32.19</v>
      </c>
    </row>
    <row r="151" spans="11:12">
      <c r="K151" s="11">
        <v>33.31</v>
      </c>
      <c r="L151" s="11">
        <v>33.31</v>
      </c>
    </row>
    <row r="152" spans="11:12">
      <c r="K152" s="11">
        <v>32.26</v>
      </c>
      <c r="L152" s="11">
        <v>32.26</v>
      </c>
    </row>
    <row r="153" spans="11:12">
      <c r="K153" s="11">
        <v>32.200000000000003</v>
      </c>
      <c r="L153" s="11">
        <v>32.200000000000003</v>
      </c>
    </row>
    <row r="154" spans="11:12">
      <c r="K154" s="11">
        <v>31.53</v>
      </c>
      <c r="L154" s="11">
        <v>31.53</v>
      </c>
    </row>
    <row r="155" spans="11:12">
      <c r="K155" s="11">
        <v>32.159999999999997</v>
      </c>
      <c r="L155" s="11">
        <v>32.159999999999997</v>
      </c>
    </row>
    <row r="156" spans="11:12">
      <c r="K156" s="11">
        <v>31.91</v>
      </c>
      <c r="L156" s="11">
        <v>31.91</v>
      </c>
    </row>
    <row r="157" spans="11:12">
      <c r="K157" s="11">
        <v>32.89</v>
      </c>
      <c r="L157" s="11">
        <v>32.89</v>
      </c>
    </row>
    <row r="158" spans="11:12">
      <c r="K158" s="11">
        <v>33.07</v>
      </c>
      <c r="L158" s="11">
        <v>33.07</v>
      </c>
    </row>
    <row r="159" spans="11:12">
      <c r="K159" s="11">
        <v>32.53</v>
      </c>
      <c r="L159" s="11">
        <v>32.53</v>
      </c>
    </row>
    <row r="160" spans="11:12">
      <c r="K160" s="11">
        <v>33.19</v>
      </c>
      <c r="L160" s="11">
        <v>33.19</v>
      </c>
    </row>
    <row r="161" spans="11:12">
      <c r="K161" s="11">
        <v>33.21</v>
      </c>
      <c r="L161" s="11">
        <v>33.21</v>
      </c>
    </row>
    <row r="162" spans="11:12">
      <c r="K162" s="11">
        <v>33.299999999999997</v>
      </c>
      <c r="L162" s="11">
        <v>33.299999999999997</v>
      </c>
    </row>
    <row r="163" spans="11:12">
      <c r="K163" s="11">
        <v>33.479999999999997</v>
      </c>
      <c r="L163" s="11">
        <v>33.479999999999997</v>
      </c>
    </row>
    <row r="164" spans="11:12">
      <c r="K164" s="11">
        <v>33.69</v>
      </c>
      <c r="L164" s="11">
        <v>33.69</v>
      </c>
    </row>
    <row r="165" spans="11:12">
      <c r="K165" s="11">
        <v>33.65</v>
      </c>
      <c r="L165" s="11">
        <v>33.65</v>
      </c>
    </row>
    <row r="166" spans="11:12">
      <c r="K166" s="11">
        <v>33.75</v>
      </c>
      <c r="L166" s="11">
        <v>33.75</v>
      </c>
    </row>
    <row r="167" spans="11:12">
      <c r="K167" s="11">
        <v>33.89</v>
      </c>
      <c r="L167" s="11">
        <v>33.89</v>
      </c>
    </row>
    <row r="168" spans="11:12">
      <c r="K168" s="11">
        <v>33.97</v>
      </c>
      <c r="L168" s="11">
        <v>33.97</v>
      </c>
    </row>
    <row r="169" spans="11:12">
      <c r="K169" s="11">
        <v>33.92</v>
      </c>
      <c r="L169" s="11">
        <v>33.92</v>
      </c>
    </row>
    <row r="170" spans="11:12">
      <c r="K170" s="11" t="s">
        <v>158</v>
      </c>
      <c r="L170" s="11" t="s">
        <v>158</v>
      </c>
    </row>
    <row r="171" spans="11:12">
      <c r="K171" s="11">
        <v>12.83</v>
      </c>
      <c r="L171" s="11">
        <v>12.83</v>
      </c>
    </row>
    <row r="172" spans="11:12">
      <c r="K172" s="11">
        <v>9.1989999999999998</v>
      </c>
      <c r="L172" s="11">
        <v>9.1989999999999998</v>
      </c>
    </row>
    <row r="173" spans="11:12">
      <c r="K173" s="11">
        <v>10.585000000000001</v>
      </c>
      <c r="L173" s="11">
        <v>10.585000000000001</v>
      </c>
    </row>
    <row r="174" spans="11:12">
      <c r="K174" s="11">
        <v>5.58</v>
      </c>
      <c r="L174" s="11">
        <v>5.58</v>
      </c>
    </row>
    <row r="175" spans="11:12">
      <c r="K175" s="11">
        <v>9.3490000000000002</v>
      </c>
      <c r="L175" s="11">
        <v>9.3490000000000002</v>
      </c>
    </row>
    <row r="176" spans="11:12">
      <c r="K176" s="11">
        <v>16.957000000000001</v>
      </c>
      <c r="L176" s="11">
        <v>16.957000000000001</v>
      </c>
    </row>
    <row r="177" spans="11:12">
      <c r="K177" s="11">
        <v>31.59</v>
      </c>
      <c r="L177" s="11">
        <v>31.59</v>
      </c>
    </row>
    <row r="178" spans="11:12">
      <c r="K178" s="11">
        <v>32.74</v>
      </c>
      <c r="L178" s="11">
        <v>32.74</v>
      </c>
    </row>
    <row r="179" spans="11:12">
      <c r="K179" s="11">
        <v>31.46</v>
      </c>
      <c r="L179" s="11">
        <v>31.46</v>
      </c>
    </row>
    <row r="180" spans="11:12">
      <c r="K180" s="11">
        <v>20.366</v>
      </c>
      <c r="L180" s="11">
        <v>20.366</v>
      </c>
    </row>
    <row r="181" spans="11:12">
      <c r="K181" s="11">
        <v>10.416</v>
      </c>
      <c r="L181" s="11">
        <v>10.416</v>
      </c>
    </row>
    <row r="182" spans="11:12">
      <c r="K182" s="11">
        <v>11.137</v>
      </c>
      <c r="L182" s="11">
        <v>11.137</v>
      </c>
    </row>
    <row r="183" spans="11:12">
      <c r="K183" s="11">
        <v>8.2530000000000001</v>
      </c>
      <c r="L183" s="11">
        <v>8.2530000000000001</v>
      </c>
    </row>
    <row r="184" spans="11:12">
      <c r="K184" s="11">
        <v>12.565</v>
      </c>
      <c r="L184" s="11">
        <v>12.565</v>
      </c>
    </row>
    <row r="185" spans="11:12">
      <c r="K185" s="11">
        <v>14.586</v>
      </c>
      <c r="L185" s="11">
        <v>14.586</v>
      </c>
    </row>
    <row r="186" spans="11:12">
      <c r="K186" s="11">
        <v>21.59</v>
      </c>
      <c r="L186" s="11">
        <v>21.59</v>
      </c>
    </row>
    <row r="187" spans="11:12">
      <c r="K187" s="11">
        <v>23.808</v>
      </c>
      <c r="L187" s="11">
        <v>23.808</v>
      </c>
    </row>
    <row r="188" spans="11:12">
      <c r="K188" s="11">
        <v>21.780999999999999</v>
      </c>
      <c r="L188" s="11">
        <v>21.780999999999999</v>
      </c>
    </row>
    <row r="189" spans="11:12">
      <c r="K189" s="11">
        <v>14.15</v>
      </c>
      <c r="L189" s="11">
        <v>14.15</v>
      </c>
    </row>
    <row r="190" spans="11:12">
      <c r="K190" s="11">
        <v>15.884</v>
      </c>
      <c r="L190" s="11">
        <v>15.884</v>
      </c>
    </row>
    <row r="191" spans="11:12">
      <c r="K191" s="11">
        <v>18.082999999999998</v>
      </c>
      <c r="L191" s="11">
        <v>18.082999999999998</v>
      </c>
    </row>
    <row r="192" spans="11:12">
      <c r="K192" s="11">
        <v>21.978999999999999</v>
      </c>
      <c r="L192" s="11">
        <v>21.978999999999999</v>
      </c>
    </row>
    <row r="193" spans="11:12">
      <c r="K193" s="11">
        <v>21.97</v>
      </c>
      <c r="L193" s="11">
        <v>21.97</v>
      </c>
    </row>
    <row r="194" spans="11:12">
      <c r="K194" s="11">
        <v>22.125</v>
      </c>
      <c r="L194" s="11">
        <v>22.125</v>
      </c>
    </row>
    <row r="195" spans="11:12">
      <c r="K195" s="11">
        <v>17.645</v>
      </c>
      <c r="L195" s="11">
        <v>17.645</v>
      </c>
    </row>
    <row r="196" spans="11:12">
      <c r="K196" s="11">
        <v>21.26</v>
      </c>
      <c r="L196" s="11">
        <v>21.26</v>
      </c>
    </row>
    <row r="197" spans="11:12">
      <c r="K197" s="11">
        <v>23.024000000000001</v>
      </c>
      <c r="L197" s="11">
        <v>23.024000000000001</v>
      </c>
    </row>
    <row r="198" spans="11:12">
      <c r="K198" s="11">
        <v>21.981000000000002</v>
      </c>
      <c r="L198" s="11">
        <v>21.981000000000002</v>
      </c>
    </row>
    <row r="199" spans="11:12">
      <c r="K199" s="11">
        <v>22.472000000000001</v>
      </c>
      <c r="L199" s="11">
        <v>22.472000000000001</v>
      </c>
    </row>
    <row r="200" spans="11:12">
      <c r="K200" s="11">
        <v>23.007000000000001</v>
      </c>
      <c r="L200" s="11">
        <v>23.007000000000001</v>
      </c>
    </row>
    <row r="201" spans="11:12">
      <c r="K201" s="11">
        <v>24.481000000000002</v>
      </c>
      <c r="L201" s="11">
        <v>24.481000000000002</v>
      </c>
    </row>
    <row r="202" spans="11:12">
      <c r="K202" s="11">
        <v>24.62</v>
      </c>
      <c r="L202" s="11">
        <v>24.62</v>
      </c>
    </row>
    <row r="203" spans="11:12">
      <c r="K203" s="11">
        <v>23.122</v>
      </c>
      <c r="L203" s="11">
        <v>23.122</v>
      </c>
    </row>
    <row r="204" spans="11:12">
      <c r="K204" s="11">
        <v>22.88</v>
      </c>
      <c r="L204" s="11">
        <v>22.88</v>
      </c>
    </row>
    <row r="205" spans="11:12">
      <c r="K205" s="11">
        <v>23.338999999999999</v>
      </c>
      <c r="L205" s="11">
        <v>23.338999999999999</v>
      </c>
    </row>
    <row r="206" spans="11:12">
      <c r="K206" s="11">
        <v>19.562999999999999</v>
      </c>
      <c r="L206" s="11">
        <v>19.562999999999999</v>
      </c>
    </row>
    <row r="207" spans="11:12">
      <c r="K207" s="11">
        <v>22.882000000000001</v>
      </c>
      <c r="L207" s="11">
        <v>22.882000000000001</v>
      </c>
    </row>
    <row r="208" spans="11:12">
      <c r="K208" s="11">
        <v>23.593</v>
      </c>
      <c r="L208" s="11">
        <v>23.593</v>
      </c>
    </row>
    <row r="209" spans="11:12">
      <c r="K209" s="11">
        <v>24.501999999999999</v>
      </c>
      <c r="L209" s="11">
        <v>24.501999999999999</v>
      </c>
    </row>
    <row r="210" spans="11:12">
      <c r="K210" s="11">
        <v>24.344999999999999</v>
      </c>
      <c r="L210" s="11">
        <v>24.344999999999999</v>
      </c>
    </row>
    <row r="211" spans="11:12">
      <c r="K211" s="11">
        <v>25.204000000000001</v>
      </c>
      <c r="L211" s="11">
        <v>25.204000000000001</v>
      </c>
    </row>
    <row r="212" spans="11:12">
      <c r="K212" s="11">
        <v>25.207000000000001</v>
      </c>
      <c r="L212" s="11">
        <v>25.207000000000001</v>
      </c>
    </row>
    <row r="213" spans="11:12">
      <c r="K213" s="11">
        <v>24.690999999999999</v>
      </c>
      <c r="L213" s="11">
        <v>24.690999999999999</v>
      </c>
    </row>
    <row r="214" spans="11:12">
      <c r="K214" s="11">
        <v>25.306999999999999</v>
      </c>
      <c r="L214" s="11">
        <v>25.306999999999999</v>
      </c>
    </row>
    <row r="215" spans="11:12">
      <c r="K215" s="11">
        <v>25.597000000000001</v>
      </c>
      <c r="L215" s="11">
        <v>25.597000000000001</v>
      </c>
    </row>
    <row r="216" spans="11:12">
      <c r="K216" s="11">
        <v>25.928999999999998</v>
      </c>
      <c r="L216" s="11">
        <v>25.928999999999998</v>
      </c>
    </row>
    <row r="217" spans="11:12">
      <c r="K217" s="11">
        <v>26.632000000000001</v>
      </c>
      <c r="L217" s="11">
        <v>26.632000000000001</v>
      </c>
    </row>
    <row r="218" spans="11:12">
      <c r="K218" s="11">
        <v>27.190999999999999</v>
      </c>
      <c r="L218" s="11">
        <v>27.190999999999999</v>
      </c>
    </row>
    <row r="219" spans="11:12">
      <c r="K219" s="11">
        <v>27.259</v>
      </c>
      <c r="L219" s="11">
        <v>27.259</v>
      </c>
    </row>
    <row r="220" spans="11:12">
      <c r="K220" s="11">
        <v>27.663</v>
      </c>
      <c r="L220" s="11">
        <v>27.663</v>
      </c>
    </row>
    <row r="221" spans="11:12">
      <c r="K221" s="11">
        <v>28.058</v>
      </c>
      <c r="L221" s="11">
        <v>28.058</v>
      </c>
    </row>
    <row r="222" spans="11:12">
      <c r="K222" s="11">
        <v>27.946999999999999</v>
      </c>
      <c r="L222" s="11">
        <v>27.946999999999999</v>
      </c>
    </row>
    <row r="223" spans="11:12">
      <c r="K223" s="11">
        <v>28.277000000000001</v>
      </c>
      <c r="L223" s="11">
        <v>28.277000000000001</v>
      </c>
    </row>
    <row r="224" spans="11:12">
      <c r="K224" s="11">
        <v>28.262</v>
      </c>
      <c r="L224" s="11">
        <v>28.262</v>
      </c>
    </row>
    <row r="225" spans="11:12">
      <c r="K225" s="11">
        <v>28.143999999999998</v>
      </c>
      <c r="L225" s="11">
        <v>28.143999999999998</v>
      </c>
    </row>
    <row r="226" spans="11:12">
      <c r="K226" s="11">
        <v>28.527999999999999</v>
      </c>
      <c r="L226" s="11">
        <v>28.527999999999999</v>
      </c>
    </row>
    <row r="227" spans="11:12">
      <c r="K227" s="11">
        <v>29.375</v>
      </c>
      <c r="L227" s="11">
        <v>29.375</v>
      </c>
    </row>
    <row r="228" spans="11:12">
      <c r="K228" s="11">
        <v>29.759</v>
      </c>
      <c r="L228" s="11">
        <v>29.759</v>
      </c>
    </row>
    <row r="229" spans="11:12">
      <c r="K229" s="11">
        <v>30.248999999999999</v>
      </c>
      <c r="L229" s="11">
        <v>30.248999999999999</v>
      </c>
    </row>
    <row r="230" spans="11:12">
      <c r="K230" s="11">
        <v>30.117000000000001</v>
      </c>
      <c r="L230" s="11">
        <v>30.117000000000001</v>
      </c>
    </row>
    <row r="231" spans="11:12">
      <c r="K231" s="11">
        <v>27.835000000000001</v>
      </c>
      <c r="L231" s="11">
        <v>27.835000000000001</v>
      </c>
    </row>
    <row r="232" spans="11:12">
      <c r="K232" s="11">
        <v>32.229999999999997</v>
      </c>
      <c r="L232" s="11">
        <v>32.229999999999997</v>
      </c>
    </row>
    <row r="233" spans="11:12">
      <c r="K233" s="11">
        <v>32.69</v>
      </c>
      <c r="L233" s="11">
        <v>32.69</v>
      </c>
    </row>
    <row r="234" spans="11:12">
      <c r="K234" s="11">
        <v>32.159999999999997</v>
      </c>
      <c r="L234" s="11">
        <v>32.159999999999997</v>
      </c>
    </row>
    <row r="235" spans="11:12">
      <c r="K235" s="11">
        <v>31.82</v>
      </c>
      <c r="L235" s="11">
        <v>31.82</v>
      </c>
    </row>
    <row r="236" spans="11:12">
      <c r="K236" s="11">
        <v>31.68</v>
      </c>
      <c r="L236" s="11">
        <v>31.68</v>
      </c>
    </row>
    <row r="237" spans="11:12">
      <c r="K237" s="11">
        <v>32.29</v>
      </c>
      <c r="L237" s="11">
        <v>32.29</v>
      </c>
    </row>
    <row r="238" spans="11:12">
      <c r="K238" s="11">
        <v>31.89</v>
      </c>
      <c r="L238" s="11">
        <v>31.89</v>
      </c>
    </row>
    <row r="239" spans="11:12">
      <c r="K239" s="11">
        <v>32.82</v>
      </c>
      <c r="L239" s="11">
        <v>32.82</v>
      </c>
    </row>
    <row r="240" spans="11:12">
      <c r="K240" s="11">
        <v>33</v>
      </c>
      <c r="L240" s="11">
        <v>33</v>
      </c>
    </row>
    <row r="241" spans="11:12">
      <c r="K241" s="11">
        <v>32.75</v>
      </c>
      <c r="L241" s="11">
        <v>32.75</v>
      </c>
    </row>
    <row r="242" spans="11:12">
      <c r="K242" s="11">
        <v>33.1</v>
      </c>
      <c r="L242" s="11">
        <v>33.1</v>
      </c>
    </row>
    <row r="243" spans="11:12">
      <c r="K243" s="11">
        <v>33.200000000000003</v>
      </c>
      <c r="L243" s="11">
        <v>33.200000000000003</v>
      </c>
    </row>
    <row r="244" spans="11:12">
      <c r="K244" s="11">
        <v>33.299999999999997</v>
      </c>
      <c r="L244" s="11">
        <v>33.299999999999997</v>
      </c>
    </row>
    <row r="245" spans="11:12">
      <c r="K245" s="11">
        <v>33.479999999999997</v>
      </c>
      <c r="L245" s="11">
        <v>33.479999999999997</v>
      </c>
    </row>
    <row r="246" spans="11:12">
      <c r="K246" s="11">
        <v>33.57</v>
      </c>
      <c r="L246" s="11">
        <v>33.57</v>
      </c>
    </row>
    <row r="247" spans="11:12">
      <c r="K247" s="11">
        <v>33.65</v>
      </c>
      <c r="L247" s="11">
        <v>33.65</v>
      </c>
    </row>
    <row r="248" spans="11:12">
      <c r="K248" s="11">
        <v>33.869999999999997</v>
      </c>
      <c r="L248" s="11">
        <v>33.869999999999997</v>
      </c>
    </row>
    <row r="249" spans="11:12">
      <c r="K249" s="11">
        <v>33.97</v>
      </c>
      <c r="L249" s="11">
        <v>33.97</v>
      </c>
    </row>
    <row r="250" spans="11:12">
      <c r="K250" s="11">
        <v>33.94</v>
      </c>
      <c r="L250" s="11">
        <v>33.94</v>
      </c>
    </row>
    <row r="251" spans="11:12">
      <c r="K251" s="11">
        <v>34</v>
      </c>
      <c r="L251" s="11">
        <v>34</v>
      </c>
    </row>
  </sheetData>
  <mergeCells count="2">
    <mergeCell ref="B2:G2"/>
    <mergeCell ref="AT2:AY2"/>
  </mergeCells>
  <phoneticPr fontId="2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B251"/>
  <sheetViews>
    <sheetView workbookViewId="0">
      <selection activeCell="I13" sqref="I13"/>
    </sheetView>
  </sheetViews>
  <sheetFormatPr defaultRowHeight="12.75"/>
  <cols>
    <col min="1" max="1" width="19.85546875" style="17" bestFit="1" customWidth="1"/>
    <col min="2" max="2" width="6" style="12" bestFit="1" customWidth="1"/>
    <col min="3" max="3" width="11" style="11" bestFit="1" customWidth="1"/>
    <col min="4" max="4" width="9.28515625" style="11" bestFit="1" customWidth="1"/>
    <col min="5" max="5" width="7.85546875" style="11" bestFit="1" customWidth="1"/>
    <col min="6" max="6" width="8.7109375" style="11" bestFit="1" customWidth="1"/>
    <col min="7" max="7" width="8.85546875" style="11" bestFit="1" customWidth="1"/>
    <col min="8" max="8" width="7.5703125" style="11" bestFit="1" customWidth="1"/>
    <col min="9" max="9" width="9.140625" style="11"/>
    <col min="10" max="10" width="6" style="12" bestFit="1" customWidth="1"/>
    <col min="11" max="11" width="23.140625" style="11" bestFit="1" customWidth="1"/>
    <col min="12" max="12" width="22.7109375" style="11" bestFit="1" customWidth="1"/>
    <col min="13" max="14" width="22.7109375" style="11" customWidth="1"/>
    <col min="15" max="15" width="11.28515625" style="11" customWidth="1"/>
    <col min="16" max="16" width="26.7109375" style="14" bestFit="1" customWidth="1"/>
    <col min="17" max="17" width="6" style="19" bestFit="1" customWidth="1"/>
    <col min="18" max="18" width="9.85546875" style="8" bestFit="1" customWidth="1"/>
    <col min="19" max="19" width="10" style="8" bestFit="1" customWidth="1"/>
    <col min="20" max="20" width="8.5703125" style="8" bestFit="1" customWidth="1"/>
    <col min="21" max="21" width="9.140625" style="8"/>
    <col min="22" max="22" width="6" style="19" bestFit="1" customWidth="1"/>
    <col min="23" max="23" width="12" style="8" bestFit="1" customWidth="1"/>
    <col min="24" max="24" width="10.7109375" style="8" bestFit="1" customWidth="1"/>
    <col min="25" max="25" width="13.7109375" style="8" bestFit="1" customWidth="1"/>
    <col min="26" max="26" width="12.85546875" style="8" customWidth="1"/>
    <col min="27" max="27" width="25.5703125" style="15" bestFit="1" customWidth="1"/>
    <col min="28" max="28" width="6" style="20" bestFit="1" customWidth="1"/>
    <col min="29" max="29" width="10" style="9" bestFit="1" customWidth="1"/>
    <col min="30" max="30" width="10.140625" style="9" bestFit="1" customWidth="1"/>
    <col min="31" max="31" width="8.7109375" style="9" bestFit="1" customWidth="1"/>
    <col min="32" max="32" width="12.85546875" style="9" customWidth="1"/>
    <col min="33" max="33" width="6" style="20" bestFit="1" customWidth="1"/>
    <col min="34" max="34" width="12" style="9" bestFit="1" customWidth="1"/>
    <col min="35" max="35" width="10.28515625" style="9" bestFit="1" customWidth="1"/>
    <col min="36" max="36" width="13.7109375" style="9" bestFit="1" customWidth="1"/>
    <col min="37" max="37" width="12.85546875" style="9" customWidth="1"/>
    <col min="38" max="38" width="22" style="16" bestFit="1" customWidth="1"/>
    <col min="39" max="39" width="6" style="21" bestFit="1" customWidth="1"/>
    <col min="40" max="40" width="10.85546875" style="10" bestFit="1" customWidth="1"/>
    <col min="41" max="41" width="17.7109375" style="10" bestFit="1" customWidth="1"/>
    <col min="42" max="42" width="13.7109375" style="10" bestFit="1" customWidth="1"/>
    <col min="43" max="43" width="19.140625" style="10" bestFit="1" customWidth="1"/>
    <col min="44" max="45" width="9.140625" style="16"/>
    <col min="46" max="46" width="6" style="12" bestFit="1" customWidth="1"/>
    <col min="47" max="47" width="9.140625" style="11"/>
    <col min="48" max="48" width="9.28515625" style="11" bestFit="1" customWidth="1"/>
    <col min="49" max="49" width="7.85546875" style="11" bestFit="1" customWidth="1"/>
    <col min="50" max="50" width="8.7109375" style="11" bestFit="1" customWidth="1"/>
    <col min="51" max="51" width="8.85546875" style="11" bestFit="1" customWidth="1"/>
    <col min="52" max="52" width="7.5703125" style="11" bestFit="1" customWidth="1"/>
    <col min="53" max="78" width="9.140625" style="16"/>
  </cols>
  <sheetData>
    <row r="1" spans="1:78" s="24" customFormat="1">
      <c r="B1" s="25"/>
      <c r="J1" s="25"/>
      <c r="Q1" s="25"/>
      <c r="V1" s="25"/>
      <c r="AB1" s="25"/>
      <c r="AG1" s="25"/>
      <c r="AM1" s="25"/>
      <c r="AN1" s="25">
        <v>38</v>
      </c>
      <c r="AO1" s="24">
        <v>39</v>
      </c>
      <c r="AT1" s="25"/>
    </row>
    <row r="2" spans="1:78" s="24" customFormat="1" ht="18">
      <c r="A2" s="26" t="s">
        <v>29</v>
      </c>
      <c r="B2" s="118" t="str">
        <f>CONCATENATE(ModelName, "#",SC_Import!D8)</f>
        <v>Delhi80#</v>
      </c>
      <c r="C2" s="118"/>
      <c r="D2" s="118"/>
      <c r="E2" s="118"/>
      <c r="F2" s="118"/>
      <c r="G2" s="118"/>
      <c r="J2" s="25"/>
      <c r="Q2" s="25"/>
      <c r="V2" s="25"/>
      <c r="AB2" s="25"/>
      <c r="AG2" s="25"/>
      <c r="AM2" s="25"/>
      <c r="AT2" s="118"/>
      <c r="AU2" s="118"/>
      <c r="AV2" s="118"/>
      <c r="AW2" s="118"/>
      <c r="AX2" s="118"/>
      <c r="AY2" s="118"/>
    </row>
    <row r="3" spans="1:78" s="24" customFormat="1">
      <c r="B3" s="25"/>
      <c r="J3" s="25"/>
      <c r="Q3" s="25"/>
      <c r="V3" s="25"/>
      <c r="AB3" s="25"/>
      <c r="AG3" s="25"/>
      <c r="AM3" s="25"/>
      <c r="AT3" s="25"/>
    </row>
    <row r="4" spans="1:78" ht="18">
      <c r="A4" s="13" t="s">
        <v>25</v>
      </c>
      <c r="C4" s="12" t="s">
        <v>108</v>
      </c>
      <c r="D4" s="12" t="s">
        <v>109</v>
      </c>
      <c r="E4" s="12" t="s">
        <v>110</v>
      </c>
      <c r="F4" s="12" t="s">
        <v>111</v>
      </c>
      <c r="G4" s="12" t="s">
        <v>112</v>
      </c>
      <c r="H4" s="12" t="s">
        <v>113</v>
      </c>
      <c r="P4" s="13" t="s">
        <v>26</v>
      </c>
      <c r="AA4" s="13" t="s">
        <v>27</v>
      </c>
      <c r="AL4" s="13" t="s">
        <v>32</v>
      </c>
      <c r="AU4" s="12" t="s">
        <v>0</v>
      </c>
      <c r="AV4" s="12" t="s">
        <v>1</v>
      </c>
      <c r="AW4" s="12" t="s">
        <v>68</v>
      </c>
      <c r="AX4" s="12" t="s">
        <v>69</v>
      </c>
      <c r="AY4" s="12" t="s">
        <v>70</v>
      </c>
      <c r="AZ4" s="12" t="s">
        <v>71</v>
      </c>
    </row>
    <row r="5" spans="1:78" s="23" customFormat="1">
      <c r="A5" s="18"/>
      <c r="B5" s="12"/>
      <c r="C5" s="12" t="str">
        <f>CONCATENATE(C4,Settings!$C$5)</f>
        <v>Front_HL1</v>
      </c>
      <c r="D5" s="12" t="str">
        <f>CONCATENATE(D4,Settings!$C$5)</f>
        <v>Front_HR1</v>
      </c>
      <c r="E5" s="12" t="str">
        <f>CONCATENATE(E4,Settings!$C$5)</f>
        <v>Front_L1</v>
      </c>
      <c r="F5" s="12" t="str">
        <f>CONCATENATE(F4,Settings!$C$5)</f>
        <v>Rear_HL1</v>
      </c>
      <c r="G5" s="12" t="str">
        <f>CONCATENATE(G4,Settings!$C$5)</f>
        <v>Rear_HR1</v>
      </c>
      <c r="H5" s="12" t="str">
        <f>CONCATENATE(H4,Settings!$C$5)</f>
        <v>Rear_L1</v>
      </c>
      <c r="I5" s="12"/>
      <c r="J5" s="12"/>
      <c r="K5" s="12" t="s">
        <v>20</v>
      </c>
      <c r="L5" s="12" t="s">
        <v>21</v>
      </c>
      <c r="M5" s="12" t="s">
        <v>228</v>
      </c>
      <c r="N5" s="12" t="s">
        <v>229</v>
      </c>
      <c r="O5" s="12"/>
      <c r="P5" s="18"/>
      <c r="Q5" s="19"/>
      <c r="R5" s="19" t="s">
        <v>2</v>
      </c>
      <c r="S5" s="19" t="s">
        <v>3</v>
      </c>
      <c r="T5" s="19" t="s">
        <v>4</v>
      </c>
      <c r="U5" s="19"/>
      <c r="V5" s="19"/>
      <c r="W5" s="19" t="s">
        <v>8</v>
      </c>
      <c r="X5" s="19" t="s">
        <v>22</v>
      </c>
      <c r="Y5" s="19" t="s">
        <v>10</v>
      </c>
      <c r="Z5" s="19"/>
      <c r="AA5" s="18"/>
      <c r="AB5" s="20"/>
      <c r="AC5" s="20" t="s">
        <v>5</v>
      </c>
      <c r="AD5" s="20" t="s">
        <v>6</v>
      </c>
      <c r="AE5" s="20" t="s">
        <v>7</v>
      </c>
      <c r="AF5" s="20"/>
      <c r="AG5" s="20"/>
      <c r="AH5" s="20" t="s">
        <v>9</v>
      </c>
      <c r="AI5" s="20" t="s">
        <v>23</v>
      </c>
      <c r="AJ5" s="20" t="s">
        <v>10</v>
      </c>
      <c r="AK5" s="20"/>
      <c r="AL5" s="18"/>
      <c r="AM5" s="21"/>
      <c r="AN5" s="21" t="s">
        <v>11</v>
      </c>
      <c r="AO5" s="21" t="s">
        <v>24</v>
      </c>
      <c r="AP5" s="21" t="s">
        <v>33</v>
      </c>
      <c r="AQ5" s="21" t="s">
        <v>34</v>
      </c>
      <c r="AR5" s="22"/>
      <c r="AS5" s="22"/>
      <c r="AT5" s="12"/>
      <c r="AU5" s="12" t="str">
        <f>CONCATENATE(AU4,Settings!$C$6)</f>
        <v>Front_HL</v>
      </c>
      <c r="AV5" s="12" t="str">
        <f>CONCATENATE(AV4,Settings!$C$6)</f>
        <v>Front_HR</v>
      </c>
      <c r="AW5" s="12" t="str">
        <f>CONCATENATE(AW4,Settings!$C$6)</f>
        <v>Front_L</v>
      </c>
      <c r="AX5" s="12" t="str">
        <f>CONCATENATE(AX4,Settings!$C$6)</f>
        <v>Rear_HL</v>
      </c>
      <c r="AY5" s="12" t="str">
        <f>CONCATENATE(AY4,Settings!$C$6)</f>
        <v>Rear_HR</v>
      </c>
      <c r="AZ5" s="12" t="str">
        <f>CONCATENATE(AZ4,Settings!$C$6)</f>
        <v>Rear_L</v>
      </c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</row>
    <row r="6" spans="1:78" ht="16.5">
      <c r="B6" s="12">
        <v>100</v>
      </c>
      <c r="C6" s="74"/>
      <c r="D6" s="74"/>
      <c r="E6" s="74"/>
      <c r="F6" s="74"/>
      <c r="G6" s="74"/>
      <c r="H6" s="75"/>
      <c r="J6" s="12">
        <v>100</v>
      </c>
      <c r="K6" s="81"/>
      <c r="L6"/>
      <c r="M6"/>
      <c r="N6"/>
      <c r="Q6" s="19">
        <v>100</v>
      </c>
      <c r="R6" s="8">
        <f t="shared" ref="R6:R37" si="0">+$K6+20-C6</f>
        <v>20</v>
      </c>
      <c r="S6" s="8">
        <f t="shared" ref="S6:S37" si="1">+$K6+20-D6</f>
        <v>20</v>
      </c>
      <c r="T6" s="8">
        <f t="shared" ref="T6:T37" si="2">+$K6+20-E6</f>
        <v>20</v>
      </c>
      <c r="V6" s="19">
        <v>100</v>
      </c>
      <c r="W6" s="8">
        <f t="shared" ref="W6:W69" si="3">+AVERAGE(R6:T6)</f>
        <v>20</v>
      </c>
      <c r="X6" s="8">
        <f>+K6+20</f>
        <v>20</v>
      </c>
      <c r="Y6" s="8">
        <f t="shared" ref="Y6:Y37" si="4">+X6-$AN6</f>
        <v>30</v>
      </c>
      <c r="AB6" s="20">
        <v>100</v>
      </c>
      <c r="AC6" s="9">
        <f t="shared" ref="AC6:AC37" si="5">+$L6+20-F6</f>
        <v>20</v>
      </c>
      <c r="AD6" s="9">
        <f t="shared" ref="AD6:AD37" si="6">+$L6+20-G6</f>
        <v>20</v>
      </c>
      <c r="AE6" s="9">
        <f t="shared" ref="AE6:AE37" si="7">+$L6+20-H6</f>
        <v>20</v>
      </c>
      <c r="AG6" s="20">
        <v>100</v>
      </c>
      <c r="AH6" s="9">
        <f t="shared" ref="AH6:AH69" si="8">+AVERAGE(AC6:AE6)</f>
        <v>20</v>
      </c>
      <c r="AI6" s="9">
        <f>+L6+20</f>
        <v>20</v>
      </c>
      <c r="AJ6" s="9">
        <f t="shared" ref="AJ6:AJ69" si="9">+AI6-$AN6</f>
        <v>30</v>
      </c>
      <c r="AM6" s="21">
        <v>100</v>
      </c>
      <c r="AN6" s="10">
        <v>-10</v>
      </c>
      <c r="AP6" s="10">
        <f t="shared" ref="AP6:AP37" si="10">+AVERAGE(AI6,X6)</f>
        <v>20</v>
      </c>
      <c r="AQ6" s="10">
        <f t="shared" ref="AQ6:AQ37" si="11">+AP6-AN6</f>
        <v>30</v>
      </c>
      <c r="AT6" s="12">
        <v>100</v>
      </c>
      <c r="AU6" s="85"/>
      <c r="AV6" s="86"/>
      <c r="AW6" s="86"/>
      <c r="AX6" s="87"/>
      <c r="AY6" s="87"/>
      <c r="AZ6" s="87"/>
    </row>
    <row r="7" spans="1:78" ht="16.5">
      <c r="B7" s="12">
        <v>106</v>
      </c>
      <c r="C7" s="74"/>
      <c r="D7" s="74"/>
      <c r="E7" s="74"/>
      <c r="F7" s="74"/>
      <c r="G7" s="74"/>
      <c r="H7" s="75"/>
      <c r="J7" s="12">
        <v>106</v>
      </c>
      <c r="K7" s="77"/>
      <c r="L7"/>
      <c r="M7"/>
      <c r="N7"/>
      <c r="Q7" s="19">
        <v>106</v>
      </c>
      <c r="R7" s="8">
        <f t="shared" si="0"/>
        <v>20</v>
      </c>
      <c r="S7" s="8">
        <f t="shared" si="1"/>
        <v>20</v>
      </c>
      <c r="T7" s="8">
        <f t="shared" si="2"/>
        <v>20</v>
      </c>
      <c r="V7" s="19">
        <v>106</v>
      </c>
      <c r="W7" s="8">
        <f t="shared" si="3"/>
        <v>20</v>
      </c>
      <c r="X7" s="8">
        <f t="shared" ref="X7:X70" si="12">+K7+20</f>
        <v>20</v>
      </c>
      <c r="Y7" s="8">
        <f t="shared" si="4"/>
        <v>30</v>
      </c>
      <c r="AB7" s="20">
        <v>106</v>
      </c>
      <c r="AC7" s="9">
        <f t="shared" si="5"/>
        <v>20</v>
      </c>
      <c r="AD7" s="9">
        <f t="shared" si="6"/>
        <v>20</v>
      </c>
      <c r="AE7" s="9">
        <f t="shared" si="7"/>
        <v>20</v>
      </c>
      <c r="AG7" s="20">
        <v>106</v>
      </c>
      <c r="AH7" s="9">
        <f t="shared" si="8"/>
        <v>20</v>
      </c>
      <c r="AI7" s="9">
        <f t="shared" ref="AI7:AI70" si="13">+L7+20</f>
        <v>20</v>
      </c>
      <c r="AJ7" s="9">
        <f t="shared" si="9"/>
        <v>30</v>
      </c>
      <c r="AM7" s="21">
        <v>106</v>
      </c>
      <c r="AN7" s="10">
        <v>-10</v>
      </c>
      <c r="AO7" s="10">
        <v>10</v>
      </c>
      <c r="AP7" s="10">
        <f t="shared" si="10"/>
        <v>20</v>
      </c>
      <c r="AQ7" s="10">
        <f t="shared" si="11"/>
        <v>30</v>
      </c>
      <c r="AT7" s="12">
        <v>106</v>
      </c>
      <c r="AU7" s="85"/>
      <c r="AV7" s="86"/>
      <c r="AW7" s="86"/>
      <c r="AX7" s="87"/>
      <c r="AY7" s="87"/>
      <c r="AZ7" s="87"/>
    </row>
    <row r="8" spans="1:78" ht="16.5">
      <c r="B8" s="12">
        <v>112</v>
      </c>
      <c r="C8" s="74"/>
      <c r="D8" s="74"/>
      <c r="E8" s="74"/>
      <c r="F8" s="74"/>
      <c r="G8" s="74"/>
      <c r="H8" s="75"/>
      <c r="J8" s="12">
        <v>112</v>
      </c>
      <c r="K8" s="77"/>
      <c r="L8"/>
      <c r="M8"/>
      <c r="N8"/>
      <c r="Q8" s="19">
        <v>112</v>
      </c>
      <c r="R8" s="8">
        <f t="shared" si="0"/>
        <v>20</v>
      </c>
      <c r="S8" s="8">
        <f t="shared" si="1"/>
        <v>20</v>
      </c>
      <c r="T8" s="8">
        <f t="shared" si="2"/>
        <v>20</v>
      </c>
      <c r="V8" s="19">
        <v>112</v>
      </c>
      <c r="W8" s="8">
        <f t="shared" si="3"/>
        <v>20</v>
      </c>
      <c r="X8" s="8">
        <f t="shared" si="12"/>
        <v>20</v>
      </c>
      <c r="Y8" s="8">
        <f t="shared" si="4"/>
        <v>30</v>
      </c>
      <c r="AB8" s="20">
        <v>112</v>
      </c>
      <c r="AC8" s="9">
        <f t="shared" si="5"/>
        <v>20</v>
      </c>
      <c r="AD8" s="9">
        <f t="shared" si="6"/>
        <v>20</v>
      </c>
      <c r="AE8" s="9">
        <f t="shared" si="7"/>
        <v>20</v>
      </c>
      <c r="AG8" s="20">
        <v>112</v>
      </c>
      <c r="AH8" s="9">
        <f t="shared" si="8"/>
        <v>20</v>
      </c>
      <c r="AI8" s="9">
        <f t="shared" si="13"/>
        <v>20</v>
      </c>
      <c r="AJ8" s="9">
        <f t="shared" si="9"/>
        <v>30</v>
      </c>
      <c r="AM8" s="21">
        <v>112</v>
      </c>
      <c r="AN8" s="10">
        <v>-10</v>
      </c>
      <c r="AP8" s="10">
        <f t="shared" si="10"/>
        <v>20</v>
      </c>
      <c r="AQ8" s="10">
        <f t="shared" si="11"/>
        <v>30</v>
      </c>
      <c r="AT8" s="12">
        <v>112</v>
      </c>
      <c r="AU8" s="85"/>
      <c r="AV8" s="86"/>
      <c r="AW8" s="86"/>
      <c r="AX8" s="87"/>
      <c r="AY8" s="87"/>
      <c r="AZ8" s="87"/>
    </row>
    <row r="9" spans="1:78" ht="16.5">
      <c r="B9" s="12">
        <v>118</v>
      </c>
      <c r="C9" s="74"/>
      <c r="D9" s="74"/>
      <c r="E9" s="74"/>
      <c r="F9" s="74"/>
      <c r="G9" s="74"/>
      <c r="H9" s="75"/>
      <c r="J9" s="12">
        <v>118</v>
      </c>
      <c r="K9" s="77"/>
      <c r="L9"/>
      <c r="M9"/>
      <c r="N9"/>
      <c r="Q9" s="19">
        <v>118</v>
      </c>
      <c r="R9" s="8">
        <f t="shared" si="0"/>
        <v>20</v>
      </c>
      <c r="S9" s="8">
        <f t="shared" si="1"/>
        <v>20</v>
      </c>
      <c r="T9" s="8">
        <f t="shared" si="2"/>
        <v>20</v>
      </c>
      <c r="V9" s="19">
        <v>118</v>
      </c>
      <c r="W9" s="8">
        <f t="shared" si="3"/>
        <v>20</v>
      </c>
      <c r="X9" s="8">
        <f t="shared" si="12"/>
        <v>20</v>
      </c>
      <c r="Y9" s="8">
        <f t="shared" si="4"/>
        <v>30</v>
      </c>
      <c r="AB9" s="20">
        <v>118</v>
      </c>
      <c r="AC9" s="9">
        <f t="shared" si="5"/>
        <v>20</v>
      </c>
      <c r="AD9" s="9">
        <f t="shared" si="6"/>
        <v>20</v>
      </c>
      <c r="AE9" s="9">
        <f t="shared" si="7"/>
        <v>20</v>
      </c>
      <c r="AG9" s="20">
        <v>118</v>
      </c>
      <c r="AH9" s="9">
        <f t="shared" si="8"/>
        <v>20</v>
      </c>
      <c r="AI9" s="9">
        <f t="shared" si="13"/>
        <v>20</v>
      </c>
      <c r="AJ9" s="9">
        <f t="shared" si="9"/>
        <v>30</v>
      </c>
      <c r="AM9" s="21">
        <v>118</v>
      </c>
      <c r="AN9" s="10">
        <v>-10</v>
      </c>
      <c r="AP9" s="10">
        <f t="shared" si="10"/>
        <v>20</v>
      </c>
      <c r="AQ9" s="10">
        <f t="shared" si="11"/>
        <v>30</v>
      </c>
      <c r="AT9" s="12">
        <v>118</v>
      </c>
      <c r="AU9" s="85"/>
      <c r="AV9" s="86"/>
      <c r="AW9" s="86"/>
      <c r="AX9" s="87"/>
      <c r="AY9" s="87"/>
      <c r="AZ9" s="87"/>
    </row>
    <row r="10" spans="1:78" ht="16.5">
      <c r="B10" s="12">
        <v>125</v>
      </c>
      <c r="C10" s="74"/>
      <c r="D10" s="74"/>
      <c r="E10" s="74"/>
      <c r="F10" s="74"/>
      <c r="G10" s="74"/>
      <c r="H10" s="75"/>
      <c r="J10" s="12">
        <v>125</v>
      </c>
      <c r="K10" s="77"/>
      <c r="L10"/>
      <c r="M10"/>
      <c r="N10"/>
      <c r="Q10" s="19">
        <v>125</v>
      </c>
      <c r="R10" s="8">
        <f t="shared" si="0"/>
        <v>20</v>
      </c>
      <c r="S10" s="8">
        <f t="shared" si="1"/>
        <v>20</v>
      </c>
      <c r="T10" s="8">
        <f t="shared" si="2"/>
        <v>20</v>
      </c>
      <c r="V10" s="19">
        <v>125</v>
      </c>
      <c r="W10" s="8">
        <f t="shared" si="3"/>
        <v>20</v>
      </c>
      <c r="X10" s="8">
        <f t="shared" si="12"/>
        <v>20</v>
      </c>
      <c r="Y10" s="8">
        <f t="shared" si="4"/>
        <v>30</v>
      </c>
      <c r="AB10" s="20">
        <v>125</v>
      </c>
      <c r="AC10" s="9">
        <f t="shared" si="5"/>
        <v>20</v>
      </c>
      <c r="AD10" s="9">
        <f t="shared" si="6"/>
        <v>20</v>
      </c>
      <c r="AE10" s="9">
        <f t="shared" si="7"/>
        <v>20</v>
      </c>
      <c r="AG10" s="20">
        <v>125</v>
      </c>
      <c r="AH10" s="9">
        <f t="shared" si="8"/>
        <v>20</v>
      </c>
      <c r="AI10" s="9">
        <f t="shared" si="13"/>
        <v>20</v>
      </c>
      <c r="AJ10" s="9">
        <f t="shared" si="9"/>
        <v>30</v>
      </c>
      <c r="AM10" s="21">
        <v>125</v>
      </c>
      <c r="AN10" s="10">
        <v>-10</v>
      </c>
      <c r="AO10" s="10">
        <v>10</v>
      </c>
      <c r="AP10" s="10">
        <f t="shared" si="10"/>
        <v>20</v>
      </c>
      <c r="AQ10" s="10">
        <f t="shared" si="11"/>
        <v>30</v>
      </c>
      <c r="AT10" s="12">
        <v>125</v>
      </c>
      <c r="AU10" s="85"/>
      <c r="AV10" s="86"/>
      <c r="AW10" s="86"/>
      <c r="AX10" s="87"/>
      <c r="AY10" s="87"/>
      <c r="AZ10" s="87"/>
    </row>
    <row r="11" spans="1:78" ht="16.5">
      <c r="B11" s="12">
        <v>132</v>
      </c>
      <c r="C11" s="74"/>
      <c r="D11" s="74"/>
      <c r="E11" s="74"/>
      <c r="F11" s="74"/>
      <c r="G11" s="74"/>
      <c r="H11" s="75"/>
      <c r="J11" s="12">
        <v>132</v>
      </c>
      <c r="K11" s="77"/>
      <c r="L11"/>
      <c r="M11"/>
      <c r="N11"/>
      <c r="Q11" s="19">
        <v>132</v>
      </c>
      <c r="R11" s="8">
        <f t="shared" si="0"/>
        <v>20</v>
      </c>
      <c r="S11" s="8">
        <f t="shared" si="1"/>
        <v>20</v>
      </c>
      <c r="T11" s="8">
        <f t="shared" si="2"/>
        <v>20</v>
      </c>
      <c r="V11" s="19">
        <v>132</v>
      </c>
      <c r="W11" s="8">
        <f t="shared" si="3"/>
        <v>20</v>
      </c>
      <c r="X11" s="8">
        <f t="shared" si="12"/>
        <v>20</v>
      </c>
      <c r="Y11" s="8">
        <f t="shared" si="4"/>
        <v>30</v>
      </c>
      <c r="AB11" s="20">
        <v>132</v>
      </c>
      <c r="AC11" s="9">
        <f t="shared" si="5"/>
        <v>20</v>
      </c>
      <c r="AD11" s="9">
        <f t="shared" si="6"/>
        <v>20</v>
      </c>
      <c r="AE11" s="9">
        <f t="shared" si="7"/>
        <v>20</v>
      </c>
      <c r="AG11" s="20">
        <v>132</v>
      </c>
      <c r="AH11" s="9">
        <f t="shared" si="8"/>
        <v>20</v>
      </c>
      <c r="AI11" s="9">
        <f t="shared" si="13"/>
        <v>20</v>
      </c>
      <c r="AJ11" s="9">
        <f t="shared" si="9"/>
        <v>30</v>
      </c>
      <c r="AM11" s="21">
        <v>132</v>
      </c>
      <c r="AN11" s="10">
        <v>-10</v>
      </c>
      <c r="AP11" s="10">
        <f t="shared" si="10"/>
        <v>20</v>
      </c>
      <c r="AQ11" s="10">
        <f t="shared" si="11"/>
        <v>30</v>
      </c>
      <c r="AT11" s="12">
        <v>132</v>
      </c>
      <c r="AU11" s="85"/>
      <c r="AV11" s="86"/>
      <c r="AW11" s="86"/>
      <c r="AX11" s="87"/>
      <c r="AY11" s="87"/>
      <c r="AZ11" s="87"/>
    </row>
    <row r="12" spans="1:78" ht="16.5">
      <c r="B12" s="12">
        <v>140</v>
      </c>
      <c r="C12" s="74"/>
      <c r="D12" s="74"/>
      <c r="E12" s="74"/>
      <c r="F12" s="74"/>
      <c r="G12" s="74"/>
      <c r="H12" s="75"/>
      <c r="J12" s="12">
        <v>140</v>
      </c>
      <c r="K12" s="77"/>
      <c r="L12"/>
      <c r="M12"/>
      <c r="N12"/>
      <c r="Q12" s="19">
        <v>140</v>
      </c>
      <c r="R12" s="8">
        <f t="shared" si="0"/>
        <v>20</v>
      </c>
      <c r="S12" s="8">
        <f t="shared" si="1"/>
        <v>20</v>
      </c>
      <c r="T12" s="8">
        <f t="shared" si="2"/>
        <v>20</v>
      </c>
      <c r="V12" s="19">
        <v>140</v>
      </c>
      <c r="W12" s="8">
        <f t="shared" si="3"/>
        <v>20</v>
      </c>
      <c r="X12" s="8">
        <f t="shared" si="12"/>
        <v>20</v>
      </c>
      <c r="Y12" s="8">
        <f t="shared" si="4"/>
        <v>30</v>
      </c>
      <c r="AB12" s="20">
        <v>140</v>
      </c>
      <c r="AC12" s="9">
        <f t="shared" si="5"/>
        <v>20</v>
      </c>
      <c r="AD12" s="9">
        <f t="shared" si="6"/>
        <v>20</v>
      </c>
      <c r="AE12" s="9">
        <f t="shared" si="7"/>
        <v>20</v>
      </c>
      <c r="AG12" s="20">
        <v>140</v>
      </c>
      <c r="AH12" s="9">
        <f t="shared" si="8"/>
        <v>20</v>
      </c>
      <c r="AI12" s="9">
        <f t="shared" si="13"/>
        <v>20</v>
      </c>
      <c r="AJ12" s="9">
        <f t="shared" si="9"/>
        <v>30</v>
      </c>
      <c r="AM12" s="21">
        <v>140</v>
      </c>
      <c r="AN12" s="10">
        <v>-10</v>
      </c>
      <c r="AP12" s="10">
        <f t="shared" si="10"/>
        <v>20</v>
      </c>
      <c r="AQ12" s="10">
        <f t="shared" si="11"/>
        <v>30</v>
      </c>
      <c r="AT12" s="12">
        <v>140</v>
      </c>
      <c r="AU12" s="85"/>
      <c r="AV12" s="86"/>
      <c r="AW12" s="86"/>
      <c r="AX12" s="87"/>
      <c r="AY12" s="87"/>
      <c r="AZ12" s="87"/>
    </row>
    <row r="13" spans="1:78" ht="16.5">
      <c r="B13" s="12">
        <v>150</v>
      </c>
      <c r="C13" s="74"/>
      <c r="D13" s="74"/>
      <c r="E13" s="74"/>
      <c r="F13" s="74"/>
      <c r="G13" s="74"/>
      <c r="H13" s="75"/>
      <c r="J13" s="12">
        <v>150</v>
      </c>
      <c r="K13" s="77"/>
      <c r="L13"/>
      <c r="M13"/>
      <c r="N13"/>
      <c r="Q13" s="19">
        <v>150</v>
      </c>
      <c r="R13" s="8">
        <f t="shared" si="0"/>
        <v>20</v>
      </c>
      <c r="S13" s="8">
        <f t="shared" si="1"/>
        <v>20</v>
      </c>
      <c r="T13" s="8">
        <f t="shared" si="2"/>
        <v>20</v>
      </c>
      <c r="V13" s="19">
        <v>150</v>
      </c>
      <c r="W13" s="8">
        <f t="shared" si="3"/>
        <v>20</v>
      </c>
      <c r="X13" s="8">
        <f t="shared" si="12"/>
        <v>20</v>
      </c>
      <c r="Y13" s="8">
        <f t="shared" si="4"/>
        <v>30</v>
      </c>
      <c r="AB13" s="20">
        <v>150</v>
      </c>
      <c r="AC13" s="9">
        <f t="shared" si="5"/>
        <v>20</v>
      </c>
      <c r="AD13" s="9">
        <f t="shared" si="6"/>
        <v>20</v>
      </c>
      <c r="AE13" s="9">
        <f t="shared" si="7"/>
        <v>20</v>
      </c>
      <c r="AG13" s="20">
        <v>150</v>
      </c>
      <c r="AH13" s="9">
        <f t="shared" si="8"/>
        <v>20</v>
      </c>
      <c r="AI13" s="9">
        <f t="shared" si="13"/>
        <v>20</v>
      </c>
      <c r="AJ13" s="9">
        <f t="shared" si="9"/>
        <v>30</v>
      </c>
      <c r="AM13" s="21">
        <v>150</v>
      </c>
      <c r="AN13" s="10">
        <v>-10</v>
      </c>
      <c r="AO13" s="10">
        <v>10</v>
      </c>
      <c r="AP13" s="10">
        <f t="shared" si="10"/>
        <v>20</v>
      </c>
      <c r="AQ13" s="10">
        <f t="shared" si="11"/>
        <v>30</v>
      </c>
      <c r="AT13" s="12">
        <v>150</v>
      </c>
      <c r="AU13" s="85"/>
      <c r="AV13" s="86"/>
      <c r="AW13" s="86"/>
      <c r="AX13" s="87"/>
      <c r="AY13" s="87"/>
      <c r="AZ13" s="87"/>
    </row>
    <row r="14" spans="1:78" ht="16.5">
      <c r="B14" s="12">
        <v>160</v>
      </c>
      <c r="C14" s="74"/>
      <c r="D14" s="74"/>
      <c r="E14" s="74"/>
      <c r="F14" s="74"/>
      <c r="G14" s="74"/>
      <c r="H14" s="75"/>
      <c r="J14" s="12">
        <v>160</v>
      </c>
      <c r="K14" s="77"/>
      <c r="L14"/>
      <c r="M14"/>
      <c r="N14"/>
      <c r="Q14" s="19">
        <v>160</v>
      </c>
      <c r="R14" s="8">
        <f t="shared" si="0"/>
        <v>20</v>
      </c>
      <c r="S14" s="8">
        <f t="shared" si="1"/>
        <v>20</v>
      </c>
      <c r="T14" s="8">
        <f t="shared" si="2"/>
        <v>20</v>
      </c>
      <c r="V14" s="19">
        <v>160</v>
      </c>
      <c r="W14" s="8">
        <f t="shared" si="3"/>
        <v>20</v>
      </c>
      <c r="X14" s="8">
        <f t="shared" si="12"/>
        <v>20</v>
      </c>
      <c r="Y14" s="8">
        <f t="shared" si="4"/>
        <v>30</v>
      </c>
      <c r="AB14" s="20">
        <v>160</v>
      </c>
      <c r="AC14" s="9">
        <f t="shared" si="5"/>
        <v>20</v>
      </c>
      <c r="AD14" s="9">
        <f t="shared" si="6"/>
        <v>20</v>
      </c>
      <c r="AE14" s="9">
        <f t="shared" si="7"/>
        <v>20</v>
      </c>
      <c r="AG14" s="20">
        <v>160</v>
      </c>
      <c r="AH14" s="9">
        <f t="shared" si="8"/>
        <v>20</v>
      </c>
      <c r="AI14" s="9">
        <f t="shared" si="13"/>
        <v>20</v>
      </c>
      <c r="AJ14" s="9">
        <f t="shared" si="9"/>
        <v>30</v>
      </c>
      <c r="AM14" s="21">
        <v>160</v>
      </c>
      <c r="AN14" s="10">
        <v>-10</v>
      </c>
      <c r="AP14" s="10">
        <f t="shared" si="10"/>
        <v>20</v>
      </c>
      <c r="AQ14" s="10">
        <f t="shared" si="11"/>
        <v>30</v>
      </c>
      <c r="AT14" s="12">
        <v>160</v>
      </c>
      <c r="AU14" s="85"/>
      <c r="AV14" s="86"/>
      <c r="AW14" s="86"/>
      <c r="AX14" s="87"/>
      <c r="AY14" s="87"/>
      <c r="AZ14" s="87"/>
    </row>
    <row r="15" spans="1:78" ht="16.5">
      <c r="B15" s="12">
        <v>170</v>
      </c>
      <c r="C15" s="74"/>
      <c r="D15" s="74"/>
      <c r="E15" s="74"/>
      <c r="F15" s="74"/>
      <c r="G15" s="74"/>
      <c r="H15" s="75"/>
      <c r="J15" s="12">
        <v>170</v>
      </c>
      <c r="K15" s="77"/>
      <c r="L15"/>
      <c r="M15"/>
      <c r="N15"/>
      <c r="Q15" s="19">
        <v>170</v>
      </c>
      <c r="R15" s="8">
        <f t="shared" si="0"/>
        <v>20</v>
      </c>
      <c r="S15" s="8">
        <f t="shared" si="1"/>
        <v>20</v>
      </c>
      <c r="T15" s="8">
        <f t="shared" si="2"/>
        <v>20</v>
      </c>
      <c r="V15" s="19">
        <v>170</v>
      </c>
      <c r="W15" s="8">
        <f t="shared" si="3"/>
        <v>20</v>
      </c>
      <c r="X15" s="8">
        <f t="shared" si="12"/>
        <v>20</v>
      </c>
      <c r="Y15" s="8">
        <f t="shared" si="4"/>
        <v>30</v>
      </c>
      <c r="AB15" s="20">
        <v>170</v>
      </c>
      <c r="AC15" s="9">
        <f t="shared" si="5"/>
        <v>20</v>
      </c>
      <c r="AD15" s="9">
        <f t="shared" si="6"/>
        <v>20</v>
      </c>
      <c r="AE15" s="9">
        <f t="shared" si="7"/>
        <v>20</v>
      </c>
      <c r="AG15" s="20">
        <v>170</v>
      </c>
      <c r="AH15" s="9">
        <f t="shared" si="8"/>
        <v>20</v>
      </c>
      <c r="AI15" s="9">
        <f t="shared" si="13"/>
        <v>20</v>
      </c>
      <c r="AJ15" s="9">
        <f t="shared" si="9"/>
        <v>30</v>
      </c>
      <c r="AM15" s="21">
        <v>170</v>
      </c>
      <c r="AN15" s="10">
        <v>-10</v>
      </c>
      <c r="AP15" s="10">
        <f t="shared" si="10"/>
        <v>20</v>
      </c>
      <c r="AQ15" s="10">
        <f t="shared" si="11"/>
        <v>30</v>
      </c>
      <c r="AT15" s="12">
        <v>170</v>
      </c>
      <c r="AU15" s="85"/>
      <c r="AV15" s="86"/>
      <c r="AW15" s="86"/>
      <c r="AX15" s="87"/>
      <c r="AY15" s="87"/>
      <c r="AZ15" s="87"/>
    </row>
    <row r="16" spans="1:78" ht="16.5">
      <c r="B16" s="12">
        <v>180</v>
      </c>
      <c r="C16" s="74"/>
      <c r="D16" s="74"/>
      <c r="E16" s="74"/>
      <c r="F16" s="74"/>
      <c r="G16" s="74"/>
      <c r="H16" s="75"/>
      <c r="J16" s="12">
        <v>180</v>
      </c>
      <c r="K16" s="77"/>
      <c r="L16"/>
      <c r="M16"/>
      <c r="N16"/>
      <c r="Q16" s="19">
        <v>180</v>
      </c>
      <c r="R16" s="8">
        <f t="shared" si="0"/>
        <v>20</v>
      </c>
      <c r="S16" s="8">
        <f t="shared" si="1"/>
        <v>20</v>
      </c>
      <c r="T16" s="8">
        <f t="shared" si="2"/>
        <v>20</v>
      </c>
      <c r="V16" s="19">
        <v>180</v>
      </c>
      <c r="W16" s="8">
        <f t="shared" si="3"/>
        <v>20</v>
      </c>
      <c r="X16" s="8">
        <f t="shared" si="12"/>
        <v>20</v>
      </c>
      <c r="Y16" s="8">
        <f t="shared" si="4"/>
        <v>30</v>
      </c>
      <c r="AB16" s="20">
        <v>180</v>
      </c>
      <c r="AC16" s="9">
        <f t="shared" si="5"/>
        <v>20</v>
      </c>
      <c r="AD16" s="9">
        <f t="shared" si="6"/>
        <v>20</v>
      </c>
      <c r="AE16" s="9">
        <f t="shared" si="7"/>
        <v>20</v>
      </c>
      <c r="AG16" s="20">
        <v>180</v>
      </c>
      <c r="AH16" s="9">
        <f t="shared" si="8"/>
        <v>20</v>
      </c>
      <c r="AI16" s="9">
        <f t="shared" si="13"/>
        <v>20</v>
      </c>
      <c r="AJ16" s="9">
        <f t="shared" si="9"/>
        <v>30</v>
      </c>
      <c r="AM16" s="21">
        <v>180</v>
      </c>
      <c r="AN16" s="10">
        <v>-10</v>
      </c>
      <c r="AO16" s="10">
        <v>10</v>
      </c>
      <c r="AP16" s="10">
        <f t="shared" si="10"/>
        <v>20</v>
      </c>
      <c r="AQ16" s="10">
        <f t="shared" si="11"/>
        <v>30</v>
      </c>
      <c r="AT16" s="12">
        <v>180</v>
      </c>
      <c r="AU16" s="85"/>
      <c r="AV16" s="86"/>
      <c r="AW16" s="86"/>
      <c r="AX16" s="87"/>
      <c r="AY16" s="87"/>
      <c r="AZ16" s="87"/>
    </row>
    <row r="17" spans="2:52" ht="16.5">
      <c r="B17" s="12">
        <v>190</v>
      </c>
      <c r="C17" s="74"/>
      <c r="D17" s="74"/>
      <c r="E17" s="74"/>
      <c r="F17" s="74"/>
      <c r="G17" s="74"/>
      <c r="H17" s="75"/>
      <c r="J17" s="12">
        <v>190</v>
      </c>
      <c r="K17" s="77"/>
      <c r="L17"/>
      <c r="M17"/>
      <c r="N17"/>
      <c r="Q17" s="19">
        <v>190</v>
      </c>
      <c r="R17" s="8">
        <f t="shared" si="0"/>
        <v>20</v>
      </c>
      <c r="S17" s="8">
        <f t="shared" si="1"/>
        <v>20</v>
      </c>
      <c r="T17" s="8">
        <f t="shared" si="2"/>
        <v>20</v>
      </c>
      <c r="V17" s="19">
        <v>190</v>
      </c>
      <c r="W17" s="8">
        <f t="shared" si="3"/>
        <v>20</v>
      </c>
      <c r="X17" s="8">
        <f t="shared" si="12"/>
        <v>20</v>
      </c>
      <c r="Y17" s="8">
        <f t="shared" si="4"/>
        <v>30</v>
      </c>
      <c r="AB17" s="20">
        <v>190</v>
      </c>
      <c r="AC17" s="9">
        <f t="shared" si="5"/>
        <v>20</v>
      </c>
      <c r="AD17" s="9">
        <f t="shared" si="6"/>
        <v>20</v>
      </c>
      <c r="AE17" s="9">
        <f t="shared" si="7"/>
        <v>20</v>
      </c>
      <c r="AG17" s="20">
        <v>190</v>
      </c>
      <c r="AH17" s="9">
        <f t="shared" si="8"/>
        <v>20</v>
      </c>
      <c r="AI17" s="9">
        <f t="shared" si="13"/>
        <v>20</v>
      </c>
      <c r="AJ17" s="9">
        <f t="shared" si="9"/>
        <v>30</v>
      </c>
      <c r="AM17" s="21">
        <v>190</v>
      </c>
      <c r="AN17" s="10">
        <v>-10</v>
      </c>
      <c r="AP17" s="10">
        <f t="shared" si="10"/>
        <v>20</v>
      </c>
      <c r="AQ17" s="10">
        <f t="shared" si="11"/>
        <v>30</v>
      </c>
      <c r="AT17" s="12">
        <v>190</v>
      </c>
      <c r="AU17" s="85"/>
      <c r="AV17" s="86"/>
      <c r="AW17" s="86"/>
      <c r="AX17" s="87"/>
      <c r="AY17" s="87"/>
      <c r="AZ17" s="87"/>
    </row>
    <row r="18" spans="2:52" ht="16.5">
      <c r="B18" s="12">
        <v>200</v>
      </c>
      <c r="C18" s="74"/>
      <c r="D18" s="74"/>
      <c r="E18" s="74"/>
      <c r="F18" s="74"/>
      <c r="G18" s="74"/>
      <c r="H18" s="75"/>
      <c r="J18" s="12">
        <v>200</v>
      </c>
      <c r="K18" s="77"/>
      <c r="L18"/>
      <c r="M18"/>
      <c r="N18"/>
      <c r="Q18" s="19">
        <v>200</v>
      </c>
      <c r="R18" s="8">
        <f t="shared" si="0"/>
        <v>20</v>
      </c>
      <c r="S18" s="8">
        <f t="shared" si="1"/>
        <v>20</v>
      </c>
      <c r="T18" s="8">
        <f t="shared" si="2"/>
        <v>20</v>
      </c>
      <c r="V18" s="19">
        <v>200</v>
      </c>
      <c r="W18" s="8">
        <f t="shared" si="3"/>
        <v>20</v>
      </c>
      <c r="X18" s="8">
        <f t="shared" si="12"/>
        <v>20</v>
      </c>
      <c r="Y18" s="8">
        <f t="shared" si="4"/>
        <v>30</v>
      </c>
      <c r="AB18" s="20">
        <v>200</v>
      </c>
      <c r="AC18" s="9">
        <f t="shared" si="5"/>
        <v>20</v>
      </c>
      <c r="AD18" s="9">
        <f t="shared" si="6"/>
        <v>20</v>
      </c>
      <c r="AE18" s="9">
        <f t="shared" si="7"/>
        <v>20</v>
      </c>
      <c r="AG18" s="20">
        <v>200</v>
      </c>
      <c r="AH18" s="9">
        <f t="shared" si="8"/>
        <v>20</v>
      </c>
      <c r="AI18" s="9">
        <f t="shared" si="13"/>
        <v>20</v>
      </c>
      <c r="AJ18" s="9">
        <f t="shared" si="9"/>
        <v>30</v>
      </c>
      <c r="AM18" s="21">
        <v>200</v>
      </c>
      <c r="AN18" s="10">
        <v>-10</v>
      </c>
      <c r="AP18" s="10">
        <f t="shared" si="10"/>
        <v>20</v>
      </c>
      <c r="AQ18" s="10">
        <f t="shared" si="11"/>
        <v>30</v>
      </c>
      <c r="AT18" s="12">
        <v>200</v>
      </c>
      <c r="AU18" s="85"/>
      <c r="AV18" s="86"/>
      <c r="AW18" s="86"/>
      <c r="AX18" s="87"/>
      <c r="AY18" s="87"/>
      <c r="AZ18" s="87"/>
    </row>
    <row r="19" spans="2:52" ht="16.5">
      <c r="B19" s="12">
        <v>212</v>
      </c>
      <c r="C19" s="74"/>
      <c r="D19" s="74"/>
      <c r="E19" s="74"/>
      <c r="F19" s="74"/>
      <c r="G19" s="74"/>
      <c r="H19" s="75"/>
      <c r="J19" s="12">
        <v>212</v>
      </c>
      <c r="K19" s="77"/>
      <c r="L19"/>
      <c r="M19"/>
      <c r="N19"/>
      <c r="Q19" s="19">
        <v>212</v>
      </c>
      <c r="R19" s="8">
        <f t="shared" si="0"/>
        <v>20</v>
      </c>
      <c r="S19" s="8">
        <f t="shared" si="1"/>
        <v>20</v>
      </c>
      <c r="T19" s="8">
        <f t="shared" si="2"/>
        <v>20</v>
      </c>
      <c r="V19" s="19">
        <v>212</v>
      </c>
      <c r="W19" s="8">
        <f t="shared" si="3"/>
        <v>20</v>
      </c>
      <c r="X19" s="8">
        <f t="shared" si="12"/>
        <v>20</v>
      </c>
      <c r="Y19" s="8">
        <f t="shared" si="4"/>
        <v>30</v>
      </c>
      <c r="AB19" s="20">
        <v>212</v>
      </c>
      <c r="AC19" s="9">
        <f t="shared" si="5"/>
        <v>20</v>
      </c>
      <c r="AD19" s="9">
        <f t="shared" si="6"/>
        <v>20</v>
      </c>
      <c r="AE19" s="9">
        <f t="shared" si="7"/>
        <v>20</v>
      </c>
      <c r="AG19" s="20">
        <v>212</v>
      </c>
      <c r="AH19" s="9">
        <f t="shared" si="8"/>
        <v>20</v>
      </c>
      <c r="AI19" s="9">
        <f t="shared" si="13"/>
        <v>20</v>
      </c>
      <c r="AJ19" s="9">
        <f t="shared" si="9"/>
        <v>30</v>
      </c>
      <c r="AM19" s="21">
        <v>212</v>
      </c>
      <c r="AN19" s="10">
        <v>-10</v>
      </c>
      <c r="AO19" s="10">
        <v>10</v>
      </c>
      <c r="AP19" s="10">
        <f t="shared" si="10"/>
        <v>20</v>
      </c>
      <c r="AQ19" s="10">
        <f t="shared" si="11"/>
        <v>30</v>
      </c>
      <c r="AT19" s="12">
        <v>212</v>
      </c>
      <c r="AU19" s="85"/>
      <c r="AV19" s="86"/>
      <c r="AW19" s="86"/>
      <c r="AX19" s="87"/>
      <c r="AY19" s="87"/>
      <c r="AZ19" s="87"/>
    </row>
    <row r="20" spans="2:52" ht="16.5">
      <c r="B20" s="12">
        <v>224</v>
      </c>
      <c r="C20" s="74"/>
      <c r="D20" s="74"/>
      <c r="E20" s="74"/>
      <c r="F20" s="74"/>
      <c r="G20" s="74"/>
      <c r="H20" s="75"/>
      <c r="J20" s="12">
        <v>224</v>
      </c>
      <c r="K20" s="77"/>
      <c r="L20"/>
      <c r="M20"/>
      <c r="N20"/>
      <c r="Q20" s="19">
        <v>224</v>
      </c>
      <c r="R20" s="8">
        <f t="shared" si="0"/>
        <v>20</v>
      </c>
      <c r="S20" s="8">
        <f t="shared" si="1"/>
        <v>20</v>
      </c>
      <c r="T20" s="8">
        <f t="shared" si="2"/>
        <v>20</v>
      </c>
      <c r="V20" s="19">
        <v>224</v>
      </c>
      <c r="W20" s="8">
        <f t="shared" si="3"/>
        <v>20</v>
      </c>
      <c r="X20" s="8">
        <f t="shared" si="12"/>
        <v>20</v>
      </c>
      <c r="Y20" s="8">
        <f t="shared" si="4"/>
        <v>30</v>
      </c>
      <c r="AB20" s="20">
        <v>224</v>
      </c>
      <c r="AC20" s="9">
        <f t="shared" si="5"/>
        <v>20</v>
      </c>
      <c r="AD20" s="9">
        <f t="shared" si="6"/>
        <v>20</v>
      </c>
      <c r="AE20" s="9">
        <f t="shared" si="7"/>
        <v>20</v>
      </c>
      <c r="AG20" s="20">
        <v>224</v>
      </c>
      <c r="AH20" s="9">
        <f t="shared" si="8"/>
        <v>20</v>
      </c>
      <c r="AI20" s="9">
        <f t="shared" si="13"/>
        <v>20</v>
      </c>
      <c r="AJ20" s="9">
        <f t="shared" si="9"/>
        <v>30</v>
      </c>
      <c r="AM20" s="21">
        <v>224</v>
      </c>
      <c r="AN20" s="10">
        <v>-10</v>
      </c>
      <c r="AP20" s="10">
        <f t="shared" si="10"/>
        <v>20</v>
      </c>
      <c r="AQ20" s="10">
        <f t="shared" si="11"/>
        <v>30</v>
      </c>
      <c r="AT20" s="12">
        <v>224</v>
      </c>
      <c r="AU20" s="85"/>
      <c r="AV20" s="86"/>
      <c r="AW20" s="86"/>
      <c r="AX20" s="87"/>
      <c r="AY20" s="87"/>
      <c r="AZ20" s="87"/>
    </row>
    <row r="21" spans="2:52" ht="16.5">
      <c r="B21" s="12">
        <v>236</v>
      </c>
      <c r="C21" s="74"/>
      <c r="D21" s="74"/>
      <c r="E21" s="74"/>
      <c r="F21" s="74"/>
      <c r="G21" s="74"/>
      <c r="H21" s="75"/>
      <c r="J21" s="12">
        <v>236</v>
      </c>
      <c r="K21" s="77"/>
      <c r="L21"/>
      <c r="M21"/>
      <c r="N21"/>
      <c r="Q21" s="19">
        <v>236</v>
      </c>
      <c r="R21" s="8">
        <f t="shared" si="0"/>
        <v>20</v>
      </c>
      <c r="S21" s="8">
        <f t="shared" si="1"/>
        <v>20</v>
      </c>
      <c r="T21" s="8">
        <f t="shared" si="2"/>
        <v>20</v>
      </c>
      <c r="V21" s="19">
        <v>236</v>
      </c>
      <c r="W21" s="8">
        <f t="shared" si="3"/>
        <v>20</v>
      </c>
      <c r="X21" s="8">
        <f t="shared" si="12"/>
        <v>20</v>
      </c>
      <c r="Y21" s="8">
        <f t="shared" si="4"/>
        <v>30</v>
      </c>
      <c r="AB21" s="20">
        <v>236</v>
      </c>
      <c r="AC21" s="9">
        <f t="shared" si="5"/>
        <v>20</v>
      </c>
      <c r="AD21" s="9">
        <f t="shared" si="6"/>
        <v>20</v>
      </c>
      <c r="AE21" s="9">
        <f t="shared" si="7"/>
        <v>20</v>
      </c>
      <c r="AG21" s="20">
        <v>236</v>
      </c>
      <c r="AH21" s="9">
        <f t="shared" si="8"/>
        <v>20</v>
      </c>
      <c r="AI21" s="9">
        <f t="shared" si="13"/>
        <v>20</v>
      </c>
      <c r="AJ21" s="9">
        <f t="shared" si="9"/>
        <v>30</v>
      </c>
      <c r="AM21" s="21">
        <v>236</v>
      </c>
      <c r="AN21" s="10">
        <v>-10</v>
      </c>
      <c r="AP21" s="10">
        <f t="shared" si="10"/>
        <v>20</v>
      </c>
      <c r="AQ21" s="10">
        <f t="shared" si="11"/>
        <v>30</v>
      </c>
      <c r="AT21" s="12">
        <v>236</v>
      </c>
      <c r="AU21" s="85"/>
      <c r="AV21" s="86"/>
      <c r="AW21" s="86"/>
      <c r="AX21" s="87"/>
      <c r="AY21" s="87"/>
      <c r="AZ21" s="87"/>
    </row>
    <row r="22" spans="2:52" ht="16.5">
      <c r="B22" s="12">
        <v>250</v>
      </c>
      <c r="C22" s="74"/>
      <c r="D22" s="74"/>
      <c r="E22" s="74"/>
      <c r="F22" s="74"/>
      <c r="G22" s="74"/>
      <c r="H22" s="75"/>
      <c r="J22" s="12">
        <v>250</v>
      </c>
      <c r="K22" s="77"/>
      <c r="L22"/>
      <c r="M22"/>
      <c r="N22"/>
      <c r="Q22" s="19">
        <v>250</v>
      </c>
      <c r="R22" s="8">
        <f t="shared" si="0"/>
        <v>20</v>
      </c>
      <c r="S22" s="8">
        <f t="shared" si="1"/>
        <v>20</v>
      </c>
      <c r="T22" s="8">
        <f t="shared" si="2"/>
        <v>20</v>
      </c>
      <c r="V22" s="19">
        <v>250</v>
      </c>
      <c r="W22" s="8">
        <f t="shared" si="3"/>
        <v>20</v>
      </c>
      <c r="X22" s="8">
        <f t="shared" si="12"/>
        <v>20</v>
      </c>
      <c r="Y22" s="8">
        <f t="shared" si="4"/>
        <v>30</v>
      </c>
      <c r="AB22" s="20">
        <v>250</v>
      </c>
      <c r="AC22" s="9">
        <f t="shared" si="5"/>
        <v>20</v>
      </c>
      <c r="AD22" s="9">
        <f t="shared" si="6"/>
        <v>20</v>
      </c>
      <c r="AE22" s="9">
        <f t="shared" si="7"/>
        <v>20</v>
      </c>
      <c r="AG22" s="20">
        <v>250</v>
      </c>
      <c r="AH22" s="9">
        <f t="shared" si="8"/>
        <v>20</v>
      </c>
      <c r="AI22" s="9">
        <f t="shared" si="13"/>
        <v>20</v>
      </c>
      <c r="AJ22" s="9">
        <f t="shared" si="9"/>
        <v>30</v>
      </c>
      <c r="AM22" s="21">
        <v>250</v>
      </c>
      <c r="AN22" s="10">
        <v>-10</v>
      </c>
      <c r="AO22" s="10">
        <v>10</v>
      </c>
      <c r="AP22" s="10">
        <f t="shared" si="10"/>
        <v>20</v>
      </c>
      <c r="AQ22" s="10">
        <f t="shared" si="11"/>
        <v>30</v>
      </c>
      <c r="AT22" s="12">
        <v>250</v>
      </c>
      <c r="AU22" s="85"/>
      <c r="AV22" s="86"/>
      <c r="AW22" s="86"/>
      <c r="AX22" s="87"/>
      <c r="AY22" s="87"/>
      <c r="AZ22" s="87"/>
    </row>
    <row r="23" spans="2:52" ht="16.5">
      <c r="B23" s="12">
        <v>265</v>
      </c>
      <c r="C23" s="74"/>
      <c r="D23" s="74"/>
      <c r="E23" s="74"/>
      <c r="F23" s="74"/>
      <c r="G23" s="74"/>
      <c r="H23" s="75"/>
      <c r="J23" s="12">
        <v>265</v>
      </c>
      <c r="K23" s="77"/>
      <c r="L23"/>
      <c r="M23"/>
      <c r="N23"/>
      <c r="Q23" s="19">
        <v>265</v>
      </c>
      <c r="R23" s="8">
        <f t="shared" si="0"/>
        <v>20</v>
      </c>
      <c r="S23" s="8">
        <f t="shared" si="1"/>
        <v>20</v>
      </c>
      <c r="T23" s="8">
        <f t="shared" si="2"/>
        <v>20</v>
      </c>
      <c r="V23" s="19">
        <v>265</v>
      </c>
      <c r="W23" s="8">
        <f t="shared" si="3"/>
        <v>20</v>
      </c>
      <c r="X23" s="8">
        <f t="shared" si="12"/>
        <v>20</v>
      </c>
      <c r="Y23" s="8">
        <f t="shared" si="4"/>
        <v>30</v>
      </c>
      <c r="AB23" s="20">
        <v>265</v>
      </c>
      <c r="AC23" s="9">
        <f t="shared" si="5"/>
        <v>20</v>
      </c>
      <c r="AD23" s="9">
        <f t="shared" si="6"/>
        <v>20</v>
      </c>
      <c r="AE23" s="9">
        <f t="shared" si="7"/>
        <v>20</v>
      </c>
      <c r="AG23" s="20">
        <v>265</v>
      </c>
      <c r="AH23" s="9">
        <f t="shared" si="8"/>
        <v>20</v>
      </c>
      <c r="AI23" s="9">
        <f t="shared" si="13"/>
        <v>20</v>
      </c>
      <c r="AJ23" s="9">
        <f t="shared" si="9"/>
        <v>30</v>
      </c>
      <c r="AM23" s="21">
        <v>265</v>
      </c>
      <c r="AN23" s="10">
        <v>-10</v>
      </c>
      <c r="AP23" s="10">
        <f t="shared" si="10"/>
        <v>20</v>
      </c>
      <c r="AQ23" s="10">
        <f t="shared" si="11"/>
        <v>30</v>
      </c>
      <c r="AT23" s="12">
        <v>265</v>
      </c>
      <c r="AU23" s="85"/>
      <c r="AV23" s="86"/>
      <c r="AW23" s="86"/>
      <c r="AX23" s="87"/>
      <c r="AY23" s="87"/>
      <c r="AZ23" s="87"/>
    </row>
    <row r="24" spans="2:52" ht="16.5">
      <c r="B24" s="12">
        <v>280</v>
      </c>
      <c r="C24" s="74"/>
      <c r="D24" s="74"/>
      <c r="E24" s="74"/>
      <c r="F24" s="74"/>
      <c r="G24" s="74"/>
      <c r="H24" s="75"/>
      <c r="J24" s="12">
        <v>280</v>
      </c>
      <c r="K24" s="77"/>
      <c r="L24"/>
      <c r="M24"/>
      <c r="N24"/>
      <c r="Q24" s="19">
        <v>280</v>
      </c>
      <c r="R24" s="8">
        <f t="shared" si="0"/>
        <v>20</v>
      </c>
      <c r="S24" s="8">
        <f t="shared" si="1"/>
        <v>20</v>
      </c>
      <c r="T24" s="8">
        <f t="shared" si="2"/>
        <v>20</v>
      </c>
      <c r="V24" s="19">
        <v>280</v>
      </c>
      <c r="W24" s="8">
        <f t="shared" si="3"/>
        <v>20</v>
      </c>
      <c r="X24" s="8">
        <f t="shared" si="12"/>
        <v>20</v>
      </c>
      <c r="Y24" s="8">
        <f t="shared" si="4"/>
        <v>30</v>
      </c>
      <c r="AB24" s="20">
        <v>280</v>
      </c>
      <c r="AC24" s="9">
        <f t="shared" si="5"/>
        <v>20</v>
      </c>
      <c r="AD24" s="9">
        <f t="shared" si="6"/>
        <v>20</v>
      </c>
      <c r="AE24" s="9">
        <f t="shared" si="7"/>
        <v>20</v>
      </c>
      <c r="AG24" s="20">
        <v>280</v>
      </c>
      <c r="AH24" s="9">
        <f t="shared" si="8"/>
        <v>20</v>
      </c>
      <c r="AI24" s="9">
        <f t="shared" si="13"/>
        <v>20</v>
      </c>
      <c r="AJ24" s="9">
        <f t="shared" si="9"/>
        <v>30</v>
      </c>
      <c r="AM24" s="21">
        <v>280</v>
      </c>
      <c r="AN24" s="10">
        <v>-10</v>
      </c>
      <c r="AP24" s="10">
        <f t="shared" si="10"/>
        <v>20</v>
      </c>
      <c r="AQ24" s="10">
        <f t="shared" si="11"/>
        <v>30</v>
      </c>
      <c r="AT24" s="12">
        <v>280</v>
      </c>
      <c r="AU24" s="85"/>
      <c r="AV24" s="86"/>
      <c r="AW24" s="86"/>
      <c r="AX24" s="87"/>
      <c r="AY24" s="87"/>
      <c r="AZ24" s="87"/>
    </row>
    <row r="25" spans="2:52" ht="16.5">
      <c r="B25" s="12">
        <v>300</v>
      </c>
      <c r="C25" s="74"/>
      <c r="D25" s="74"/>
      <c r="E25" s="74"/>
      <c r="F25" s="74"/>
      <c r="G25" s="74"/>
      <c r="H25" s="75"/>
      <c r="J25" s="12">
        <v>300</v>
      </c>
      <c r="K25" s="77"/>
      <c r="L25"/>
      <c r="M25"/>
      <c r="N25"/>
      <c r="Q25" s="19">
        <v>300</v>
      </c>
      <c r="R25" s="8">
        <f t="shared" si="0"/>
        <v>20</v>
      </c>
      <c r="S25" s="8">
        <f t="shared" si="1"/>
        <v>20</v>
      </c>
      <c r="T25" s="8">
        <f t="shared" si="2"/>
        <v>20</v>
      </c>
      <c r="V25" s="19">
        <v>300</v>
      </c>
      <c r="W25" s="8">
        <f t="shared" si="3"/>
        <v>20</v>
      </c>
      <c r="X25" s="8">
        <f t="shared" si="12"/>
        <v>20</v>
      </c>
      <c r="Y25" s="8">
        <f t="shared" si="4"/>
        <v>30</v>
      </c>
      <c r="AB25" s="20">
        <v>300</v>
      </c>
      <c r="AC25" s="9">
        <f t="shared" si="5"/>
        <v>20</v>
      </c>
      <c r="AD25" s="9">
        <f t="shared" si="6"/>
        <v>20</v>
      </c>
      <c r="AE25" s="9">
        <f t="shared" si="7"/>
        <v>20</v>
      </c>
      <c r="AG25" s="20">
        <v>300</v>
      </c>
      <c r="AH25" s="9">
        <f t="shared" si="8"/>
        <v>20</v>
      </c>
      <c r="AI25" s="9">
        <f t="shared" si="13"/>
        <v>20</v>
      </c>
      <c r="AJ25" s="9">
        <f t="shared" si="9"/>
        <v>30</v>
      </c>
      <c r="AM25" s="21">
        <v>300</v>
      </c>
      <c r="AN25" s="10">
        <v>-10</v>
      </c>
      <c r="AO25" s="10">
        <v>10</v>
      </c>
      <c r="AP25" s="10">
        <f t="shared" si="10"/>
        <v>20</v>
      </c>
      <c r="AQ25" s="10">
        <f t="shared" si="11"/>
        <v>30</v>
      </c>
      <c r="AT25" s="12">
        <v>300</v>
      </c>
      <c r="AU25" s="85"/>
      <c r="AV25" s="86"/>
      <c r="AW25" s="86"/>
      <c r="AX25" s="87"/>
      <c r="AY25" s="87"/>
      <c r="AZ25" s="87"/>
    </row>
    <row r="26" spans="2:52" ht="16.5">
      <c r="B26" s="12">
        <v>315</v>
      </c>
      <c r="C26" s="74"/>
      <c r="D26" s="74"/>
      <c r="E26" s="74"/>
      <c r="F26" s="74"/>
      <c r="G26" s="74"/>
      <c r="H26" s="75"/>
      <c r="J26" s="12">
        <v>315</v>
      </c>
      <c r="K26" s="77"/>
      <c r="L26"/>
      <c r="M26"/>
      <c r="N26"/>
      <c r="Q26" s="19">
        <v>315</v>
      </c>
      <c r="R26" s="8">
        <f t="shared" si="0"/>
        <v>20</v>
      </c>
      <c r="S26" s="8">
        <f t="shared" si="1"/>
        <v>20</v>
      </c>
      <c r="T26" s="8">
        <f t="shared" si="2"/>
        <v>20</v>
      </c>
      <c r="V26" s="19">
        <v>315</v>
      </c>
      <c r="W26" s="8">
        <f t="shared" si="3"/>
        <v>20</v>
      </c>
      <c r="X26" s="8">
        <f t="shared" si="12"/>
        <v>20</v>
      </c>
      <c r="Y26" s="8">
        <f t="shared" si="4"/>
        <v>30</v>
      </c>
      <c r="AB26" s="20">
        <v>315</v>
      </c>
      <c r="AC26" s="9">
        <f t="shared" si="5"/>
        <v>20</v>
      </c>
      <c r="AD26" s="9">
        <f t="shared" si="6"/>
        <v>20</v>
      </c>
      <c r="AE26" s="9">
        <f t="shared" si="7"/>
        <v>20</v>
      </c>
      <c r="AG26" s="20">
        <v>315</v>
      </c>
      <c r="AH26" s="9">
        <f t="shared" si="8"/>
        <v>20</v>
      </c>
      <c r="AI26" s="9">
        <f t="shared" si="13"/>
        <v>20</v>
      </c>
      <c r="AJ26" s="9">
        <f t="shared" si="9"/>
        <v>30</v>
      </c>
      <c r="AM26" s="21">
        <v>315</v>
      </c>
      <c r="AN26" s="10">
        <v>-10</v>
      </c>
      <c r="AP26" s="10">
        <f t="shared" si="10"/>
        <v>20</v>
      </c>
      <c r="AQ26" s="10">
        <f t="shared" si="11"/>
        <v>30</v>
      </c>
      <c r="AT26" s="12">
        <v>315</v>
      </c>
      <c r="AU26" s="85"/>
      <c r="AV26" s="86"/>
      <c r="AW26" s="86"/>
      <c r="AX26" s="87"/>
      <c r="AY26" s="87"/>
      <c r="AZ26" s="87"/>
    </row>
    <row r="27" spans="2:52" ht="16.5">
      <c r="B27" s="12">
        <v>335</v>
      </c>
      <c r="C27" s="74"/>
      <c r="D27" s="74"/>
      <c r="E27" s="74"/>
      <c r="F27" s="74"/>
      <c r="G27" s="74"/>
      <c r="H27" s="75"/>
      <c r="J27" s="12">
        <v>335</v>
      </c>
      <c r="K27" s="77"/>
      <c r="L27"/>
      <c r="M27"/>
      <c r="N27"/>
      <c r="Q27" s="19">
        <v>335</v>
      </c>
      <c r="R27" s="8">
        <f t="shared" si="0"/>
        <v>20</v>
      </c>
      <c r="S27" s="8">
        <f t="shared" si="1"/>
        <v>20</v>
      </c>
      <c r="T27" s="8">
        <f t="shared" si="2"/>
        <v>20</v>
      </c>
      <c r="V27" s="19">
        <v>335</v>
      </c>
      <c r="W27" s="8">
        <f t="shared" si="3"/>
        <v>20</v>
      </c>
      <c r="X27" s="8">
        <f t="shared" si="12"/>
        <v>20</v>
      </c>
      <c r="Y27" s="8">
        <f t="shared" si="4"/>
        <v>30</v>
      </c>
      <c r="AB27" s="20">
        <v>335</v>
      </c>
      <c r="AC27" s="9">
        <f t="shared" si="5"/>
        <v>20</v>
      </c>
      <c r="AD27" s="9">
        <f t="shared" si="6"/>
        <v>20</v>
      </c>
      <c r="AE27" s="9">
        <f t="shared" si="7"/>
        <v>20</v>
      </c>
      <c r="AG27" s="20">
        <v>335</v>
      </c>
      <c r="AH27" s="9">
        <f t="shared" si="8"/>
        <v>20</v>
      </c>
      <c r="AI27" s="9">
        <f t="shared" si="13"/>
        <v>20</v>
      </c>
      <c r="AJ27" s="9">
        <f t="shared" si="9"/>
        <v>30</v>
      </c>
      <c r="AM27" s="21">
        <v>335</v>
      </c>
      <c r="AN27" s="10">
        <v>-10</v>
      </c>
      <c r="AP27" s="10">
        <f t="shared" si="10"/>
        <v>20</v>
      </c>
      <c r="AQ27" s="10">
        <f t="shared" si="11"/>
        <v>30</v>
      </c>
      <c r="AT27" s="12">
        <v>335</v>
      </c>
      <c r="AU27" s="85"/>
      <c r="AV27" s="86"/>
      <c r="AW27" s="86"/>
      <c r="AX27" s="87"/>
      <c r="AY27" s="87"/>
      <c r="AZ27" s="87"/>
    </row>
    <row r="28" spans="2:52" ht="16.5">
      <c r="B28" s="12">
        <v>355</v>
      </c>
      <c r="C28" s="74"/>
      <c r="D28" s="74"/>
      <c r="E28" s="74"/>
      <c r="F28" s="74"/>
      <c r="G28" s="74"/>
      <c r="H28" s="75"/>
      <c r="J28" s="12">
        <v>355</v>
      </c>
      <c r="K28" s="77"/>
      <c r="L28"/>
      <c r="M28"/>
      <c r="N28"/>
      <c r="Q28" s="19">
        <v>355</v>
      </c>
      <c r="R28" s="8">
        <f t="shared" si="0"/>
        <v>20</v>
      </c>
      <c r="S28" s="8">
        <f t="shared" si="1"/>
        <v>20</v>
      </c>
      <c r="T28" s="8">
        <f t="shared" si="2"/>
        <v>20</v>
      </c>
      <c r="V28" s="19">
        <v>355</v>
      </c>
      <c r="W28" s="8">
        <f t="shared" si="3"/>
        <v>20</v>
      </c>
      <c r="X28" s="8">
        <f t="shared" si="12"/>
        <v>20</v>
      </c>
      <c r="Y28" s="8">
        <f t="shared" si="4"/>
        <v>30</v>
      </c>
      <c r="AB28" s="20">
        <v>355</v>
      </c>
      <c r="AC28" s="9">
        <f t="shared" si="5"/>
        <v>20</v>
      </c>
      <c r="AD28" s="9">
        <f t="shared" si="6"/>
        <v>20</v>
      </c>
      <c r="AE28" s="9">
        <f t="shared" si="7"/>
        <v>20</v>
      </c>
      <c r="AG28" s="20">
        <v>355</v>
      </c>
      <c r="AH28" s="9">
        <f t="shared" si="8"/>
        <v>20</v>
      </c>
      <c r="AI28" s="9">
        <f t="shared" si="13"/>
        <v>20</v>
      </c>
      <c r="AJ28" s="9">
        <f t="shared" si="9"/>
        <v>30</v>
      </c>
      <c r="AM28" s="21">
        <v>355</v>
      </c>
      <c r="AN28" s="10">
        <v>-10</v>
      </c>
      <c r="AO28" s="10">
        <v>10</v>
      </c>
      <c r="AP28" s="10">
        <f t="shared" si="10"/>
        <v>20</v>
      </c>
      <c r="AQ28" s="10">
        <f t="shared" si="11"/>
        <v>30</v>
      </c>
      <c r="AT28" s="12">
        <v>355</v>
      </c>
      <c r="AU28" s="85"/>
      <c r="AV28" s="86"/>
      <c r="AW28" s="86"/>
      <c r="AX28" s="87"/>
      <c r="AY28" s="87"/>
      <c r="AZ28" s="87"/>
    </row>
    <row r="29" spans="2:52" ht="16.5">
      <c r="B29" s="12">
        <v>375</v>
      </c>
      <c r="C29" s="74"/>
      <c r="D29" s="74"/>
      <c r="E29" s="74"/>
      <c r="F29" s="74"/>
      <c r="G29" s="74"/>
      <c r="H29" s="75"/>
      <c r="J29" s="12">
        <v>375</v>
      </c>
      <c r="K29" s="77"/>
      <c r="L29"/>
      <c r="M29"/>
      <c r="N29"/>
      <c r="Q29" s="19">
        <v>375</v>
      </c>
      <c r="R29" s="8">
        <f t="shared" si="0"/>
        <v>20</v>
      </c>
      <c r="S29" s="8">
        <f t="shared" si="1"/>
        <v>20</v>
      </c>
      <c r="T29" s="8">
        <f t="shared" si="2"/>
        <v>20</v>
      </c>
      <c r="V29" s="19">
        <v>375</v>
      </c>
      <c r="W29" s="8">
        <f t="shared" si="3"/>
        <v>20</v>
      </c>
      <c r="X29" s="8">
        <f t="shared" si="12"/>
        <v>20</v>
      </c>
      <c r="Y29" s="8">
        <f t="shared" si="4"/>
        <v>30</v>
      </c>
      <c r="AB29" s="20">
        <v>375</v>
      </c>
      <c r="AC29" s="9">
        <f t="shared" si="5"/>
        <v>20</v>
      </c>
      <c r="AD29" s="9">
        <f t="shared" si="6"/>
        <v>20</v>
      </c>
      <c r="AE29" s="9">
        <f t="shared" si="7"/>
        <v>20</v>
      </c>
      <c r="AG29" s="20">
        <v>375</v>
      </c>
      <c r="AH29" s="9">
        <f t="shared" si="8"/>
        <v>20</v>
      </c>
      <c r="AI29" s="9">
        <f t="shared" si="13"/>
        <v>20</v>
      </c>
      <c r="AJ29" s="9">
        <f t="shared" si="9"/>
        <v>30</v>
      </c>
      <c r="AM29" s="21">
        <v>375</v>
      </c>
      <c r="AN29" s="10">
        <v>-10</v>
      </c>
      <c r="AP29" s="10">
        <f t="shared" si="10"/>
        <v>20</v>
      </c>
      <c r="AQ29" s="10">
        <f t="shared" si="11"/>
        <v>30</v>
      </c>
      <c r="AT29" s="12">
        <v>375</v>
      </c>
      <c r="AU29" s="85"/>
      <c r="AV29" s="86"/>
      <c r="AW29" s="86"/>
      <c r="AX29" s="87"/>
      <c r="AY29" s="87"/>
      <c r="AZ29" s="87"/>
    </row>
    <row r="30" spans="2:52" ht="16.5">
      <c r="B30" s="12">
        <v>400</v>
      </c>
      <c r="C30" s="74"/>
      <c r="D30" s="74"/>
      <c r="E30" s="74"/>
      <c r="F30" s="74"/>
      <c r="G30" s="74"/>
      <c r="H30" s="75"/>
      <c r="J30" s="12">
        <v>400</v>
      </c>
      <c r="K30" s="77"/>
      <c r="L30"/>
      <c r="M30"/>
      <c r="N30"/>
      <c r="Q30" s="19">
        <v>400</v>
      </c>
      <c r="R30" s="8">
        <f t="shared" si="0"/>
        <v>20</v>
      </c>
      <c r="S30" s="8">
        <f t="shared" si="1"/>
        <v>20</v>
      </c>
      <c r="T30" s="8">
        <f t="shared" si="2"/>
        <v>20</v>
      </c>
      <c r="V30" s="19">
        <v>400</v>
      </c>
      <c r="W30" s="8">
        <f t="shared" si="3"/>
        <v>20</v>
      </c>
      <c r="X30" s="8">
        <f t="shared" si="12"/>
        <v>20</v>
      </c>
      <c r="Y30" s="8">
        <f t="shared" si="4"/>
        <v>30</v>
      </c>
      <c r="AB30" s="20">
        <v>400</v>
      </c>
      <c r="AC30" s="9">
        <f t="shared" si="5"/>
        <v>20</v>
      </c>
      <c r="AD30" s="9">
        <f t="shared" si="6"/>
        <v>20</v>
      </c>
      <c r="AE30" s="9">
        <f t="shared" si="7"/>
        <v>20</v>
      </c>
      <c r="AG30" s="20">
        <v>400</v>
      </c>
      <c r="AH30" s="9">
        <f t="shared" si="8"/>
        <v>20</v>
      </c>
      <c r="AI30" s="9">
        <f t="shared" si="13"/>
        <v>20</v>
      </c>
      <c r="AJ30" s="9">
        <f t="shared" si="9"/>
        <v>30</v>
      </c>
      <c r="AM30" s="21">
        <v>400</v>
      </c>
      <c r="AN30" s="10">
        <v>-10</v>
      </c>
      <c r="AP30" s="10">
        <f t="shared" si="10"/>
        <v>20</v>
      </c>
      <c r="AQ30" s="10">
        <f t="shared" si="11"/>
        <v>30</v>
      </c>
      <c r="AT30" s="12">
        <v>400</v>
      </c>
      <c r="AU30" s="85"/>
      <c r="AV30" s="86"/>
      <c r="AW30" s="86"/>
      <c r="AX30" s="87"/>
      <c r="AY30" s="87"/>
      <c r="AZ30" s="87"/>
    </row>
    <row r="31" spans="2:52" ht="16.5">
      <c r="B31" s="12">
        <v>425</v>
      </c>
      <c r="C31" s="74"/>
      <c r="D31" s="74"/>
      <c r="E31" s="74"/>
      <c r="F31" s="74"/>
      <c r="G31" s="74"/>
      <c r="H31" s="75"/>
      <c r="J31" s="12">
        <v>425</v>
      </c>
      <c r="K31" s="77"/>
      <c r="L31"/>
      <c r="M31"/>
      <c r="N31"/>
      <c r="Q31" s="19">
        <v>425</v>
      </c>
      <c r="R31" s="8">
        <f t="shared" si="0"/>
        <v>20</v>
      </c>
      <c r="S31" s="8">
        <f t="shared" si="1"/>
        <v>20</v>
      </c>
      <c r="T31" s="8">
        <f t="shared" si="2"/>
        <v>20</v>
      </c>
      <c r="V31" s="19">
        <v>425</v>
      </c>
      <c r="W31" s="8">
        <f t="shared" si="3"/>
        <v>20</v>
      </c>
      <c r="X31" s="8">
        <f t="shared" si="12"/>
        <v>20</v>
      </c>
      <c r="Y31" s="8">
        <f t="shared" si="4"/>
        <v>30</v>
      </c>
      <c r="AB31" s="20">
        <v>425</v>
      </c>
      <c r="AC31" s="9">
        <f t="shared" si="5"/>
        <v>20</v>
      </c>
      <c r="AD31" s="9">
        <f t="shared" si="6"/>
        <v>20</v>
      </c>
      <c r="AE31" s="9">
        <f t="shared" si="7"/>
        <v>20</v>
      </c>
      <c r="AG31" s="20">
        <v>425</v>
      </c>
      <c r="AH31" s="9">
        <f t="shared" si="8"/>
        <v>20</v>
      </c>
      <c r="AI31" s="9">
        <f t="shared" si="13"/>
        <v>20</v>
      </c>
      <c r="AJ31" s="9">
        <f t="shared" si="9"/>
        <v>30</v>
      </c>
      <c r="AM31" s="21">
        <v>425</v>
      </c>
      <c r="AN31" s="10">
        <v>-10</v>
      </c>
      <c r="AO31" s="10">
        <v>10</v>
      </c>
      <c r="AP31" s="10">
        <f t="shared" si="10"/>
        <v>20</v>
      </c>
      <c r="AQ31" s="10">
        <f t="shared" si="11"/>
        <v>30</v>
      </c>
      <c r="AT31" s="12">
        <v>425</v>
      </c>
      <c r="AU31" s="85"/>
      <c r="AV31" s="86"/>
      <c r="AW31" s="86"/>
      <c r="AX31" s="87"/>
      <c r="AY31" s="87"/>
      <c r="AZ31" s="87"/>
    </row>
    <row r="32" spans="2:52" ht="16.5">
      <c r="B32" s="12">
        <v>450</v>
      </c>
      <c r="C32" s="74"/>
      <c r="D32" s="74"/>
      <c r="E32" s="74"/>
      <c r="F32" s="74"/>
      <c r="G32" s="74"/>
      <c r="H32" s="75"/>
      <c r="J32" s="12">
        <v>450</v>
      </c>
      <c r="K32" s="77"/>
      <c r="L32"/>
      <c r="M32"/>
      <c r="N32"/>
      <c r="Q32" s="19">
        <v>450</v>
      </c>
      <c r="R32" s="8">
        <f t="shared" si="0"/>
        <v>20</v>
      </c>
      <c r="S32" s="8">
        <f t="shared" si="1"/>
        <v>20</v>
      </c>
      <c r="T32" s="8">
        <f t="shared" si="2"/>
        <v>20</v>
      </c>
      <c r="V32" s="19">
        <v>450</v>
      </c>
      <c r="W32" s="8">
        <f t="shared" si="3"/>
        <v>20</v>
      </c>
      <c r="X32" s="8">
        <f t="shared" si="12"/>
        <v>20</v>
      </c>
      <c r="Y32" s="8">
        <f t="shared" si="4"/>
        <v>30</v>
      </c>
      <c r="AB32" s="20">
        <v>450</v>
      </c>
      <c r="AC32" s="9">
        <f t="shared" si="5"/>
        <v>20</v>
      </c>
      <c r="AD32" s="9">
        <f t="shared" si="6"/>
        <v>20</v>
      </c>
      <c r="AE32" s="9">
        <f t="shared" si="7"/>
        <v>20</v>
      </c>
      <c r="AG32" s="20">
        <v>450</v>
      </c>
      <c r="AH32" s="9">
        <f t="shared" si="8"/>
        <v>20</v>
      </c>
      <c r="AI32" s="9">
        <f t="shared" si="13"/>
        <v>20</v>
      </c>
      <c r="AJ32" s="9">
        <f t="shared" si="9"/>
        <v>30</v>
      </c>
      <c r="AM32" s="21">
        <v>450</v>
      </c>
      <c r="AN32" s="10">
        <v>-10</v>
      </c>
      <c r="AP32" s="10">
        <f t="shared" si="10"/>
        <v>20</v>
      </c>
      <c r="AQ32" s="10">
        <f t="shared" si="11"/>
        <v>30</v>
      </c>
      <c r="AT32" s="12">
        <v>450</v>
      </c>
      <c r="AU32" s="85"/>
      <c r="AV32" s="86"/>
      <c r="AW32" s="86"/>
      <c r="AX32" s="87"/>
      <c r="AY32" s="87"/>
      <c r="AZ32" s="87"/>
    </row>
    <row r="33" spans="2:52" ht="16.5">
      <c r="B33" s="12">
        <v>475</v>
      </c>
      <c r="C33" s="74"/>
      <c r="D33" s="74"/>
      <c r="E33" s="74"/>
      <c r="F33" s="74"/>
      <c r="G33" s="74"/>
      <c r="H33" s="75"/>
      <c r="J33" s="12">
        <v>475</v>
      </c>
      <c r="K33" s="77"/>
      <c r="L33"/>
      <c r="M33"/>
      <c r="N33"/>
      <c r="Q33" s="19">
        <v>475</v>
      </c>
      <c r="R33" s="8">
        <f t="shared" si="0"/>
        <v>20</v>
      </c>
      <c r="S33" s="8">
        <f t="shared" si="1"/>
        <v>20</v>
      </c>
      <c r="T33" s="8">
        <f t="shared" si="2"/>
        <v>20</v>
      </c>
      <c r="V33" s="19">
        <v>475</v>
      </c>
      <c r="W33" s="8">
        <f t="shared" si="3"/>
        <v>20</v>
      </c>
      <c r="X33" s="8">
        <f t="shared" si="12"/>
        <v>20</v>
      </c>
      <c r="Y33" s="8">
        <f t="shared" si="4"/>
        <v>30</v>
      </c>
      <c r="AB33" s="20">
        <v>475</v>
      </c>
      <c r="AC33" s="9">
        <f t="shared" si="5"/>
        <v>20</v>
      </c>
      <c r="AD33" s="9">
        <f t="shared" si="6"/>
        <v>20</v>
      </c>
      <c r="AE33" s="9">
        <f t="shared" si="7"/>
        <v>20</v>
      </c>
      <c r="AG33" s="20">
        <v>475</v>
      </c>
      <c r="AH33" s="9">
        <f t="shared" si="8"/>
        <v>20</v>
      </c>
      <c r="AI33" s="9">
        <f t="shared" si="13"/>
        <v>20</v>
      </c>
      <c r="AJ33" s="9">
        <f t="shared" si="9"/>
        <v>30</v>
      </c>
      <c r="AM33" s="21">
        <v>475</v>
      </c>
      <c r="AN33" s="10">
        <v>-10</v>
      </c>
      <c r="AP33" s="10">
        <f t="shared" si="10"/>
        <v>20</v>
      </c>
      <c r="AQ33" s="10">
        <f t="shared" si="11"/>
        <v>30</v>
      </c>
      <c r="AT33" s="12">
        <v>475</v>
      </c>
      <c r="AU33" s="85"/>
      <c r="AV33" s="86"/>
      <c r="AW33" s="86"/>
      <c r="AX33" s="87"/>
      <c r="AY33" s="87"/>
      <c r="AZ33" s="87"/>
    </row>
    <row r="34" spans="2:52" ht="16.5">
      <c r="B34" s="12">
        <v>500</v>
      </c>
      <c r="C34" s="74"/>
      <c r="D34" s="74"/>
      <c r="E34" s="74"/>
      <c r="F34" s="74"/>
      <c r="G34" s="74"/>
      <c r="H34" s="75"/>
      <c r="J34" s="12">
        <v>500</v>
      </c>
      <c r="K34" s="77"/>
      <c r="L34"/>
      <c r="M34"/>
      <c r="N34"/>
      <c r="Q34" s="19">
        <v>500</v>
      </c>
      <c r="R34" s="8">
        <f t="shared" si="0"/>
        <v>20</v>
      </c>
      <c r="S34" s="8">
        <f t="shared" si="1"/>
        <v>20</v>
      </c>
      <c r="T34" s="8">
        <f t="shared" si="2"/>
        <v>20</v>
      </c>
      <c r="V34" s="19">
        <v>500</v>
      </c>
      <c r="W34" s="8">
        <f t="shared" si="3"/>
        <v>20</v>
      </c>
      <c r="X34" s="8">
        <f t="shared" si="12"/>
        <v>20</v>
      </c>
      <c r="Y34" s="8">
        <f t="shared" si="4"/>
        <v>30</v>
      </c>
      <c r="AB34" s="20">
        <v>500</v>
      </c>
      <c r="AC34" s="9">
        <f t="shared" si="5"/>
        <v>20</v>
      </c>
      <c r="AD34" s="9">
        <f t="shared" si="6"/>
        <v>20</v>
      </c>
      <c r="AE34" s="9">
        <f t="shared" si="7"/>
        <v>20</v>
      </c>
      <c r="AG34" s="20">
        <v>500</v>
      </c>
      <c r="AH34" s="9">
        <f t="shared" si="8"/>
        <v>20</v>
      </c>
      <c r="AI34" s="9">
        <f t="shared" si="13"/>
        <v>20</v>
      </c>
      <c r="AJ34" s="9">
        <f t="shared" si="9"/>
        <v>30</v>
      </c>
      <c r="AM34" s="21">
        <v>500</v>
      </c>
      <c r="AN34" s="10">
        <v>-10</v>
      </c>
      <c r="AO34" s="10">
        <v>10</v>
      </c>
      <c r="AP34" s="10">
        <f t="shared" si="10"/>
        <v>20</v>
      </c>
      <c r="AQ34" s="10">
        <f t="shared" si="11"/>
        <v>30</v>
      </c>
      <c r="AT34" s="12">
        <v>500</v>
      </c>
      <c r="AU34" s="85"/>
      <c r="AV34" s="86"/>
      <c r="AW34" s="86"/>
      <c r="AX34" s="87"/>
      <c r="AY34" s="87"/>
      <c r="AZ34" s="87"/>
    </row>
    <row r="35" spans="2:52" ht="16.5">
      <c r="B35" s="12">
        <v>530</v>
      </c>
      <c r="C35" s="74"/>
      <c r="D35" s="74"/>
      <c r="E35" s="74"/>
      <c r="F35" s="74"/>
      <c r="G35" s="74"/>
      <c r="H35" s="75"/>
      <c r="J35" s="12">
        <v>530</v>
      </c>
      <c r="K35" s="77"/>
      <c r="L35"/>
      <c r="M35"/>
      <c r="N35"/>
      <c r="Q35" s="19">
        <v>530</v>
      </c>
      <c r="R35" s="8">
        <f t="shared" si="0"/>
        <v>20</v>
      </c>
      <c r="S35" s="8">
        <f t="shared" si="1"/>
        <v>20</v>
      </c>
      <c r="T35" s="8">
        <f t="shared" si="2"/>
        <v>20</v>
      </c>
      <c r="V35" s="19">
        <v>530</v>
      </c>
      <c r="W35" s="8">
        <f t="shared" si="3"/>
        <v>20</v>
      </c>
      <c r="X35" s="8">
        <f t="shared" si="12"/>
        <v>20</v>
      </c>
      <c r="Y35" s="8">
        <f t="shared" si="4"/>
        <v>30</v>
      </c>
      <c r="AB35" s="20">
        <v>530</v>
      </c>
      <c r="AC35" s="9">
        <f t="shared" si="5"/>
        <v>20</v>
      </c>
      <c r="AD35" s="9">
        <f t="shared" si="6"/>
        <v>20</v>
      </c>
      <c r="AE35" s="9">
        <f t="shared" si="7"/>
        <v>20</v>
      </c>
      <c r="AG35" s="20">
        <v>530</v>
      </c>
      <c r="AH35" s="9">
        <f t="shared" si="8"/>
        <v>20</v>
      </c>
      <c r="AI35" s="9">
        <f t="shared" si="13"/>
        <v>20</v>
      </c>
      <c r="AJ35" s="9">
        <f t="shared" si="9"/>
        <v>30</v>
      </c>
      <c r="AM35" s="21">
        <v>530</v>
      </c>
      <c r="AN35" s="10">
        <v>-10</v>
      </c>
      <c r="AP35" s="10">
        <f t="shared" si="10"/>
        <v>20</v>
      </c>
      <c r="AQ35" s="10">
        <f t="shared" si="11"/>
        <v>30</v>
      </c>
      <c r="AT35" s="12">
        <v>530</v>
      </c>
      <c r="AU35" s="85"/>
      <c r="AV35" s="86"/>
      <c r="AW35" s="86"/>
      <c r="AX35" s="87"/>
      <c r="AY35" s="87"/>
      <c r="AZ35" s="87"/>
    </row>
    <row r="36" spans="2:52" ht="16.5">
      <c r="B36" s="12">
        <v>560</v>
      </c>
      <c r="C36" s="74"/>
      <c r="D36" s="74"/>
      <c r="E36" s="74"/>
      <c r="F36" s="74"/>
      <c r="G36" s="74"/>
      <c r="H36" s="75"/>
      <c r="J36" s="12">
        <v>560</v>
      </c>
      <c r="K36" s="77"/>
      <c r="L36"/>
      <c r="M36"/>
      <c r="N36"/>
      <c r="Q36" s="19">
        <v>560</v>
      </c>
      <c r="R36" s="8">
        <f t="shared" si="0"/>
        <v>20</v>
      </c>
      <c r="S36" s="8">
        <f t="shared" si="1"/>
        <v>20</v>
      </c>
      <c r="T36" s="8">
        <f t="shared" si="2"/>
        <v>20</v>
      </c>
      <c r="V36" s="19">
        <v>560</v>
      </c>
      <c r="W36" s="8">
        <f t="shared" si="3"/>
        <v>20</v>
      </c>
      <c r="X36" s="8">
        <f t="shared" si="12"/>
        <v>20</v>
      </c>
      <c r="Y36" s="8">
        <f t="shared" si="4"/>
        <v>30</v>
      </c>
      <c r="AB36" s="20">
        <v>560</v>
      </c>
      <c r="AC36" s="9">
        <f t="shared" si="5"/>
        <v>20</v>
      </c>
      <c r="AD36" s="9">
        <f t="shared" si="6"/>
        <v>20</v>
      </c>
      <c r="AE36" s="9">
        <f t="shared" si="7"/>
        <v>20</v>
      </c>
      <c r="AG36" s="20">
        <v>560</v>
      </c>
      <c r="AH36" s="9">
        <f t="shared" si="8"/>
        <v>20</v>
      </c>
      <c r="AI36" s="9">
        <f t="shared" si="13"/>
        <v>20</v>
      </c>
      <c r="AJ36" s="9">
        <f t="shared" si="9"/>
        <v>30</v>
      </c>
      <c r="AM36" s="21">
        <v>560</v>
      </c>
      <c r="AN36" s="10">
        <v>-10</v>
      </c>
      <c r="AP36" s="10">
        <f t="shared" si="10"/>
        <v>20</v>
      </c>
      <c r="AQ36" s="10">
        <f t="shared" si="11"/>
        <v>30</v>
      </c>
      <c r="AT36" s="12">
        <v>560</v>
      </c>
      <c r="AU36" s="85"/>
      <c r="AV36" s="86"/>
      <c r="AW36" s="86"/>
      <c r="AX36" s="87"/>
      <c r="AY36" s="87"/>
      <c r="AZ36" s="87"/>
    </row>
    <row r="37" spans="2:52" ht="16.5">
      <c r="B37" s="12">
        <v>600</v>
      </c>
      <c r="C37" s="74"/>
      <c r="D37" s="74"/>
      <c r="E37" s="74"/>
      <c r="F37" s="74"/>
      <c r="G37" s="74"/>
      <c r="H37" s="75"/>
      <c r="J37" s="12">
        <v>600</v>
      </c>
      <c r="K37" s="77"/>
      <c r="L37"/>
      <c r="M37"/>
      <c r="N37"/>
      <c r="Q37" s="19">
        <v>600</v>
      </c>
      <c r="R37" s="8">
        <f t="shared" si="0"/>
        <v>20</v>
      </c>
      <c r="S37" s="8">
        <f t="shared" si="1"/>
        <v>20</v>
      </c>
      <c r="T37" s="8">
        <f t="shared" si="2"/>
        <v>20</v>
      </c>
      <c r="V37" s="19">
        <v>600</v>
      </c>
      <c r="W37" s="8">
        <f t="shared" si="3"/>
        <v>20</v>
      </c>
      <c r="X37" s="8">
        <f t="shared" si="12"/>
        <v>20</v>
      </c>
      <c r="Y37" s="8">
        <f t="shared" si="4"/>
        <v>30</v>
      </c>
      <c r="AB37" s="20">
        <v>600</v>
      </c>
      <c r="AC37" s="9">
        <f t="shared" si="5"/>
        <v>20</v>
      </c>
      <c r="AD37" s="9">
        <f t="shared" si="6"/>
        <v>20</v>
      </c>
      <c r="AE37" s="9">
        <f t="shared" si="7"/>
        <v>20</v>
      </c>
      <c r="AG37" s="20">
        <v>600</v>
      </c>
      <c r="AH37" s="9">
        <f t="shared" si="8"/>
        <v>20</v>
      </c>
      <c r="AI37" s="9">
        <f t="shared" si="13"/>
        <v>20</v>
      </c>
      <c r="AJ37" s="9">
        <f t="shared" si="9"/>
        <v>30</v>
      </c>
      <c r="AM37" s="21">
        <v>600</v>
      </c>
      <c r="AN37" s="10">
        <v>-10</v>
      </c>
      <c r="AO37" s="10">
        <v>10</v>
      </c>
      <c r="AP37" s="10">
        <f t="shared" si="10"/>
        <v>20</v>
      </c>
      <c r="AQ37" s="10">
        <f t="shared" si="11"/>
        <v>30</v>
      </c>
      <c r="AT37" s="12">
        <v>600</v>
      </c>
      <c r="AU37" s="85"/>
      <c r="AV37" s="86"/>
      <c r="AW37" s="86"/>
      <c r="AX37" s="87"/>
      <c r="AY37" s="87"/>
      <c r="AZ37" s="87"/>
    </row>
    <row r="38" spans="2:52" ht="16.5">
      <c r="B38" s="12">
        <v>630</v>
      </c>
      <c r="C38" s="74"/>
      <c r="D38" s="74"/>
      <c r="E38" s="74"/>
      <c r="F38" s="74"/>
      <c r="G38" s="74"/>
      <c r="H38" s="75"/>
      <c r="J38" s="12">
        <v>630</v>
      </c>
      <c r="K38" s="77"/>
      <c r="L38"/>
      <c r="M38"/>
      <c r="N38"/>
      <c r="Q38" s="19">
        <v>630</v>
      </c>
      <c r="R38" s="8">
        <f t="shared" ref="R38:R70" si="14">+$K38+20-C38</f>
        <v>20</v>
      </c>
      <c r="S38" s="8">
        <f t="shared" ref="S38:S70" si="15">+$K38+20-D38</f>
        <v>20</v>
      </c>
      <c r="T38" s="8">
        <f t="shared" ref="T38:T70" si="16">+$K38+20-E38</f>
        <v>20</v>
      </c>
      <c r="V38" s="19">
        <v>630</v>
      </c>
      <c r="W38" s="8">
        <f t="shared" si="3"/>
        <v>20</v>
      </c>
      <c r="X38" s="8">
        <f t="shared" si="12"/>
        <v>20</v>
      </c>
      <c r="Y38" s="8">
        <f t="shared" ref="Y38:Y69" si="17">+X38-$AN38</f>
        <v>30</v>
      </c>
      <c r="AB38" s="20">
        <v>630</v>
      </c>
      <c r="AC38" s="9">
        <f t="shared" ref="AC38:AC70" si="18">+$L38+20-F38</f>
        <v>20</v>
      </c>
      <c r="AD38" s="9">
        <f t="shared" ref="AD38:AD70" si="19">+$L38+20-G38</f>
        <v>20</v>
      </c>
      <c r="AE38" s="9">
        <f t="shared" ref="AE38:AE70" si="20">+$L38+20-H38</f>
        <v>20</v>
      </c>
      <c r="AG38" s="20">
        <v>630</v>
      </c>
      <c r="AH38" s="9">
        <f t="shared" si="8"/>
        <v>20</v>
      </c>
      <c r="AI38" s="9">
        <f t="shared" si="13"/>
        <v>20</v>
      </c>
      <c r="AJ38" s="9">
        <f t="shared" si="9"/>
        <v>30</v>
      </c>
      <c r="AM38" s="21">
        <v>630</v>
      </c>
      <c r="AN38" s="10">
        <v>-10</v>
      </c>
      <c r="AP38" s="10">
        <f t="shared" ref="AP38:AP69" si="21">+AVERAGE(AI38,X38)</f>
        <v>20</v>
      </c>
      <c r="AQ38" s="10">
        <f t="shared" ref="AQ38:AQ69" si="22">+AP38-AN38</f>
        <v>30</v>
      </c>
      <c r="AT38" s="12">
        <v>630</v>
      </c>
      <c r="AU38" s="85"/>
      <c r="AV38" s="86"/>
      <c r="AW38" s="86"/>
      <c r="AX38" s="87"/>
      <c r="AY38" s="87"/>
      <c r="AZ38" s="87"/>
    </row>
    <row r="39" spans="2:52" ht="16.5">
      <c r="B39" s="12">
        <v>670</v>
      </c>
      <c r="C39" s="74"/>
      <c r="D39" s="74"/>
      <c r="E39" s="74"/>
      <c r="F39" s="74"/>
      <c r="G39" s="74"/>
      <c r="H39" s="75"/>
      <c r="J39" s="12">
        <v>670</v>
      </c>
      <c r="K39" s="77"/>
      <c r="L39"/>
      <c r="M39"/>
      <c r="N39"/>
      <c r="Q39" s="19">
        <v>670</v>
      </c>
      <c r="R39" s="8">
        <f t="shared" si="14"/>
        <v>20</v>
      </c>
      <c r="S39" s="8">
        <f t="shared" si="15"/>
        <v>20</v>
      </c>
      <c r="T39" s="8">
        <f t="shared" si="16"/>
        <v>20</v>
      </c>
      <c r="V39" s="19">
        <v>670</v>
      </c>
      <c r="W39" s="8">
        <f t="shared" si="3"/>
        <v>20</v>
      </c>
      <c r="X39" s="8">
        <f t="shared" si="12"/>
        <v>20</v>
      </c>
      <c r="Y39" s="8">
        <f t="shared" si="17"/>
        <v>30</v>
      </c>
      <c r="AB39" s="20">
        <v>670</v>
      </c>
      <c r="AC39" s="9">
        <f t="shared" si="18"/>
        <v>20</v>
      </c>
      <c r="AD39" s="9">
        <f t="shared" si="19"/>
        <v>20</v>
      </c>
      <c r="AE39" s="9">
        <f t="shared" si="20"/>
        <v>20</v>
      </c>
      <c r="AG39" s="20">
        <v>670</v>
      </c>
      <c r="AH39" s="9">
        <f t="shared" si="8"/>
        <v>20</v>
      </c>
      <c r="AI39" s="9">
        <f t="shared" si="13"/>
        <v>20</v>
      </c>
      <c r="AJ39" s="9">
        <f t="shared" si="9"/>
        <v>30</v>
      </c>
      <c r="AM39" s="21">
        <v>670</v>
      </c>
      <c r="AN39" s="10">
        <v>-10</v>
      </c>
      <c r="AP39" s="10">
        <f t="shared" si="21"/>
        <v>20</v>
      </c>
      <c r="AQ39" s="10">
        <f t="shared" si="22"/>
        <v>30</v>
      </c>
      <c r="AT39" s="12">
        <v>670</v>
      </c>
      <c r="AU39" s="85"/>
      <c r="AV39" s="86"/>
      <c r="AW39" s="86"/>
      <c r="AX39" s="87"/>
      <c r="AY39" s="87"/>
      <c r="AZ39" s="87"/>
    </row>
    <row r="40" spans="2:52" ht="16.5">
      <c r="B40" s="12">
        <v>710</v>
      </c>
      <c r="C40" s="74"/>
      <c r="D40" s="74"/>
      <c r="E40" s="74"/>
      <c r="F40" s="74"/>
      <c r="G40" s="74"/>
      <c r="H40" s="75"/>
      <c r="J40" s="12">
        <v>710</v>
      </c>
      <c r="K40" s="77"/>
      <c r="L40"/>
      <c r="M40"/>
      <c r="N40"/>
      <c r="Q40" s="19">
        <v>710</v>
      </c>
      <c r="R40" s="8">
        <f t="shared" si="14"/>
        <v>20</v>
      </c>
      <c r="S40" s="8">
        <f t="shared" si="15"/>
        <v>20</v>
      </c>
      <c r="T40" s="8">
        <f t="shared" si="16"/>
        <v>20</v>
      </c>
      <c r="V40" s="19">
        <v>710</v>
      </c>
      <c r="W40" s="8">
        <f t="shared" si="3"/>
        <v>20</v>
      </c>
      <c r="X40" s="8">
        <f t="shared" si="12"/>
        <v>20</v>
      </c>
      <c r="Y40" s="8">
        <f t="shared" si="17"/>
        <v>30</v>
      </c>
      <c r="AB40" s="20">
        <v>710</v>
      </c>
      <c r="AC40" s="9">
        <f t="shared" si="18"/>
        <v>20</v>
      </c>
      <c r="AD40" s="9">
        <f t="shared" si="19"/>
        <v>20</v>
      </c>
      <c r="AE40" s="9">
        <f t="shared" si="20"/>
        <v>20</v>
      </c>
      <c r="AG40" s="20">
        <v>710</v>
      </c>
      <c r="AH40" s="9">
        <f t="shared" si="8"/>
        <v>20</v>
      </c>
      <c r="AI40" s="9">
        <f t="shared" si="13"/>
        <v>20</v>
      </c>
      <c r="AJ40" s="9">
        <f t="shared" si="9"/>
        <v>30</v>
      </c>
      <c r="AM40" s="21">
        <v>710</v>
      </c>
      <c r="AN40" s="10">
        <v>-10</v>
      </c>
      <c r="AO40" s="10">
        <v>10</v>
      </c>
      <c r="AP40" s="10">
        <f t="shared" si="21"/>
        <v>20</v>
      </c>
      <c r="AQ40" s="10">
        <f t="shared" si="22"/>
        <v>30</v>
      </c>
      <c r="AT40" s="12">
        <v>710</v>
      </c>
      <c r="AU40" s="85"/>
      <c r="AV40" s="86"/>
      <c r="AW40" s="86"/>
      <c r="AX40" s="87"/>
      <c r="AY40" s="87"/>
      <c r="AZ40" s="87"/>
    </row>
    <row r="41" spans="2:52" ht="16.5">
      <c r="B41" s="12">
        <v>750</v>
      </c>
      <c r="C41" s="74"/>
      <c r="D41" s="74"/>
      <c r="E41" s="74"/>
      <c r="F41" s="74"/>
      <c r="G41" s="74"/>
      <c r="H41" s="75"/>
      <c r="J41" s="12">
        <v>750</v>
      </c>
      <c r="K41" s="77"/>
      <c r="L41"/>
      <c r="M41"/>
      <c r="N41"/>
      <c r="Q41" s="19">
        <v>750</v>
      </c>
      <c r="R41" s="8">
        <f t="shared" si="14"/>
        <v>20</v>
      </c>
      <c r="S41" s="8">
        <f t="shared" si="15"/>
        <v>20</v>
      </c>
      <c r="T41" s="8">
        <f t="shared" si="16"/>
        <v>20</v>
      </c>
      <c r="V41" s="19">
        <v>750</v>
      </c>
      <c r="W41" s="8">
        <f t="shared" si="3"/>
        <v>20</v>
      </c>
      <c r="X41" s="8">
        <f t="shared" si="12"/>
        <v>20</v>
      </c>
      <c r="Y41" s="8">
        <f t="shared" si="17"/>
        <v>30</v>
      </c>
      <c r="AB41" s="20">
        <v>750</v>
      </c>
      <c r="AC41" s="9">
        <f t="shared" si="18"/>
        <v>20</v>
      </c>
      <c r="AD41" s="9">
        <f t="shared" si="19"/>
        <v>20</v>
      </c>
      <c r="AE41" s="9">
        <f t="shared" si="20"/>
        <v>20</v>
      </c>
      <c r="AG41" s="20">
        <v>750</v>
      </c>
      <c r="AH41" s="9">
        <f t="shared" si="8"/>
        <v>20</v>
      </c>
      <c r="AI41" s="9">
        <f t="shared" si="13"/>
        <v>20</v>
      </c>
      <c r="AJ41" s="9">
        <f t="shared" si="9"/>
        <v>30</v>
      </c>
      <c r="AM41" s="21">
        <v>750</v>
      </c>
      <c r="AN41" s="10">
        <v>-10</v>
      </c>
      <c r="AP41" s="10">
        <f t="shared" si="21"/>
        <v>20</v>
      </c>
      <c r="AQ41" s="10">
        <f t="shared" si="22"/>
        <v>30</v>
      </c>
      <c r="AT41" s="12">
        <v>750</v>
      </c>
      <c r="AU41" s="85"/>
      <c r="AV41" s="86"/>
      <c r="AW41" s="86"/>
      <c r="AX41" s="87"/>
      <c r="AY41" s="87"/>
      <c r="AZ41" s="87"/>
    </row>
    <row r="42" spans="2:52" ht="16.5">
      <c r="B42" s="12">
        <v>800</v>
      </c>
      <c r="C42" s="74"/>
      <c r="D42" s="74"/>
      <c r="E42" s="74"/>
      <c r="F42" s="74"/>
      <c r="G42" s="74"/>
      <c r="H42" s="75"/>
      <c r="J42" s="12">
        <v>800</v>
      </c>
      <c r="K42" s="77"/>
      <c r="L42"/>
      <c r="M42"/>
      <c r="N42"/>
      <c r="Q42" s="19">
        <v>800</v>
      </c>
      <c r="R42" s="8">
        <f t="shared" si="14"/>
        <v>20</v>
      </c>
      <c r="S42" s="8">
        <f t="shared" si="15"/>
        <v>20</v>
      </c>
      <c r="T42" s="8">
        <f t="shared" si="16"/>
        <v>20</v>
      </c>
      <c r="V42" s="19">
        <v>800</v>
      </c>
      <c r="W42" s="8">
        <f t="shared" si="3"/>
        <v>20</v>
      </c>
      <c r="X42" s="8">
        <f t="shared" si="12"/>
        <v>20</v>
      </c>
      <c r="Y42" s="8">
        <f t="shared" si="17"/>
        <v>30</v>
      </c>
      <c r="AB42" s="20">
        <v>800</v>
      </c>
      <c r="AC42" s="9">
        <f t="shared" si="18"/>
        <v>20</v>
      </c>
      <c r="AD42" s="9">
        <f t="shared" si="19"/>
        <v>20</v>
      </c>
      <c r="AE42" s="9">
        <f t="shared" si="20"/>
        <v>20</v>
      </c>
      <c r="AG42" s="20">
        <v>800</v>
      </c>
      <c r="AH42" s="9">
        <f t="shared" si="8"/>
        <v>20</v>
      </c>
      <c r="AI42" s="9">
        <f t="shared" si="13"/>
        <v>20</v>
      </c>
      <c r="AJ42" s="9">
        <f t="shared" si="9"/>
        <v>30</v>
      </c>
      <c r="AM42" s="21">
        <v>800</v>
      </c>
      <c r="AN42" s="10">
        <v>-10</v>
      </c>
      <c r="AP42" s="10">
        <f t="shared" si="21"/>
        <v>20</v>
      </c>
      <c r="AQ42" s="10">
        <f t="shared" si="22"/>
        <v>30</v>
      </c>
      <c r="AT42" s="12">
        <v>800</v>
      </c>
      <c r="AU42" s="85"/>
      <c r="AV42" s="86"/>
      <c r="AW42" s="86"/>
      <c r="AX42" s="87"/>
      <c r="AY42" s="87"/>
      <c r="AZ42" s="87"/>
    </row>
    <row r="43" spans="2:52" ht="16.5">
      <c r="B43" s="12">
        <v>850</v>
      </c>
      <c r="C43" s="74"/>
      <c r="D43" s="74"/>
      <c r="E43" s="74"/>
      <c r="F43" s="74"/>
      <c r="G43" s="74"/>
      <c r="H43" s="75"/>
      <c r="J43" s="12">
        <v>850</v>
      </c>
      <c r="K43" s="77"/>
      <c r="L43"/>
      <c r="M43"/>
      <c r="N43"/>
      <c r="Q43" s="19">
        <v>850</v>
      </c>
      <c r="R43" s="8">
        <f t="shared" si="14"/>
        <v>20</v>
      </c>
      <c r="S43" s="8">
        <f t="shared" si="15"/>
        <v>20</v>
      </c>
      <c r="T43" s="8">
        <f t="shared" si="16"/>
        <v>20</v>
      </c>
      <c r="V43" s="19">
        <v>850</v>
      </c>
      <c r="W43" s="8">
        <f t="shared" si="3"/>
        <v>20</v>
      </c>
      <c r="X43" s="8">
        <f t="shared" si="12"/>
        <v>20</v>
      </c>
      <c r="Y43" s="8">
        <f t="shared" si="17"/>
        <v>30</v>
      </c>
      <c r="AB43" s="20">
        <v>850</v>
      </c>
      <c r="AC43" s="9">
        <f t="shared" si="18"/>
        <v>20</v>
      </c>
      <c r="AD43" s="9">
        <f t="shared" si="19"/>
        <v>20</v>
      </c>
      <c r="AE43" s="9">
        <f t="shared" si="20"/>
        <v>20</v>
      </c>
      <c r="AG43" s="20">
        <v>850</v>
      </c>
      <c r="AH43" s="9">
        <f t="shared" si="8"/>
        <v>20</v>
      </c>
      <c r="AI43" s="9">
        <f t="shared" si="13"/>
        <v>20</v>
      </c>
      <c r="AJ43" s="9">
        <f t="shared" si="9"/>
        <v>30</v>
      </c>
      <c r="AM43" s="21">
        <v>850</v>
      </c>
      <c r="AN43" s="10">
        <v>-10</v>
      </c>
      <c r="AO43" s="10">
        <v>10</v>
      </c>
      <c r="AP43" s="10">
        <f t="shared" si="21"/>
        <v>20</v>
      </c>
      <c r="AQ43" s="10">
        <f t="shared" si="22"/>
        <v>30</v>
      </c>
      <c r="AT43" s="12">
        <v>850</v>
      </c>
      <c r="AU43" s="85"/>
      <c r="AV43" s="86"/>
      <c r="AW43" s="86"/>
      <c r="AX43" s="87"/>
      <c r="AY43" s="87"/>
      <c r="AZ43" s="87"/>
    </row>
    <row r="44" spans="2:52" ht="16.5">
      <c r="B44" s="12">
        <v>900</v>
      </c>
      <c r="C44" s="74"/>
      <c r="D44" s="74"/>
      <c r="E44" s="74"/>
      <c r="F44" s="74"/>
      <c r="G44" s="74"/>
      <c r="H44" s="75"/>
      <c r="J44" s="12">
        <v>900</v>
      </c>
      <c r="K44" s="77"/>
      <c r="L44"/>
      <c r="M44"/>
      <c r="N44"/>
      <c r="Q44" s="19">
        <v>900</v>
      </c>
      <c r="R44" s="8">
        <f t="shared" si="14"/>
        <v>20</v>
      </c>
      <c r="S44" s="8">
        <f t="shared" si="15"/>
        <v>20</v>
      </c>
      <c r="T44" s="8">
        <f t="shared" si="16"/>
        <v>20</v>
      </c>
      <c r="V44" s="19">
        <v>900</v>
      </c>
      <c r="W44" s="8">
        <f t="shared" si="3"/>
        <v>20</v>
      </c>
      <c r="X44" s="8">
        <f t="shared" si="12"/>
        <v>20</v>
      </c>
      <c r="Y44" s="8">
        <f t="shared" si="17"/>
        <v>30</v>
      </c>
      <c r="AB44" s="20">
        <v>900</v>
      </c>
      <c r="AC44" s="9">
        <f t="shared" si="18"/>
        <v>20</v>
      </c>
      <c r="AD44" s="9">
        <f t="shared" si="19"/>
        <v>20</v>
      </c>
      <c r="AE44" s="9">
        <f t="shared" si="20"/>
        <v>20</v>
      </c>
      <c r="AG44" s="20">
        <v>900</v>
      </c>
      <c r="AH44" s="9">
        <f t="shared" si="8"/>
        <v>20</v>
      </c>
      <c r="AI44" s="9">
        <f t="shared" si="13"/>
        <v>20</v>
      </c>
      <c r="AJ44" s="9">
        <f t="shared" si="9"/>
        <v>30</v>
      </c>
      <c r="AM44" s="21">
        <v>900</v>
      </c>
      <c r="AN44" s="10">
        <v>-10</v>
      </c>
      <c r="AP44" s="10">
        <f t="shared" si="21"/>
        <v>20</v>
      </c>
      <c r="AQ44" s="10">
        <f t="shared" si="22"/>
        <v>30</v>
      </c>
      <c r="AT44" s="12">
        <v>900</v>
      </c>
      <c r="AU44" s="85"/>
      <c r="AV44" s="86"/>
      <c r="AW44" s="86"/>
      <c r="AX44" s="87"/>
      <c r="AY44" s="87"/>
      <c r="AZ44" s="87"/>
    </row>
    <row r="45" spans="2:52" ht="16.5">
      <c r="B45" s="12">
        <v>950</v>
      </c>
      <c r="C45" s="74"/>
      <c r="D45" s="74"/>
      <c r="E45" s="74"/>
      <c r="F45" s="74"/>
      <c r="G45" s="74"/>
      <c r="H45" s="75"/>
      <c r="J45" s="12">
        <v>950</v>
      </c>
      <c r="K45" s="77"/>
      <c r="L45"/>
      <c r="M45"/>
      <c r="N45"/>
      <c r="Q45" s="19">
        <v>950</v>
      </c>
      <c r="R45" s="8">
        <f t="shared" si="14"/>
        <v>20</v>
      </c>
      <c r="S45" s="8">
        <f t="shared" si="15"/>
        <v>20</v>
      </c>
      <c r="T45" s="8">
        <f t="shared" si="16"/>
        <v>20</v>
      </c>
      <c r="V45" s="19">
        <v>950</v>
      </c>
      <c r="W45" s="8">
        <f t="shared" si="3"/>
        <v>20</v>
      </c>
      <c r="X45" s="8">
        <f t="shared" si="12"/>
        <v>20</v>
      </c>
      <c r="Y45" s="8">
        <f t="shared" si="17"/>
        <v>30</v>
      </c>
      <c r="AB45" s="20">
        <v>950</v>
      </c>
      <c r="AC45" s="9">
        <f t="shared" si="18"/>
        <v>20</v>
      </c>
      <c r="AD45" s="9">
        <f t="shared" si="19"/>
        <v>20</v>
      </c>
      <c r="AE45" s="9">
        <f t="shared" si="20"/>
        <v>20</v>
      </c>
      <c r="AG45" s="20">
        <v>950</v>
      </c>
      <c r="AH45" s="9">
        <f t="shared" si="8"/>
        <v>20</v>
      </c>
      <c r="AI45" s="9">
        <f t="shared" si="13"/>
        <v>20</v>
      </c>
      <c r="AJ45" s="9">
        <f t="shared" si="9"/>
        <v>30</v>
      </c>
      <c r="AM45" s="21">
        <v>950</v>
      </c>
      <c r="AN45" s="10">
        <v>-10</v>
      </c>
      <c r="AP45" s="10">
        <f t="shared" si="21"/>
        <v>20</v>
      </c>
      <c r="AQ45" s="10">
        <f t="shared" si="22"/>
        <v>30</v>
      </c>
      <c r="AT45" s="12">
        <v>950</v>
      </c>
      <c r="AU45" s="85"/>
      <c r="AV45" s="86"/>
      <c r="AW45" s="86"/>
      <c r="AX45" s="87"/>
      <c r="AY45" s="87"/>
      <c r="AZ45" s="87"/>
    </row>
    <row r="46" spans="2:52" ht="16.5">
      <c r="B46" s="12">
        <v>1000</v>
      </c>
      <c r="C46" s="74"/>
      <c r="D46" s="74"/>
      <c r="E46" s="74"/>
      <c r="F46" s="74"/>
      <c r="G46" s="74"/>
      <c r="H46" s="75"/>
      <c r="J46" s="12">
        <v>1000</v>
      </c>
      <c r="K46" s="77"/>
      <c r="L46"/>
      <c r="M46"/>
      <c r="N46"/>
      <c r="Q46" s="19">
        <v>1000</v>
      </c>
      <c r="R46" s="8">
        <f t="shared" si="14"/>
        <v>20</v>
      </c>
      <c r="S46" s="8">
        <f t="shared" si="15"/>
        <v>20</v>
      </c>
      <c r="T46" s="8">
        <f t="shared" si="16"/>
        <v>20</v>
      </c>
      <c r="V46" s="19">
        <v>1000</v>
      </c>
      <c r="W46" s="8">
        <f t="shared" si="3"/>
        <v>20</v>
      </c>
      <c r="X46" s="8">
        <f t="shared" si="12"/>
        <v>20</v>
      </c>
      <c r="Y46" s="8">
        <f t="shared" si="17"/>
        <v>30</v>
      </c>
      <c r="AB46" s="20">
        <v>1000</v>
      </c>
      <c r="AC46" s="9">
        <f t="shared" si="18"/>
        <v>20</v>
      </c>
      <c r="AD46" s="9">
        <f t="shared" si="19"/>
        <v>20</v>
      </c>
      <c r="AE46" s="9">
        <f t="shared" si="20"/>
        <v>20</v>
      </c>
      <c r="AG46" s="20">
        <v>1000</v>
      </c>
      <c r="AH46" s="9">
        <f t="shared" si="8"/>
        <v>20</v>
      </c>
      <c r="AI46" s="9">
        <f t="shared" si="13"/>
        <v>20</v>
      </c>
      <c r="AJ46" s="9">
        <f t="shared" si="9"/>
        <v>30</v>
      </c>
      <c r="AM46" s="21">
        <v>1000</v>
      </c>
      <c r="AN46" s="10">
        <v>-10</v>
      </c>
      <c r="AO46" s="10">
        <v>10</v>
      </c>
      <c r="AP46" s="10">
        <f t="shared" si="21"/>
        <v>20</v>
      </c>
      <c r="AQ46" s="10">
        <f t="shared" si="22"/>
        <v>30</v>
      </c>
      <c r="AT46" s="12">
        <v>1000</v>
      </c>
      <c r="AU46" s="85"/>
      <c r="AV46" s="86"/>
      <c r="AW46" s="86"/>
      <c r="AX46" s="87"/>
      <c r="AY46" s="87"/>
      <c r="AZ46" s="87"/>
    </row>
    <row r="47" spans="2:52" ht="16.5">
      <c r="B47" s="12">
        <v>1060</v>
      </c>
      <c r="C47" s="74"/>
      <c r="D47" s="74"/>
      <c r="E47" s="74"/>
      <c r="F47" s="74"/>
      <c r="G47" s="74"/>
      <c r="H47" s="75"/>
      <c r="J47" s="12">
        <v>1060</v>
      </c>
      <c r="K47" s="77"/>
      <c r="L47"/>
      <c r="M47"/>
      <c r="N47"/>
      <c r="Q47" s="19">
        <v>1060</v>
      </c>
      <c r="R47" s="8">
        <f t="shared" si="14"/>
        <v>20</v>
      </c>
      <c r="S47" s="8">
        <f t="shared" si="15"/>
        <v>20</v>
      </c>
      <c r="T47" s="8">
        <f t="shared" si="16"/>
        <v>20</v>
      </c>
      <c r="V47" s="19">
        <v>1060</v>
      </c>
      <c r="W47" s="8">
        <f t="shared" si="3"/>
        <v>20</v>
      </c>
      <c r="X47" s="8">
        <f t="shared" si="12"/>
        <v>20</v>
      </c>
      <c r="Y47" s="8">
        <f t="shared" si="17"/>
        <v>30</v>
      </c>
      <c r="AB47" s="20">
        <v>1060</v>
      </c>
      <c r="AC47" s="9">
        <f t="shared" si="18"/>
        <v>20</v>
      </c>
      <c r="AD47" s="9">
        <f t="shared" si="19"/>
        <v>20</v>
      </c>
      <c r="AE47" s="9">
        <f t="shared" si="20"/>
        <v>20</v>
      </c>
      <c r="AG47" s="20">
        <v>1060</v>
      </c>
      <c r="AH47" s="9">
        <f t="shared" si="8"/>
        <v>20</v>
      </c>
      <c r="AI47" s="9">
        <f t="shared" si="13"/>
        <v>20</v>
      </c>
      <c r="AJ47" s="9">
        <f t="shared" si="9"/>
        <v>30</v>
      </c>
      <c r="AM47" s="21">
        <v>1060</v>
      </c>
      <c r="AN47" s="10">
        <v>-10</v>
      </c>
      <c r="AP47" s="10">
        <f t="shared" si="21"/>
        <v>20</v>
      </c>
      <c r="AQ47" s="10">
        <f t="shared" si="22"/>
        <v>30</v>
      </c>
      <c r="AT47" s="12">
        <v>1060</v>
      </c>
      <c r="AU47" s="85"/>
      <c r="AV47" s="86"/>
      <c r="AW47" s="86"/>
      <c r="AX47" s="87"/>
      <c r="AY47" s="87"/>
      <c r="AZ47" s="87"/>
    </row>
    <row r="48" spans="2:52" ht="16.5">
      <c r="B48" s="12">
        <v>1120</v>
      </c>
      <c r="C48" s="74"/>
      <c r="D48" s="74"/>
      <c r="E48" s="74"/>
      <c r="F48" s="74"/>
      <c r="G48" s="74"/>
      <c r="H48" s="75"/>
      <c r="J48" s="12">
        <v>1120</v>
      </c>
      <c r="K48" s="77"/>
      <c r="L48"/>
      <c r="M48"/>
      <c r="N48"/>
      <c r="Q48" s="19">
        <v>1120</v>
      </c>
      <c r="R48" s="8">
        <f t="shared" si="14"/>
        <v>20</v>
      </c>
      <c r="S48" s="8">
        <f t="shared" si="15"/>
        <v>20</v>
      </c>
      <c r="T48" s="8">
        <f t="shared" si="16"/>
        <v>20</v>
      </c>
      <c r="V48" s="19">
        <v>1120</v>
      </c>
      <c r="W48" s="8">
        <f t="shared" si="3"/>
        <v>20</v>
      </c>
      <c r="X48" s="8">
        <f t="shared" si="12"/>
        <v>20</v>
      </c>
      <c r="Y48" s="8">
        <f t="shared" si="17"/>
        <v>30</v>
      </c>
      <c r="AB48" s="20">
        <v>1120</v>
      </c>
      <c r="AC48" s="9">
        <f t="shared" si="18"/>
        <v>20</v>
      </c>
      <c r="AD48" s="9">
        <f t="shared" si="19"/>
        <v>20</v>
      </c>
      <c r="AE48" s="9">
        <f t="shared" si="20"/>
        <v>20</v>
      </c>
      <c r="AG48" s="20">
        <v>1120</v>
      </c>
      <c r="AH48" s="9">
        <f t="shared" si="8"/>
        <v>20</v>
      </c>
      <c r="AI48" s="9">
        <f t="shared" si="13"/>
        <v>20</v>
      </c>
      <c r="AJ48" s="9">
        <f t="shared" si="9"/>
        <v>30</v>
      </c>
      <c r="AM48" s="21">
        <v>1120</v>
      </c>
      <c r="AN48" s="10">
        <v>-10</v>
      </c>
      <c r="AP48" s="10">
        <f t="shared" si="21"/>
        <v>20</v>
      </c>
      <c r="AQ48" s="10">
        <f t="shared" si="22"/>
        <v>30</v>
      </c>
      <c r="AT48" s="12">
        <v>1120</v>
      </c>
      <c r="AU48" s="85"/>
      <c r="AV48" s="86"/>
      <c r="AW48" s="86"/>
      <c r="AX48" s="87"/>
      <c r="AY48" s="87"/>
      <c r="AZ48" s="87"/>
    </row>
    <row r="49" spans="2:52" ht="16.5">
      <c r="B49" s="12">
        <v>1180</v>
      </c>
      <c r="C49" s="74"/>
      <c r="D49" s="74"/>
      <c r="E49" s="74"/>
      <c r="F49" s="74"/>
      <c r="G49" s="74"/>
      <c r="H49" s="75"/>
      <c r="J49" s="12">
        <v>1180</v>
      </c>
      <c r="K49" s="77"/>
      <c r="L49"/>
      <c r="M49"/>
      <c r="N49"/>
      <c r="Q49" s="19">
        <v>1180</v>
      </c>
      <c r="R49" s="8">
        <f t="shared" si="14"/>
        <v>20</v>
      </c>
      <c r="S49" s="8">
        <f t="shared" si="15"/>
        <v>20</v>
      </c>
      <c r="T49" s="8">
        <f t="shared" si="16"/>
        <v>20</v>
      </c>
      <c r="V49" s="19">
        <v>1180</v>
      </c>
      <c r="W49" s="8">
        <f t="shared" si="3"/>
        <v>20</v>
      </c>
      <c r="X49" s="8">
        <f t="shared" si="12"/>
        <v>20</v>
      </c>
      <c r="Y49" s="8">
        <f t="shared" si="17"/>
        <v>30</v>
      </c>
      <c r="AB49" s="20">
        <v>1180</v>
      </c>
      <c r="AC49" s="9">
        <f t="shared" si="18"/>
        <v>20</v>
      </c>
      <c r="AD49" s="9">
        <f t="shared" si="19"/>
        <v>20</v>
      </c>
      <c r="AE49" s="9">
        <f t="shared" si="20"/>
        <v>20</v>
      </c>
      <c r="AG49" s="20">
        <v>1180</v>
      </c>
      <c r="AH49" s="9">
        <f t="shared" si="8"/>
        <v>20</v>
      </c>
      <c r="AI49" s="9">
        <f t="shared" si="13"/>
        <v>20</v>
      </c>
      <c r="AJ49" s="9">
        <f t="shared" si="9"/>
        <v>30</v>
      </c>
      <c r="AM49" s="21">
        <v>1180</v>
      </c>
      <c r="AN49" s="10">
        <v>-10</v>
      </c>
      <c r="AO49" s="10">
        <v>10</v>
      </c>
      <c r="AP49" s="10">
        <f t="shared" si="21"/>
        <v>20</v>
      </c>
      <c r="AQ49" s="10">
        <f t="shared" si="22"/>
        <v>30</v>
      </c>
      <c r="AT49" s="12">
        <v>1180</v>
      </c>
      <c r="AU49" s="85"/>
      <c r="AV49" s="86"/>
      <c r="AW49" s="86"/>
      <c r="AX49" s="87"/>
      <c r="AY49" s="87"/>
      <c r="AZ49" s="87"/>
    </row>
    <row r="50" spans="2:52" ht="16.5">
      <c r="B50" s="12">
        <v>1250</v>
      </c>
      <c r="C50" s="74"/>
      <c r="D50" s="74"/>
      <c r="E50" s="74"/>
      <c r="F50" s="74"/>
      <c r="G50" s="74"/>
      <c r="H50" s="75"/>
      <c r="J50" s="12">
        <v>1250</v>
      </c>
      <c r="K50" s="77"/>
      <c r="L50"/>
      <c r="M50"/>
      <c r="N50"/>
      <c r="Q50" s="19">
        <v>1250</v>
      </c>
      <c r="R50" s="8">
        <f t="shared" si="14"/>
        <v>20</v>
      </c>
      <c r="S50" s="8">
        <f t="shared" si="15"/>
        <v>20</v>
      </c>
      <c r="T50" s="8">
        <f t="shared" si="16"/>
        <v>20</v>
      </c>
      <c r="V50" s="19">
        <v>1250</v>
      </c>
      <c r="W50" s="8">
        <f t="shared" si="3"/>
        <v>20</v>
      </c>
      <c r="X50" s="8">
        <f t="shared" si="12"/>
        <v>20</v>
      </c>
      <c r="Y50" s="8">
        <f t="shared" si="17"/>
        <v>30</v>
      </c>
      <c r="AB50" s="20">
        <v>1250</v>
      </c>
      <c r="AC50" s="9">
        <f t="shared" si="18"/>
        <v>20</v>
      </c>
      <c r="AD50" s="9">
        <f t="shared" si="19"/>
        <v>20</v>
      </c>
      <c r="AE50" s="9">
        <f t="shared" si="20"/>
        <v>20</v>
      </c>
      <c r="AG50" s="20">
        <v>1250</v>
      </c>
      <c r="AH50" s="9">
        <f t="shared" si="8"/>
        <v>20</v>
      </c>
      <c r="AI50" s="9">
        <f t="shared" si="13"/>
        <v>20</v>
      </c>
      <c r="AJ50" s="9">
        <f t="shared" si="9"/>
        <v>30</v>
      </c>
      <c r="AM50" s="21">
        <v>1250</v>
      </c>
      <c r="AN50" s="10">
        <v>-10</v>
      </c>
      <c r="AP50" s="10">
        <f t="shared" si="21"/>
        <v>20</v>
      </c>
      <c r="AQ50" s="10">
        <f t="shared" si="22"/>
        <v>30</v>
      </c>
      <c r="AT50" s="12">
        <v>1250</v>
      </c>
      <c r="AU50" s="85"/>
      <c r="AV50" s="86"/>
      <c r="AW50" s="86"/>
      <c r="AX50" s="87"/>
      <c r="AY50" s="87"/>
      <c r="AZ50" s="87"/>
    </row>
    <row r="51" spans="2:52" ht="16.5">
      <c r="B51" s="12">
        <v>1320</v>
      </c>
      <c r="C51" s="74"/>
      <c r="D51" s="74"/>
      <c r="E51" s="74"/>
      <c r="F51" s="74"/>
      <c r="G51" s="74"/>
      <c r="H51" s="75"/>
      <c r="J51" s="12">
        <v>1320</v>
      </c>
      <c r="K51" s="77"/>
      <c r="L51"/>
      <c r="M51"/>
      <c r="N51"/>
      <c r="Q51" s="19">
        <v>1320</v>
      </c>
      <c r="R51" s="8">
        <f t="shared" si="14"/>
        <v>20</v>
      </c>
      <c r="S51" s="8">
        <f t="shared" si="15"/>
        <v>20</v>
      </c>
      <c r="T51" s="8">
        <f t="shared" si="16"/>
        <v>20</v>
      </c>
      <c r="V51" s="19">
        <v>1320</v>
      </c>
      <c r="W51" s="8">
        <f t="shared" si="3"/>
        <v>20</v>
      </c>
      <c r="X51" s="8">
        <f t="shared" si="12"/>
        <v>20</v>
      </c>
      <c r="Y51" s="8">
        <f t="shared" si="17"/>
        <v>30</v>
      </c>
      <c r="AB51" s="20">
        <v>1320</v>
      </c>
      <c r="AC51" s="9">
        <f t="shared" si="18"/>
        <v>20</v>
      </c>
      <c r="AD51" s="9">
        <f t="shared" si="19"/>
        <v>20</v>
      </c>
      <c r="AE51" s="9">
        <f t="shared" si="20"/>
        <v>20</v>
      </c>
      <c r="AG51" s="20">
        <v>1320</v>
      </c>
      <c r="AH51" s="9">
        <f t="shared" si="8"/>
        <v>20</v>
      </c>
      <c r="AI51" s="9">
        <f t="shared" si="13"/>
        <v>20</v>
      </c>
      <c r="AJ51" s="9">
        <f t="shared" si="9"/>
        <v>30</v>
      </c>
      <c r="AM51" s="21">
        <v>1320</v>
      </c>
      <c r="AN51" s="10">
        <v>-10</v>
      </c>
      <c r="AP51" s="10">
        <f t="shared" si="21"/>
        <v>20</v>
      </c>
      <c r="AQ51" s="10">
        <f t="shared" si="22"/>
        <v>30</v>
      </c>
      <c r="AT51" s="12">
        <v>1320</v>
      </c>
      <c r="AU51" s="85"/>
      <c r="AV51" s="86"/>
      <c r="AW51" s="86"/>
      <c r="AX51" s="87"/>
      <c r="AY51" s="87"/>
      <c r="AZ51" s="87"/>
    </row>
    <row r="52" spans="2:52" ht="16.5">
      <c r="B52" s="12">
        <v>1400</v>
      </c>
      <c r="C52" s="74"/>
      <c r="D52" s="74"/>
      <c r="E52" s="74"/>
      <c r="F52" s="74"/>
      <c r="G52" s="74"/>
      <c r="H52" s="75"/>
      <c r="J52" s="12">
        <v>1400</v>
      </c>
      <c r="K52" s="77"/>
      <c r="L52"/>
      <c r="M52"/>
      <c r="N52"/>
      <c r="Q52" s="19">
        <v>1400</v>
      </c>
      <c r="R52" s="8">
        <f t="shared" si="14"/>
        <v>20</v>
      </c>
      <c r="S52" s="8">
        <f t="shared" si="15"/>
        <v>20</v>
      </c>
      <c r="T52" s="8">
        <f t="shared" si="16"/>
        <v>20</v>
      </c>
      <c r="V52" s="19">
        <v>1400</v>
      </c>
      <c r="W52" s="8">
        <f t="shared" si="3"/>
        <v>20</v>
      </c>
      <c r="X52" s="8">
        <f t="shared" si="12"/>
        <v>20</v>
      </c>
      <c r="Y52" s="8">
        <f t="shared" si="17"/>
        <v>30</v>
      </c>
      <c r="AB52" s="20">
        <v>1400</v>
      </c>
      <c r="AC52" s="9">
        <f t="shared" si="18"/>
        <v>20</v>
      </c>
      <c r="AD52" s="9">
        <f t="shared" si="19"/>
        <v>20</v>
      </c>
      <c r="AE52" s="9">
        <f t="shared" si="20"/>
        <v>20</v>
      </c>
      <c r="AG52" s="20">
        <v>1400</v>
      </c>
      <c r="AH52" s="9">
        <f t="shared" si="8"/>
        <v>20</v>
      </c>
      <c r="AI52" s="9">
        <f t="shared" si="13"/>
        <v>20</v>
      </c>
      <c r="AJ52" s="9">
        <f t="shared" si="9"/>
        <v>30</v>
      </c>
      <c r="AM52" s="21">
        <v>1400</v>
      </c>
      <c r="AN52" s="10">
        <v>-10</v>
      </c>
      <c r="AO52" s="10">
        <v>10</v>
      </c>
      <c r="AP52" s="10">
        <f t="shared" si="21"/>
        <v>20</v>
      </c>
      <c r="AQ52" s="10">
        <f t="shared" si="22"/>
        <v>30</v>
      </c>
      <c r="AT52" s="12">
        <v>1400</v>
      </c>
      <c r="AU52" s="85"/>
      <c r="AV52" s="86"/>
      <c r="AW52" s="86"/>
      <c r="AX52" s="87"/>
      <c r="AY52" s="87"/>
      <c r="AZ52" s="87"/>
    </row>
    <row r="53" spans="2:52" ht="16.5">
      <c r="B53" s="12">
        <v>1500</v>
      </c>
      <c r="C53" s="74"/>
      <c r="D53" s="74"/>
      <c r="E53" s="74"/>
      <c r="F53" s="74"/>
      <c r="G53" s="74"/>
      <c r="H53" s="75"/>
      <c r="J53" s="12">
        <v>1500</v>
      </c>
      <c r="K53" s="77"/>
      <c r="L53"/>
      <c r="M53"/>
      <c r="N53"/>
      <c r="Q53" s="19">
        <v>1500</v>
      </c>
      <c r="R53" s="8">
        <f t="shared" si="14"/>
        <v>20</v>
      </c>
      <c r="S53" s="8">
        <f t="shared" si="15"/>
        <v>20</v>
      </c>
      <c r="T53" s="8">
        <f t="shared" si="16"/>
        <v>20</v>
      </c>
      <c r="V53" s="19">
        <v>1500</v>
      </c>
      <c r="W53" s="8">
        <f t="shared" si="3"/>
        <v>20</v>
      </c>
      <c r="X53" s="8">
        <f t="shared" si="12"/>
        <v>20</v>
      </c>
      <c r="Y53" s="8">
        <f t="shared" si="17"/>
        <v>30</v>
      </c>
      <c r="AB53" s="20">
        <v>1500</v>
      </c>
      <c r="AC53" s="9">
        <f t="shared" si="18"/>
        <v>20</v>
      </c>
      <c r="AD53" s="9">
        <f t="shared" si="19"/>
        <v>20</v>
      </c>
      <c r="AE53" s="9">
        <f t="shared" si="20"/>
        <v>20</v>
      </c>
      <c r="AG53" s="20">
        <v>1500</v>
      </c>
      <c r="AH53" s="9">
        <f t="shared" si="8"/>
        <v>20</v>
      </c>
      <c r="AI53" s="9">
        <f t="shared" si="13"/>
        <v>20</v>
      </c>
      <c r="AJ53" s="9">
        <f t="shared" si="9"/>
        <v>30</v>
      </c>
      <c r="AM53" s="21">
        <v>1500</v>
      </c>
      <c r="AN53" s="10">
        <v>-10</v>
      </c>
      <c r="AP53" s="10">
        <f t="shared" si="21"/>
        <v>20</v>
      </c>
      <c r="AQ53" s="10">
        <f t="shared" si="22"/>
        <v>30</v>
      </c>
      <c r="AT53" s="12">
        <v>1500</v>
      </c>
      <c r="AU53" s="85"/>
      <c r="AV53" s="86"/>
      <c r="AW53" s="86"/>
      <c r="AX53" s="87"/>
      <c r="AY53" s="87"/>
      <c r="AZ53" s="87"/>
    </row>
    <row r="54" spans="2:52" ht="16.5">
      <c r="B54" s="12">
        <v>1600</v>
      </c>
      <c r="C54" s="74"/>
      <c r="D54" s="74"/>
      <c r="E54" s="74"/>
      <c r="F54" s="74"/>
      <c r="G54" s="74"/>
      <c r="H54" s="75"/>
      <c r="J54" s="12">
        <v>1600</v>
      </c>
      <c r="K54" s="77"/>
      <c r="L54"/>
      <c r="M54"/>
      <c r="N54"/>
      <c r="Q54" s="19">
        <v>1600</v>
      </c>
      <c r="R54" s="8">
        <f t="shared" si="14"/>
        <v>20</v>
      </c>
      <c r="S54" s="8">
        <f t="shared" si="15"/>
        <v>20</v>
      </c>
      <c r="T54" s="8">
        <f t="shared" si="16"/>
        <v>20</v>
      </c>
      <c r="V54" s="19">
        <v>1600</v>
      </c>
      <c r="W54" s="8">
        <f t="shared" si="3"/>
        <v>20</v>
      </c>
      <c r="X54" s="8">
        <f t="shared" si="12"/>
        <v>20</v>
      </c>
      <c r="Y54" s="8">
        <f t="shared" si="17"/>
        <v>30</v>
      </c>
      <c r="AB54" s="20">
        <v>1600</v>
      </c>
      <c r="AC54" s="9">
        <f t="shared" si="18"/>
        <v>20</v>
      </c>
      <c r="AD54" s="9">
        <f t="shared" si="19"/>
        <v>20</v>
      </c>
      <c r="AE54" s="9">
        <f t="shared" si="20"/>
        <v>20</v>
      </c>
      <c r="AG54" s="20">
        <v>1600</v>
      </c>
      <c r="AH54" s="9">
        <f t="shared" si="8"/>
        <v>20</v>
      </c>
      <c r="AI54" s="9">
        <f t="shared" si="13"/>
        <v>20</v>
      </c>
      <c r="AJ54" s="9">
        <f t="shared" si="9"/>
        <v>30</v>
      </c>
      <c r="AM54" s="21">
        <v>1600</v>
      </c>
      <c r="AN54" s="10">
        <v>-10</v>
      </c>
      <c r="AP54" s="10">
        <f t="shared" si="21"/>
        <v>20</v>
      </c>
      <c r="AQ54" s="10">
        <f t="shared" si="22"/>
        <v>30</v>
      </c>
      <c r="AT54" s="12">
        <v>1600</v>
      </c>
      <c r="AU54" s="85"/>
      <c r="AV54" s="86"/>
      <c r="AW54" s="86"/>
      <c r="AX54" s="87"/>
      <c r="AY54" s="87"/>
      <c r="AZ54" s="87"/>
    </row>
    <row r="55" spans="2:52" ht="16.5">
      <c r="B55" s="12">
        <v>1700</v>
      </c>
      <c r="C55" s="74"/>
      <c r="D55" s="74"/>
      <c r="E55" s="74"/>
      <c r="F55" s="74"/>
      <c r="G55" s="74"/>
      <c r="H55" s="75"/>
      <c r="J55" s="12">
        <v>1700</v>
      </c>
      <c r="K55" s="77"/>
      <c r="L55"/>
      <c r="M55"/>
      <c r="N55"/>
      <c r="Q55" s="19">
        <v>1700</v>
      </c>
      <c r="R55" s="8">
        <f t="shared" si="14"/>
        <v>20</v>
      </c>
      <c r="S55" s="8">
        <f t="shared" si="15"/>
        <v>20</v>
      </c>
      <c r="T55" s="8">
        <f t="shared" si="16"/>
        <v>20</v>
      </c>
      <c r="V55" s="19">
        <v>1700</v>
      </c>
      <c r="W55" s="8">
        <f t="shared" si="3"/>
        <v>20</v>
      </c>
      <c r="X55" s="8">
        <f t="shared" si="12"/>
        <v>20</v>
      </c>
      <c r="Y55" s="8">
        <f t="shared" si="17"/>
        <v>30</v>
      </c>
      <c r="AB55" s="20">
        <v>1700</v>
      </c>
      <c r="AC55" s="9">
        <f t="shared" si="18"/>
        <v>20</v>
      </c>
      <c r="AD55" s="9">
        <f t="shared" si="19"/>
        <v>20</v>
      </c>
      <c r="AE55" s="9">
        <f t="shared" si="20"/>
        <v>20</v>
      </c>
      <c r="AG55" s="20">
        <v>1700</v>
      </c>
      <c r="AH55" s="9">
        <f t="shared" si="8"/>
        <v>20</v>
      </c>
      <c r="AI55" s="9">
        <f t="shared" si="13"/>
        <v>20</v>
      </c>
      <c r="AJ55" s="9">
        <f t="shared" si="9"/>
        <v>30</v>
      </c>
      <c r="AM55" s="21">
        <v>1700</v>
      </c>
      <c r="AN55" s="10">
        <v>-10</v>
      </c>
      <c r="AO55" s="10">
        <v>10</v>
      </c>
      <c r="AP55" s="10">
        <f t="shared" si="21"/>
        <v>20</v>
      </c>
      <c r="AQ55" s="10">
        <f t="shared" si="22"/>
        <v>30</v>
      </c>
      <c r="AT55" s="12">
        <v>1700</v>
      </c>
      <c r="AU55" s="85"/>
      <c r="AV55" s="86"/>
      <c r="AW55" s="86"/>
      <c r="AX55" s="87"/>
      <c r="AY55" s="87"/>
      <c r="AZ55" s="87"/>
    </row>
    <row r="56" spans="2:52" ht="16.5">
      <c r="B56" s="12">
        <v>1800</v>
      </c>
      <c r="C56" s="74"/>
      <c r="D56" s="74"/>
      <c r="E56" s="74"/>
      <c r="F56" s="74"/>
      <c r="G56" s="74"/>
      <c r="H56" s="75"/>
      <c r="J56" s="12">
        <v>1800</v>
      </c>
      <c r="K56" s="77"/>
      <c r="L56"/>
      <c r="M56"/>
      <c r="N56"/>
      <c r="Q56" s="19">
        <v>1800</v>
      </c>
      <c r="R56" s="8">
        <f t="shared" si="14"/>
        <v>20</v>
      </c>
      <c r="S56" s="8">
        <f t="shared" si="15"/>
        <v>20</v>
      </c>
      <c r="T56" s="8">
        <f t="shared" si="16"/>
        <v>20</v>
      </c>
      <c r="V56" s="19">
        <v>1800</v>
      </c>
      <c r="W56" s="8">
        <f t="shared" si="3"/>
        <v>20</v>
      </c>
      <c r="X56" s="8">
        <f t="shared" si="12"/>
        <v>20</v>
      </c>
      <c r="Y56" s="8">
        <f t="shared" si="17"/>
        <v>30</v>
      </c>
      <c r="AB56" s="20">
        <v>1800</v>
      </c>
      <c r="AC56" s="9">
        <f t="shared" si="18"/>
        <v>20</v>
      </c>
      <c r="AD56" s="9">
        <f t="shared" si="19"/>
        <v>20</v>
      </c>
      <c r="AE56" s="9">
        <f t="shared" si="20"/>
        <v>20</v>
      </c>
      <c r="AG56" s="20">
        <v>1800</v>
      </c>
      <c r="AH56" s="9">
        <f t="shared" si="8"/>
        <v>20</v>
      </c>
      <c r="AI56" s="9">
        <f t="shared" si="13"/>
        <v>20</v>
      </c>
      <c r="AJ56" s="9">
        <f t="shared" si="9"/>
        <v>30</v>
      </c>
      <c r="AM56" s="21">
        <v>1800</v>
      </c>
      <c r="AN56" s="10">
        <v>-10</v>
      </c>
      <c r="AP56" s="10">
        <f t="shared" si="21"/>
        <v>20</v>
      </c>
      <c r="AQ56" s="10">
        <f t="shared" si="22"/>
        <v>30</v>
      </c>
      <c r="AT56" s="12">
        <v>1800</v>
      </c>
      <c r="AU56" s="85"/>
      <c r="AV56" s="86"/>
      <c r="AW56" s="86"/>
      <c r="AX56" s="87"/>
      <c r="AY56" s="87"/>
      <c r="AZ56" s="87"/>
    </row>
    <row r="57" spans="2:52" ht="16.5">
      <c r="B57" s="12">
        <v>1900</v>
      </c>
      <c r="C57" s="74"/>
      <c r="D57" s="74"/>
      <c r="E57" s="74"/>
      <c r="F57" s="74"/>
      <c r="G57" s="74"/>
      <c r="H57" s="75"/>
      <c r="J57" s="12">
        <v>1900</v>
      </c>
      <c r="K57" s="77"/>
      <c r="L57"/>
      <c r="M57"/>
      <c r="N57"/>
      <c r="Q57" s="19">
        <v>1900</v>
      </c>
      <c r="R57" s="8">
        <f t="shared" si="14"/>
        <v>20</v>
      </c>
      <c r="S57" s="8">
        <f t="shared" si="15"/>
        <v>20</v>
      </c>
      <c r="T57" s="8">
        <f t="shared" si="16"/>
        <v>20</v>
      </c>
      <c r="V57" s="19">
        <v>1900</v>
      </c>
      <c r="W57" s="8">
        <f t="shared" si="3"/>
        <v>20</v>
      </c>
      <c r="X57" s="8">
        <f t="shared" si="12"/>
        <v>20</v>
      </c>
      <c r="Y57" s="8">
        <f t="shared" si="17"/>
        <v>30</v>
      </c>
      <c r="AB57" s="20">
        <v>1900</v>
      </c>
      <c r="AC57" s="9">
        <f t="shared" si="18"/>
        <v>20</v>
      </c>
      <c r="AD57" s="9">
        <f t="shared" si="19"/>
        <v>20</v>
      </c>
      <c r="AE57" s="9">
        <f t="shared" si="20"/>
        <v>20</v>
      </c>
      <c r="AG57" s="20">
        <v>1900</v>
      </c>
      <c r="AH57" s="9">
        <f t="shared" si="8"/>
        <v>20</v>
      </c>
      <c r="AI57" s="9">
        <f t="shared" si="13"/>
        <v>20</v>
      </c>
      <c r="AJ57" s="9">
        <f t="shared" si="9"/>
        <v>30</v>
      </c>
      <c r="AM57" s="21">
        <v>1900</v>
      </c>
      <c r="AN57" s="10">
        <v>-10</v>
      </c>
      <c r="AP57" s="10">
        <f t="shared" si="21"/>
        <v>20</v>
      </c>
      <c r="AQ57" s="10">
        <f t="shared" si="22"/>
        <v>30</v>
      </c>
      <c r="AT57" s="12">
        <v>1900</v>
      </c>
      <c r="AU57" s="85"/>
      <c r="AV57" s="86"/>
      <c r="AW57" s="86"/>
      <c r="AX57" s="87"/>
      <c r="AY57" s="87"/>
      <c r="AZ57" s="87"/>
    </row>
    <row r="58" spans="2:52" ht="16.5">
      <c r="B58" s="12">
        <v>2000</v>
      </c>
      <c r="C58" s="74"/>
      <c r="D58" s="74"/>
      <c r="E58" s="74"/>
      <c r="F58" s="74"/>
      <c r="G58" s="74"/>
      <c r="H58" s="75"/>
      <c r="J58" s="12">
        <v>2000</v>
      </c>
      <c r="K58" s="77"/>
      <c r="L58"/>
      <c r="M58"/>
      <c r="N58"/>
      <c r="Q58" s="19">
        <v>2000</v>
      </c>
      <c r="R58" s="8">
        <f t="shared" si="14"/>
        <v>20</v>
      </c>
      <c r="S58" s="8">
        <f t="shared" si="15"/>
        <v>20</v>
      </c>
      <c r="T58" s="8">
        <f t="shared" si="16"/>
        <v>20</v>
      </c>
      <c r="V58" s="19">
        <v>2000</v>
      </c>
      <c r="W58" s="8">
        <f t="shared" si="3"/>
        <v>20</v>
      </c>
      <c r="X58" s="8">
        <f t="shared" si="12"/>
        <v>20</v>
      </c>
      <c r="Y58" s="8">
        <f t="shared" si="17"/>
        <v>30</v>
      </c>
      <c r="AB58" s="20">
        <v>2000</v>
      </c>
      <c r="AC58" s="9">
        <f t="shared" si="18"/>
        <v>20</v>
      </c>
      <c r="AD58" s="9">
        <f t="shared" si="19"/>
        <v>20</v>
      </c>
      <c r="AE58" s="9">
        <f t="shared" si="20"/>
        <v>20</v>
      </c>
      <c r="AG58" s="20">
        <v>2000</v>
      </c>
      <c r="AH58" s="9">
        <f t="shared" si="8"/>
        <v>20</v>
      </c>
      <c r="AI58" s="9">
        <f t="shared" si="13"/>
        <v>20</v>
      </c>
      <c r="AJ58" s="9">
        <f t="shared" si="9"/>
        <v>30</v>
      </c>
      <c r="AM58" s="21">
        <v>2000</v>
      </c>
      <c r="AN58" s="10">
        <v>-10</v>
      </c>
      <c r="AO58" s="10">
        <v>10</v>
      </c>
      <c r="AP58" s="10">
        <f t="shared" si="21"/>
        <v>20</v>
      </c>
      <c r="AQ58" s="10">
        <f t="shared" si="22"/>
        <v>30</v>
      </c>
      <c r="AT58" s="12">
        <v>2000</v>
      </c>
      <c r="AU58" s="85"/>
      <c r="AV58" s="86"/>
      <c r="AW58" s="86"/>
      <c r="AX58" s="87"/>
      <c r="AY58" s="87"/>
      <c r="AZ58" s="87"/>
    </row>
    <row r="59" spans="2:52" ht="16.5">
      <c r="B59" s="12">
        <v>2120</v>
      </c>
      <c r="C59" s="74"/>
      <c r="D59" s="74"/>
      <c r="E59" s="74"/>
      <c r="F59" s="74"/>
      <c r="G59" s="74"/>
      <c r="H59" s="75"/>
      <c r="J59" s="12">
        <v>2120</v>
      </c>
      <c r="K59" s="77"/>
      <c r="L59"/>
      <c r="M59"/>
      <c r="N59"/>
      <c r="Q59" s="19">
        <v>2120</v>
      </c>
      <c r="R59" s="8">
        <f t="shared" si="14"/>
        <v>20</v>
      </c>
      <c r="S59" s="8">
        <f t="shared" si="15"/>
        <v>20</v>
      </c>
      <c r="T59" s="8">
        <f t="shared" si="16"/>
        <v>20</v>
      </c>
      <c r="V59" s="19">
        <v>2120</v>
      </c>
      <c r="W59" s="8">
        <f t="shared" si="3"/>
        <v>20</v>
      </c>
      <c r="X59" s="8">
        <f t="shared" si="12"/>
        <v>20</v>
      </c>
      <c r="Y59" s="8">
        <f t="shared" si="17"/>
        <v>30</v>
      </c>
      <c r="AB59" s="20">
        <v>2120</v>
      </c>
      <c r="AC59" s="9">
        <f t="shared" si="18"/>
        <v>20</v>
      </c>
      <c r="AD59" s="9">
        <f t="shared" si="19"/>
        <v>20</v>
      </c>
      <c r="AE59" s="9">
        <f t="shared" si="20"/>
        <v>20</v>
      </c>
      <c r="AG59" s="20">
        <v>2120</v>
      </c>
      <c r="AH59" s="9">
        <f t="shared" si="8"/>
        <v>20</v>
      </c>
      <c r="AI59" s="9">
        <f t="shared" si="13"/>
        <v>20</v>
      </c>
      <c r="AJ59" s="9">
        <f t="shared" si="9"/>
        <v>30</v>
      </c>
      <c r="AM59" s="21">
        <v>2120</v>
      </c>
      <c r="AN59" s="10">
        <v>-10</v>
      </c>
      <c r="AP59" s="10">
        <f t="shared" si="21"/>
        <v>20</v>
      </c>
      <c r="AQ59" s="10">
        <f t="shared" si="22"/>
        <v>30</v>
      </c>
      <c r="AT59" s="12">
        <v>2120</v>
      </c>
      <c r="AU59" s="85"/>
      <c r="AV59" s="86"/>
      <c r="AW59" s="86"/>
      <c r="AX59" s="87"/>
      <c r="AY59" s="87"/>
      <c r="AZ59" s="87"/>
    </row>
    <row r="60" spans="2:52" ht="16.5">
      <c r="B60" s="12">
        <v>2240</v>
      </c>
      <c r="C60" s="74"/>
      <c r="D60" s="74"/>
      <c r="E60" s="74"/>
      <c r="F60" s="74"/>
      <c r="G60" s="74"/>
      <c r="H60" s="75"/>
      <c r="J60" s="12">
        <v>2240</v>
      </c>
      <c r="K60" s="77"/>
      <c r="L60"/>
      <c r="M60"/>
      <c r="N60"/>
      <c r="Q60" s="19">
        <v>2240</v>
      </c>
      <c r="R60" s="8">
        <f t="shared" si="14"/>
        <v>20</v>
      </c>
      <c r="S60" s="8">
        <f t="shared" si="15"/>
        <v>20</v>
      </c>
      <c r="T60" s="8">
        <f t="shared" si="16"/>
        <v>20</v>
      </c>
      <c r="V60" s="19">
        <v>2240</v>
      </c>
      <c r="W60" s="8">
        <f t="shared" si="3"/>
        <v>20</v>
      </c>
      <c r="X60" s="8">
        <f t="shared" si="12"/>
        <v>20</v>
      </c>
      <c r="Y60" s="8">
        <f t="shared" si="17"/>
        <v>30</v>
      </c>
      <c r="AB60" s="20">
        <v>2240</v>
      </c>
      <c r="AC60" s="9">
        <f t="shared" si="18"/>
        <v>20</v>
      </c>
      <c r="AD60" s="9">
        <f t="shared" si="19"/>
        <v>20</v>
      </c>
      <c r="AE60" s="9">
        <f t="shared" si="20"/>
        <v>20</v>
      </c>
      <c r="AG60" s="20">
        <v>2240</v>
      </c>
      <c r="AH60" s="9">
        <f t="shared" si="8"/>
        <v>20</v>
      </c>
      <c r="AI60" s="9">
        <f t="shared" si="13"/>
        <v>20</v>
      </c>
      <c r="AJ60" s="9">
        <f t="shared" si="9"/>
        <v>30</v>
      </c>
      <c r="AM60" s="21">
        <v>2240</v>
      </c>
      <c r="AN60" s="10">
        <v>-10</v>
      </c>
      <c r="AP60" s="10">
        <f t="shared" si="21"/>
        <v>20</v>
      </c>
      <c r="AQ60" s="10">
        <f t="shared" si="22"/>
        <v>30</v>
      </c>
      <c r="AT60" s="12">
        <v>2240</v>
      </c>
      <c r="AU60" s="85"/>
      <c r="AV60" s="86"/>
      <c r="AW60" s="86"/>
      <c r="AX60" s="87"/>
      <c r="AY60" s="87"/>
      <c r="AZ60" s="87"/>
    </row>
    <row r="61" spans="2:52" ht="16.5">
      <c r="B61" s="12">
        <v>2360</v>
      </c>
      <c r="C61" s="74"/>
      <c r="D61" s="74"/>
      <c r="E61" s="74"/>
      <c r="F61" s="74"/>
      <c r="G61" s="74"/>
      <c r="H61" s="75"/>
      <c r="J61" s="12">
        <v>2360</v>
      </c>
      <c r="K61" s="77"/>
      <c r="L61"/>
      <c r="M61"/>
      <c r="N61"/>
      <c r="Q61" s="19">
        <v>2360</v>
      </c>
      <c r="R61" s="8">
        <f t="shared" si="14"/>
        <v>20</v>
      </c>
      <c r="S61" s="8">
        <f t="shared" si="15"/>
        <v>20</v>
      </c>
      <c r="T61" s="8">
        <f t="shared" si="16"/>
        <v>20</v>
      </c>
      <c r="V61" s="19">
        <v>2360</v>
      </c>
      <c r="W61" s="8">
        <f t="shared" si="3"/>
        <v>20</v>
      </c>
      <c r="X61" s="8">
        <f t="shared" si="12"/>
        <v>20</v>
      </c>
      <c r="Y61" s="8">
        <f t="shared" si="17"/>
        <v>30</v>
      </c>
      <c r="AB61" s="20">
        <v>2360</v>
      </c>
      <c r="AC61" s="9">
        <f t="shared" si="18"/>
        <v>20</v>
      </c>
      <c r="AD61" s="9">
        <f t="shared" si="19"/>
        <v>20</v>
      </c>
      <c r="AE61" s="9">
        <f t="shared" si="20"/>
        <v>20</v>
      </c>
      <c r="AG61" s="20">
        <v>2360</v>
      </c>
      <c r="AH61" s="9">
        <f t="shared" si="8"/>
        <v>20</v>
      </c>
      <c r="AI61" s="9">
        <f t="shared" si="13"/>
        <v>20</v>
      </c>
      <c r="AJ61" s="9">
        <f t="shared" si="9"/>
        <v>30</v>
      </c>
      <c r="AM61" s="21">
        <v>2360</v>
      </c>
      <c r="AN61" s="10">
        <v>-10</v>
      </c>
      <c r="AO61" s="10">
        <v>10</v>
      </c>
      <c r="AP61" s="10">
        <f t="shared" si="21"/>
        <v>20</v>
      </c>
      <c r="AQ61" s="10">
        <f t="shared" si="22"/>
        <v>30</v>
      </c>
      <c r="AT61" s="12">
        <v>2360</v>
      </c>
      <c r="AU61" s="85"/>
      <c r="AV61" s="86"/>
      <c r="AW61" s="86"/>
      <c r="AX61" s="87"/>
      <c r="AY61" s="87"/>
      <c r="AZ61" s="87"/>
    </row>
    <row r="62" spans="2:52" ht="16.5">
      <c r="B62" s="12">
        <v>2500</v>
      </c>
      <c r="C62" s="74"/>
      <c r="D62" s="74"/>
      <c r="E62" s="74"/>
      <c r="F62" s="74"/>
      <c r="G62" s="74"/>
      <c r="H62" s="75"/>
      <c r="J62" s="12">
        <v>2500</v>
      </c>
      <c r="K62" s="77"/>
      <c r="L62"/>
      <c r="M62"/>
      <c r="N62"/>
      <c r="Q62" s="19">
        <v>2500</v>
      </c>
      <c r="R62" s="8">
        <f t="shared" si="14"/>
        <v>20</v>
      </c>
      <c r="S62" s="8">
        <f t="shared" si="15"/>
        <v>20</v>
      </c>
      <c r="T62" s="8">
        <f t="shared" si="16"/>
        <v>20</v>
      </c>
      <c r="V62" s="19">
        <v>2500</v>
      </c>
      <c r="W62" s="8">
        <f t="shared" si="3"/>
        <v>20</v>
      </c>
      <c r="X62" s="8">
        <f t="shared" si="12"/>
        <v>20</v>
      </c>
      <c r="Y62" s="8">
        <f t="shared" si="17"/>
        <v>30</v>
      </c>
      <c r="AB62" s="20">
        <v>2500</v>
      </c>
      <c r="AC62" s="9">
        <f t="shared" si="18"/>
        <v>20</v>
      </c>
      <c r="AD62" s="9">
        <f t="shared" si="19"/>
        <v>20</v>
      </c>
      <c r="AE62" s="9">
        <f t="shared" si="20"/>
        <v>20</v>
      </c>
      <c r="AG62" s="20">
        <v>2500</v>
      </c>
      <c r="AH62" s="9">
        <f t="shared" si="8"/>
        <v>20</v>
      </c>
      <c r="AI62" s="9">
        <f t="shared" si="13"/>
        <v>20</v>
      </c>
      <c r="AJ62" s="9">
        <f t="shared" si="9"/>
        <v>30</v>
      </c>
      <c r="AM62" s="21">
        <v>2500</v>
      </c>
      <c r="AN62" s="10">
        <v>-10</v>
      </c>
      <c r="AP62" s="10">
        <f t="shared" si="21"/>
        <v>20</v>
      </c>
      <c r="AQ62" s="10">
        <f t="shared" si="22"/>
        <v>30</v>
      </c>
      <c r="AT62" s="12">
        <v>2500</v>
      </c>
      <c r="AU62" s="85"/>
      <c r="AV62" s="86"/>
      <c r="AW62" s="86"/>
      <c r="AX62" s="87"/>
      <c r="AY62" s="87"/>
      <c r="AZ62" s="87"/>
    </row>
    <row r="63" spans="2:52" ht="16.5">
      <c r="B63" s="12">
        <v>2650</v>
      </c>
      <c r="C63" s="74"/>
      <c r="D63" s="74"/>
      <c r="E63" s="74"/>
      <c r="F63" s="74"/>
      <c r="G63" s="74"/>
      <c r="H63" s="75"/>
      <c r="J63" s="12">
        <v>2650</v>
      </c>
      <c r="K63" s="77"/>
      <c r="L63"/>
      <c r="M63"/>
      <c r="N63"/>
      <c r="Q63" s="19">
        <v>2650</v>
      </c>
      <c r="R63" s="8">
        <f t="shared" si="14"/>
        <v>20</v>
      </c>
      <c r="S63" s="8">
        <f t="shared" si="15"/>
        <v>20</v>
      </c>
      <c r="T63" s="8">
        <f t="shared" si="16"/>
        <v>20</v>
      </c>
      <c r="V63" s="19">
        <v>2650</v>
      </c>
      <c r="W63" s="8">
        <f t="shared" si="3"/>
        <v>20</v>
      </c>
      <c r="X63" s="8">
        <f t="shared" si="12"/>
        <v>20</v>
      </c>
      <c r="Y63" s="8">
        <f t="shared" si="17"/>
        <v>30</v>
      </c>
      <c r="AB63" s="20">
        <v>2650</v>
      </c>
      <c r="AC63" s="9">
        <f t="shared" si="18"/>
        <v>20</v>
      </c>
      <c r="AD63" s="9">
        <f t="shared" si="19"/>
        <v>20</v>
      </c>
      <c r="AE63" s="9">
        <f t="shared" si="20"/>
        <v>20</v>
      </c>
      <c r="AG63" s="20">
        <v>2650</v>
      </c>
      <c r="AH63" s="9">
        <f t="shared" si="8"/>
        <v>20</v>
      </c>
      <c r="AI63" s="9">
        <f t="shared" si="13"/>
        <v>20</v>
      </c>
      <c r="AJ63" s="9">
        <f t="shared" si="9"/>
        <v>30</v>
      </c>
      <c r="AM63" s="21">
        <v>2650</v>
      </c>
      <c r="AN63" s="10">
        <v>-10</v>
      </c>
      <c r="AP63" s="10">
        <f t="shared" si="21"/>
        <v>20</v>
      </c>
      <c r="AQ63" s="10">
        <f t="shared" si="22"/>
        <v>30</v>
      </c>
      <c r="AT63" s="12">
        <v>2650</v>
      </c>
      <c r="AU63" s="85"/>
      <c r="AV63" s="86"/>
      <c r="AW63" s="86"/>
      <c r="AX63" s="87"/>
      <c r="AY63" s="87"/>
      <c r="AZ63" s="87"/>
    </row>
    <row r="64" spans="2:52" ht="16.5">
      <c r="B64" s="12">
        <v>2800</v>
      </c>
      <c r="C64" s="74"/>
      <c r="D64" s="74"/>
      <c r="E64" s="74"/>
      <c r="F64" s="74"/>
      <c r="G64" s="74"/>
      <c r="H64" s="75"/>
      <c r="J64" s="12">
        <v>2800</v>
      </c>
      <c r="K64" s="77"/>
      <c r="L64"/>
      <c r="M64"/>
      <c r="N64"/>
      <c r="Q64" s="19">
        <v>2800</v>
      </c>
      <c r="R64" s="8">
        <f t="shared" si="14"/>
        <v>20</v>
      </c>
      <c r="S64" s="8">
        <f t="shared" si="15"/>
        <v>20</v>
      </c>
      <c r="T64" s="8">
        <f t="shared" si="16"/>
        <v>20</v>
      </c>
      <c r="V64" s="19">
        <v>2800</v>
      </c>
      <c r="W64" s="8">
        <f t="shared" si="3"/>
        <v>20</v>
      </c>
      <c r="X64" s="8">
        <f t="shared" si="12"/>
        <v>20</v>
      </c>
      <c r="Y64" s="8">
        <f t="shared" si="17"/>
        <v>30</v>
      </c>
      <c r="AB64" s="20">
        <v>2800</v>
      </c>
      <c r="AC64" s="9">
        <f t="shared" si="18"/>
        <v>20</v>
      </c>
      <c r="AD64" s="9">
        <f t="shared" si="19"/>
        <v>20</v>
      </c>
      <c r="AE64" s="9">
        <f t="shared" si="20"/>
        <v>20</v>
      </c>
      <c r="AG64" s="20">
        <v>2800</v>
      </c>
      <c r="AH64" s="9">
        <f t="shared" si="8"/>
        <v>20</v>
      </c>
      <c r="AI64" s="9">
        <f t="shared" si="13"/>
        <v>20</v>
      </c>
      <c r="AJ64" s="9">
        <f t="shared" si="9"/>
        <v>30</v>
      </c>
      <c r="AM64" s="21">
        <v>2800</v>
      </c>
      <c r="AN64" s="10">
        <v>-10</v>
      </c>
      <c r="AO64" s="10">
        <v>10</v>
      </c>
      <c r="AP64" s="10">
        <f t="shared" si="21"/>
        <v>20</v>
      </c>
      <c r="AQ64" s="10">
        <f t="shared" si="22"/>
        <v>30</v>
      </c>
      <c r="AT64" s="12">
        <v>2800</v>
      </c>
      <c r="AU64" s="85"/>
      <c r="AV64" s="86"/>
      <c r="AW64" s="86"/>
      <c r="AX64" s="87"/>
      <c r="AY64" s="87"/>
      <c r="AZ64" s="87"/>
    </row>
    <row r="65" spans="2:52" ht="16.5">
      <c r="B65" s="12">
        <v>3000</v>
      </c>
      <c r="C65" s="74"/>
      <c r="D65" s="74"/>
      <c r="E65" s="74"/>
      <c r="F65" s="74"/>
      <c r="G65" s="74"/>
      <c r="H65" s="75"/>
      <c r="J65" s="12">
        <v>3000</v>
      </c>
      <c r="K65" s="77"/>
      <c r="L65"/>
      <c r="M65"/>
      <c r="N65"/>
      <c r="Q65" s="19">
        <v>3000</v>
      </c>
      <c r="R65" s="8">
        <f t="shared" si="14"/>
        <v>20</v>
      </c>
      <c r="S65" s="8">
        <f t="shared" si="15"/>
        <v>20</v>
      </c>
      <c r="T65" s="8">
        <f t="shared" si="16"/>
        <v>20</v>
      </c>
      <c r="V65" s="19">
        <v>3000</v>
      </c>
      <c r="W65" s="8">
        <f t="shared" si="3"/>
        <v>20</v>
      </c>
      <c r="X65" s="8">
        <f t="shared" si="12"/>
        <v>20</v>
      </c>
      <c r="Y65" s="8">
        <f t="shared" si="17"/>
        <v>30</v>
      </c>
      <c r="AB65" s="20">
        <v>3000</v>
      </c>
      <c r="AC65" s="9">
        <f t="shared" si="18"/>
        <v>20</v>
      </c>
      <c r="AD65" s="9">
        <f t="shared" si="19"/>
        <v>20</v>
      </c>
      <c r="AE65" s="9">
        <f t="shared" si="20"/>
        <v>20</v>
      </c>
      <c r="AG65" s="20">
        <v>3000</v>
      </c>
      <c r="AH65" s="9">
        <f t="shared" si="8"/>
        <v>20</v>
      </c>
      <c r="AI65" s="9">
        <f t="shared" si="13"/>
        <v>20</v>
      </c>
      <c r="AJ65" s="9">
        <f t="shared" si="9"/>
        <v>30</v>
      </c>
      <c r="AM65" s="21">
        <v>3000</v>
      </c>
      <c r="AN65" s="10">
        <v>-10</v>
      </c>
      <c r="AP65" s="10">
        <f t="shared" si="21"/>
        <v>20</v>
      </c>
      <c r="AQ65" s="10">
        <f t="shared" si="22"/>
        <v>30</v>
      </c>
      <c r="AT65" s="12">
        <v>3000</v>
      </c>
      <c r="AU65" s="85"/>
      <c r="AV65" s="86"/>
      <c r="AW65" s="86"/>
      <c r="AX65" s="87"/>
      <c r="AY65" s="87"/>
      <c r="AZ65" s="87"/>
    </row>
    <row r="66" spans="2:52" ht="16.5">
      <c r="B66" s="12">
        <v>3150</v>
      </c>
      <c r="C66" s="74"/>
      <c r="D66" s="74"/>
      <c r="E66" s="74"/>
      <c r="F66" s="74"/>
      <c r="G66" s="74"/>
      <c r="H66" s="75"/>
      <c r="J66" s="12">
        <v>3150</v>
      </c>
      <c r="K66" s="77"/>
      <c r="L66"/>
      <c r="M66"/>
      <c r="N66"/>
      <c r="Q66" s="19">
        <v>3150</v>
      </c>
      <c r="R66" s="8">
        <f t="shared" si="14"/>
        <v>20</v>
      </c>
      <c r="S66" s="8">
        <f t="shared" si="15"/>
        <v>20</v>
      </c>
      <c r="T66" s="8">
        <f t="shared" si="16"/>
        <v>20</v>
      </c>
      <c r="V66" s="19">
        <v>3150</v>
      </c>
      <c r="W66" s="8">
        <f t="shared" si="3"/>
        <v>20</v>
      </c>
      <c r="X66" s="8">
        <f t="shared" si="12"/>
        <v>20</v>
      </c>
      <c r="Y66" s="8">
        <f t="shared" si="17"/>
        <v>30</v>
      </c>
      <c r="AB66" s="20">
        <v>3150</v>
      </c>
      <c r="AC66" s="9">
        <f t="shared" si="18"/>
        <v>20</v>
      </c>
      <c r="AD66" s="9">
        <f t="shared" si="19"/>
        <v>20</v>
      </c>
      <c r="AE66" s="9">
        <f t="shared" si="20"/>
        <v>20</v>
      </c>
      <c r="AG66" s="20">
        <v>3150</v>
      </c>
      <c r="AH66" s="9">
        <f t="shared" si="8"/>
        <v>20</v>
      </c>
      <c r="AI66" s="9">
        <f t="shared" si="13"/>
        <v>20</v>
      </c>
      <c r="AJ66" s="9">
        <f t="shared" si="9"/>
        <v>30</v>
      </c>
      <c r="AM66" s="21">
        <v>3150</v>
      </c>
      <c r="AN66" s="10">
        <v>-10</v>
      </c>
      <c r="AP66" s="10">
        <f t="shared" si="21"/>
        <v>20</v>
      </c>
      <c r="AQ66" s="10">
        <f t="shared" si="22"/>
        <v>30</v>
      </c>
      <c r="AT66" s="12">
        <v>3150</v>
      </c>
      <c r="AU66" s="85"/>
      <c r="AV66" s="86"/>
      <c r="AW66" s="86"/>
      <c r="AX66" s="87"/>
      <c r="AY66" s="87"/>
      <c r="AZ66" s="87"/>
    </row>
    <row r="67" spans="2:52" ht="16.5">
      <c r="B67" s="12">
        <v>3350</v>
      </c>
      <c r="C67" s="74"/>
      <c r="D67" s="74"/>
      <c r="E67" s="74"/>
      <c r="F67" s="74"/>
      <c r="G67" s="74"/>
      <c r="H67" s="75"/>
      <c r="J67" s="12">
        <v>3350</v>
      </c>
      <c r="K67" s="77"/>
      <c r="L67"/>
      <c r="M67"/>
      <c r="N67"/>
      <c r="Q67" s="19">
        <v>3350</v>
      </c>
      <c r="R67" s="8">
        <f t="shared" si="14"/>
        <v>20</v>
      </c>
      <c r="S67" s="8">
        <f t="shared" si="15"/>
        <v>20</v>
      </c>
      <c r="T67" s="8">
        <f t="shared" si="16"/>
        <v>20</v>
      </c>
      <c r="V67" s="19">
        <v>3350</v>
      </c>
      <c r="W67" s="8">
        <f t="shared" si="3"/>
        <v>20</v>
      </c>
      <c r="X67" s="8">
        <f t="shared" si="12"/>
        <v>20</v>
      </c>
      <c r="Y67" s="8">
        <f t="shared" si="17"/>
        <v>30</v>
      </c>
      <c r="AB67" s="20">
        <v>3350</v>
      </c>
      <c r="AC67" s="9">
        <f t="shared" si="18"/>
        <v>20</v>
      </c>
      <c r="AD67" s="9">
        <f t="shared" si="19"/>
        <v>20</v>
      </c>
      <c r="AE67" s="9">
        <f t="shared" si="20"/>
        <v>20</v>
      </c>
      <c r="AG67" s="20">
        <v>3350</v>
      </c>
      <c r="AH67" s="9">
        <f t="shared" si="8"/>
        <v>20</v>
      </c>
      <c r="AI67" s="9">
        <f t="shared" si="13"/>
        <v>20</v>
      </c>
      <c r="AJ67" s="9">
        <f t="shared" si="9"/>
        <v>30</v>
      </c>
      <c r="AM67" s="21">
        <v>3350</v>
      </c>
      <c r="AN67" s="10">
        <v>-10</v>
      </c>
      <c r="AO67" s="10">
        <v>10</v>
      </c>
      <c r="AP67" s="10">
        <f t="shared" si="21"/>
        <v>20</v>
      </c>
      <c r="AQ67" s="10">
        <f t="shared" si="22"/>
        <v>30</v>
      </c>
      <c r="AT67" s="12">
        <v>3350</v>
      </c>
      <c r="AU67" s="85"/>
      <c r="AV67" s="86"/>
      <c r="AW67" s="86"/>
      <c r="AX67" s="87"/>
      <c r="AY67" s="87"/>
      <c r="AZ67" s="87"/>
    </row>
    <row r="68" spans="2:52" ht="16.5">
      <c r="B68" s="12">
        <v>3550</v>
      </c>
      <c r="C68" s="74"/>
      <c r="D68" s="74"/>
      <c r="E68" s="74"/>
      <c r="F68" s="74"/>
      <c r="G68" s="74"/>
      <c r="H68" s="75"/>
      <c r="J68" s="12">
        <v>3550</v>
      </c>
      <c r="K68" s="77"/>
      <c r="L68"/>
      <c r="M68"/>
      <c r="N68"/>
      <c r="Q68" s="19">
        <v>3550</v>
      </c>
      <c r="R68" s="8">
        <f t="shared" si="14"/>
        <v>20</v>
      </c>
      <c r="S68" s="8">
        <f t="shared" si="15"/>
        <v>20</v>
      </c>
      <c r="T68" s="8">
        <f t="shared" si="16"/>
        <v>20</v>
      </c>
      <c r="V68" s="19">
        <v>3550</v>
      </c>
      <c r="W68" s="8">
        <f t="shared" si="3"/>
        <v>20</v>
      </c>
      <c r="X68" s="8">
        <f t="shared" si="12"/>
        <v>20</v>
      </c>
      <c r="Y68" s="8">
        <f t="shared" si="17"/>
        <v>30</v>
      </c>
      <c r="AB68" s="20">
        <v>3550</v>
      </c>
      <c r="AC68" s="9">
        <f t="shared" si="18"/>
        <v>20</v>
      </c>
      <c r="AD68" s="9">
        <f t="shared" si="19"/>
        <v>20</v>
      </c>
      <c r="AE68" s="9">
        <f t="shared" si="20"/>
        <v>20</v>
      </c>
      <c r="AG68" s="20">
        <v>3550</v>
      </c>
      <c r="AH68" s="9">
        <f t="shared" si="8"/>
        <v>20</v>
      </c>
      <c r="AI68" s="9">
        <f t="shared" si="13"/>
        <v>20</v>
      </c>
      <c r="AJ68" s="9">
        <f t="shared" si="9"/>
        <v>30</v>
      </c>
      <c r="AM68" s="21">
        <v>3550</v>
      </c>
      <c r="AN68" s="10">
        <v>-10</v>
      </c>
      <c r="AP68" s="10">
        <f t="shared" si="21"/>
        <v>20</v>
      </c>
      <c r="AQ68" s="10">
        <f t="shared" si="22"/>
        <v>30</v>
      </c>
      <c r="AT68" s="12">
        <v>3550</v>
      </c>
      <c r="AU68" s="85"/>
      <c r="AV68" s="86"/>
      <c r="AW68" s="86"/>
      <c r="AX68" s="87"/>
      <c r="AY68" s="87"/>
      <c r="AZ68" s="87"/>
    </row>
    <row r="69" spans="2:52" ht="16.5">
      <c r="B69" s="12">
        <v>3750</v>
      </c>
      <c r="C69" s="74"/>
      <c r="D69" s="74"/>
      <c r="E69" s="74"/>
      <c r="F69" s="74"/>
      <c r="G69" s="74"/>
      <c r="H69" s="75"/>
      <c r="J69" s="12">
        <v>3750</v>
      </c>
      <c r="K69" s="77"/>
      <c r="L69"/>
      <c r="M69"/>
      <c r="N69"/>
      <c r="Q69" s="19">
        <v>3750</v>
      </c>
      <c r="R69" s="8">
        <f t="shared" si="14"/>
        <v>20</v>
      </c>
      <c r="S69" s="8">
        <f t="shared" si="15"/>
        <v>20</v>
      </c>
      <c r="T69" s="8">
        <f t="shared" si="16"/>
        <v>20</v>
      </c>
      <c r="V69" s="19">
        <v>3750</v>
      </c>
      <c r="W69" s="8">
        <f t="shared" si="3"/>
        <v>20</v>
      </c>
      <c r="X69" s="8">
        <f t="shared" si="12"/>
        <v>20</v>
      </c>
      <c r="Y69" s="8">
        <f t="shared" si="17"/>
        <v>30</v>
      </c>
      <c r="AB69" s="20">
        <v>3750</v>
      </c>
      <c r="AC69" s="9">
        <f t="shared" si="18"/>
        <v>20</v>
      </c>
      <c r="AD69" s="9">
        <f t="shared" si="19"/>
        <v>20</v>
      </c>
      <c r="AE69" s="9">
        <f t="shared" si="20"/>
        <v>20</v>
      </c>
      <c r="AG69" s="20">
        <v>3750</v>
      </c>
      <c r="AH69" s="9">
        <f t="shared" si="8"/>
        <v>20</v>
      </c>
      <c r="AI69" s="9">
        <f t="shared" si="13"/>
        <v>20</v>
      </c>
      <c r="AJ69" s="9">
        <f t="shared" si="9"/>
        <v>30</v>
      </c>
      <c r="AM69" s="21">
        <v>3750</v>
      </c>
      <c r="AN69" s="10">
        <v>-10</v>
      </c>
      <c r="AP69" s="10">
        <f t="shared" si="21"/>
        <v>20</v>
      </c>
      <c r="AQ69" s="10">
        <f t="shared" si="22"/>
        <v>30</v>
      </c>
      <c r="AT69" s="12">
        <v>3750</v>
      </c>
      <c r="AU69" s="85"/>
      <c r="AV69" s="86"/>
      <c r="AW69" s="86"/>
      <c r="AX69" s="87"/>
      <c r="AY69" s="87"/>
      <c r="AZ69" s="87"/>
    </row>
    <row r="70" spans="2:52" ht="16.5">
      <c r="B70" s="12">
        <v>4000</v>
      </c>
      <c r="C70" s="74"/>
      <c r="D70" s="74"/>
      <c r="E70" s="74"/>
      <c r="F70" s="74"/>
      <c r="G70" s="74"/>
      <c r="H70" s="75"/>
      <c r="J70" s="12">
        <v>4000</v>
      </c>
      <c r="K70" s="77"/>
      <c r="L70"/>
      <c r="M70"/>
      <c r="N70"/>
      <c r="Q70" s="19">
        <v>4000</v>
      </c>
      <c r="R70" s="8">
        <f t="shared" si="14"/>
        <v>20</v>
      </c>
      <c r="S70" s="8">
        <f t="shared" si="15"/>
        <v>20</v>
      </c>
      <c r="T70" s="8">
        <f t="shared" si="16"/>
        <v>20</v>
      </c>
      <c r="V70" s="19">
        <v>4000</v>
      </c>
      <c r="W70" s="8">
        <f t="shared" ref="W70:W86" si="23">+AVERAGE(R70:T70)</f>
        <v>20</v>
      </c>
      <c r="X70" s="8">
        <f t="shared" si="12"/>
        <v>20</v>
      </c>
      <c r="Y70" s="8">
        <f t="shared" ref="Y70:Y86" si="24">+X70-$AN70</f>
        <v>30</v>
      </c>
      <c r="AB70" s="20">
        <v>4000</v>
      </c>
      <c r="AC70" s="9">
        <f t="shared" si="18"/>
        <v>20</v>
      </c>
      <c r="AD70" s="9">
        <f t="shared" si="19"/>
        <v>20</v>
      </c>
      <c r="AE70" s="9">
        <f t="shared" si="20"/>
        <v>20</v>
      </c>
      <c r="AG70" s="20">
        <v>4000</v>
      </c>
      <c r="AH70" s="9">
        <f t="shared" ref="AH70:AH86" si="25">+AVERAGE(AC70:AE70)</f>
        <v>20</v>
      </c>
      <c r="AI70" s="9">
        <f t="shared" si="13"/>
        <v>20</v>
      </c>
      <c r="AJ70" s="9">
        <f t="shared" ref="AJ70:AJ86" si="26">+AI70-$AN70</f>
        <v>30</v>
      </c>
      <c r="AM70" s="21">
        <v>4000</v>
      </c>
      <c r="AN70" s="10">
        <v>-10</v>
      </c>
      <c r="AO70" s="10">
        <v>10</v>
      </c>
      <c r="AP70" s="10">
        <f t="shared" ref="AP70:AP86" si="27">+AVERAGE(AI70,X70)</f>
        <v>20</v>
      </c>
      <c r="AQ70" s="10">
        <f t="shared" ref="AQ70:AQ86" si="28">+AP70-AN70</f>
        <v>30</v>
      </c>
      <c r="AT70" s="12">
        <v>4000</v>
      </c>
      <c r="AU70" s="85"/>
      <c r="AV70" s="86"/>
      <c r="AW70" s="86"/>
      <c r="AX70" s="87"/>
      <c r="AY70" s="87"/>
      <c r="AZ70" s="87"/>
    </row>
    <row r="71" spans="2:52" ht="16.5">
      <c r="B71" s="12">
        <v>4250</v>
      </c>
      <c r="C71" s="74"/>
      <c r="D71" s="74"/>
      <c r="E71" s="74"/>
      <c r="F71" s="74"/>
      <c r="G71" s="74"/>
      <c r="H71" s="75"/>
      <c r="J71" s="12">
        <v>4250</v>
      </c>
      <c r="K71" s="77"/>
      <c r="L71"/>
      <c r="M71"/>
      <c r="N71"/>
      <c r="Q71" s="19">
        <v>4250</v>
      </c>
      <c r="R71" s="8">
        <f t="shared" ref="R71:T86" si="29">+$K71+20-C71</f>
        <v>20</v>
      </c>
      <c r="S71" s="8">
        <f t="shared" si="29"/>
        <v>20</v>
      </c>
      <c r="T71" s="8">
        <f t="shared" si="29"/>
        <v>20</v>
      </c>
      <c r="V71" s="19">
        <v>4250</v>
      </c>
      <c r="W71" s="8">
        <f t="shared" si="23"/>
        <v>20</v>
      </c>
      <c r="X71" s="8">
        <f t="shared" ref="X71:X86" si="30">+K71+20</f>
        <v>20</v>
      </c>
      <c r="Y71" s="8">
        <f t="shared" si="24"/>
        <v>30</v>
      </c>
      <c r="AB71" s="20">
        <v>4250</v>
      </c>
      <c r="AC71" s="9">
        <f t="shared" ref="AC71:AE86" si="31">+$L71+20-F71</f>
        <v>20</v>
      </c>
      <c r="AD71" s="9">
        <f t="shared" si="31"/>
        <v>20</v>
      </c>
      <c r="AE71" s="9">
        <f t="shared" si="31"/>
        <v>20</v>
      </c>
      <c r="AG71" s="20">
        <v>4250</v>
      </c>
      <c r="AH71" s="9">
        <f t="shared" si="25"/>
        <v>20</v>
      </c>
      <c r="AI71" s="9">
        <f t="shared" ref="AI71:AI86" si="32">+L71+20</f>
        <v>20</v>
      </c>
      <c r="AJ71" s="9">
        <f t="shared" si="26"/>
        <v>30</v>
      </c>
      <c r="AM71" s="21">
        <v>4250</v>
      </c>
      <c r="AN71" s="10">
        <v>-10</v>
      </c>
      <c r="AP71" s="10">
        <f t="shared" si="27"/>
        <v>20</v>
      </c>
      <c r="AQ71" s="10">
        <f t="shared" si="28"/>
        <v>30</v>
      </c>
      <c r="AT71" s="12">
        <v>4250</v>
      </c>
      <c r="AU71" s="85"/>
      <c r="AV71" s="86"/>
      <c r="AW71" s="86"/>
      <c r="AX71" s="87"/>
      <c r="AY71" s="87"/>
      <c r="AZ71" s="87"/>
    </row>
    <row r="72" spans="2:52" ht="16.5">
      <c r="B72" s="12">
        <v>4500</v>
      </c>
      <c r="C72" s="74"/>
      <c r="D72" s="74"/>
      <c r="E72" s="74"/>
      <c r="F72" s="74"/>
      <c r="G72" s="74"/>
      <c r="H72" s="75"/>
      <c r="J72" s="12">
        <v>4500</v>
      </c>
      <c r="K72" s="77"/>
      <c r="L72"/>
      <c r="M72"/>
      <c r="N72"/>
      <c r="Q72" s="19">
        <v>4500</v>
      </c>
      <c r="R72" s="8">
        <f t="shared" si="29"/>
        <v>20</v>
      </c>
      <c r="S72" s="8">
        <f t="shared" si="29"/>
        <v>20</v>
      </c>
      <c r="T72" s="8">
        <f t="shared" si="29"/>
        <v>20</v>
      </c>
      <c r="V72" s="19">
        <v>4500</v>
      </c>
      <c r="W72" s="8">
        <f t="shared" si="23"/>
        <v>20</v>
      </c>
      <c r="X72" s="8">
        <f t="shared" si="30"/>
        <v>20</v>
      </c>
      <c r="Y72" s="8">
        <f t="shared" si="24"/>
        <v>30</v>
      </c>
      <c r="AB72" s="20">
        <v>4500</v>
      </c>
      <c r="AC72" s="9">
        <f t="shared" si="31"/>
        <v>20</v>
      </c>
      <c r="AD72" s="9">
        <f t="shared" si="31"/>
        <v>20</v>
      </c>
      <c r="AE72" s="9">
        <f t="shared" si="31"/>
        <v>20</v>
      </c>
      <c r="AG72" s="20">
        <v>4500</v>
      </c>
      <c r="AH72" s="9">
        <f t="shared" si="25"/>
        <v>20</v>
      </c>
      <c r="AI72" s="9">
        <f t="shared" si="32"/>
        <v>20</v>
      </c>
      <c r="AJ72" s="9">
        <f t="shared" si="26"/>
        <v>30</v>
      </c>
      <c r="AM72" s="21">
        <v>4500</v>
      </c>
      <c r="AN72" s="10">
        <v>-10</v>
      </c>
      <c r="AP72" s="10">
        <f t="shared" si="27"/>
        <v>20</v>
      </c>
      <c r="AQ72" s="10">
        <f t="shared" si="28"/>
        <v>30</v>
      </c>
      <c r="AT72" s="12">
        <v>4500</v>
      </c>
      <c r="AU72" s="85"/>
      <c r="AV72" s="86"/>
      <c r="AW72" s="86"/>
      <c r="AX72" s="87"/>
      <c r="AY72" s="87"/>
      <c r="AZ72" s="87"/>
    </row>
    <row r="73" spans="2:52" ht="16.5">
      <c r="B73" s="12">
        <v>4750</v>
      </c>
      <c r="C73" s="74"/>
      <c r="D73" s="74"/>
      <c r="E73" s="74"/>
      <c r="F73" s="74"/>
      <c r="G73" s="74"/>
      <c r="H73" s="75"/>
      <c r="J73" s="12">
        <v>4750</v>
      </c>
      <c r="K73" s="77"/>
      <c r="L73"/>
      <c r="M73"/>
      <c r="N73"/>
      <c r="Q73" s="19">
        <v>4750</v>
      </c>
      <c r="R73" s="8">
        <f t="shared" si="29"/>
        <v>20</v>
      </c>
      <c r="S73" s="8">
        <f t="shared" si="29"/>
        <v>20</v>
      </c>
      <c r="T73" s="8">
        <f t="shared" si="29"/>
        <v>20</v>
      </c>
      <c r="V73" s="19">
        <v>4750</v>
      </c>
      <c r="W73" s="8">
        <f t="shared" si="23"/>
        <v>20</v>
      </c>
      <c r="X73" s="8">
        <f t="shared" si="30"/>
        <v>20</v>
      </c>
      <c r="Y73" s="8">
        <f t="shared" si="24"/>
        <v>30</v>
      </c>
      <c r="AB73" s="20">
        <v>4750</v>
      </c>
      <c r="AC73" s="9">
        <f t="shared" si="31"/>
        <v>20</v>
      </c>
      <c r="AD73" s="9">
        <f t="shared" si="31"/>
        <v>20</v>
      </c>
      <c r="AE73" s="9">
        <f t="shared" si="31"/>
        <v>20</v>
      </c>
      <c r="AG73" s="20">
        <v>4750</v>
      </c>
      <c r="AH73" s="9">
        <f t="shared" si="25"/>
        <v>20</v>
      </c>
      <c r="AI73" s="9">
        <f t="shared" si="32"/>
        <v>20</v>
      </c>
      <c r="AJ73" s="9">
        <f t="shared" si="26"/>
        <v>30</v>
      </c>
      <c r="AM73" s="21">
        <v>4750</v>
      </c>
      <c r="AN73" s="10">
        <v>-10</v>
      </c>
      <c r="AO73" s="10">
        <v>10</v>
      </c>
      <c r="AP73" s="10">
        <f t="shared" si="27"/>
        <v>20</v>
      </c>
      <c r="AQ73" s="10">
        <f t="shared" si="28"/>
        <v>30</v>
      </c>
      <c r="AT73" s="12">
        <v>4750</v>
      </c>
      <c r="AU73" s="85"/>
      <c r="AV73" s="86"/>
      <c r="AW73" s="86"/>
      <c r="AX73" s="87"/>
      <c r="AY73" s="87"/>
      <c r="AZ73" s="87"/>
    </row>
    <row r="74" spans="2:52" ht="16.5">
      <c r="B74" s="12">
        <v>5000</v>
      </c>
      <c r="C74" s="74"/>
      <c r="D74" s="74"/>
      <c r="E74" s="74"/>
      <c r="F74" s="74"/>
      <c r="G74" s="74"/>
      <c r="H74" s="75"/>
      <c r="J74" s="12">
        <v>5000</v>
      </c>
      <c r="K74" s="77"/>
      <c r="L74"/>
      <c r="M74"/>
      <c r="N74"/>
      <c r="Q74" s="19">
        <v>5000</v>
      </c>
      <c r="R74" s="8">
        <f t="shared" si="29"/>
        <v>20</v>
      </c>
      <c r="S74" s="8">
        <f t="shared" si="29"/>
        <v>20</v>
      </c>
      <c r="T74" s="8">
        <f t="shared" si="29"/>
        <v>20</v>
      </c>
      <c r="V74" s="19">
        <v>5000</v>
      </c>
      <c r="W74" s="8">
        <f t="shared" si="23"/>
        <v>20</v>
      </c>
      <c r="X74" s="8">
        <f t="shared" si="30"/>
        <v>20</v>
      </c>
      <c r="Y74" s="8">
        <f t="shared" si="24"/>
        <v>30</v>
      </c>
      <c r="AB74" s="20">
        <v>5000</v>
      </c>
      <c r="AC74" s="9">
        <f t="shared" si="31"/>
        <v>20</v>
      </c>
      <c r="AD74" s="9">
        <f t="shared" si="31"/>
        <v>20</v>
      </c>
      <c r="AE74" s="9">
        <f t="shared" si="31"/>
        <v>20</v>
      </c>
      <c r="AG74" s="20">
        <v>5000</v>
      </c>
      <c r="AH74" s="9">
        <f t="shared" si="25"/>
        <v>20</v>
      </c>
      <c r="AI74" s="9">
        <f t="shared" si="32"/>
        <v>20</v>
      </c>
      <c r="AJ74" s="9">
        <f t="shared" si="26"/>
        <v>30</v>
      </c>
      <c r="AM74" s="21">
        <v>5000</v>
      </c>
      <c r="AN74" s="10">
        <v>-10</v>
      </c>
      <c r="AP74" s="10">
        <f t="shared" si="27"/>
        <v>20</v>
      </c>
      <c r="AQ74" s="10">
        <f t="shared" si="28"/>
        <v>30</v>
      </c>
      <c r="AT74" s="12">
        <v>5000</v>
      </c>
      <c r="AU74" s="85"/>
      <c r="AV74" s="86"/>
      <c r="AW74" s="86"/>
      <c r="AX74" s="87"/>
      <c r="AY74" s="87"/>
      <c r="AZ74" s="87"/>
    </row>
    <row r="75" spans="2:52" ht="16.5">
      <c r="B75" s="12">
        <v>5300</v>
      </c>
      <c r="C75" s="74"/>
      <c r="D75" s="74"/>
      <c r="E75" s="74"/>
      <c r="F75" s="74"/>
      <c r="G75" s="74"/>
      <c r="H75" s="75"/>
      <c r="J75" s="12">
        <v>5300</v>
      </c>
      <c r="K75" s="77"/>
      <c r="L75"/>
      <c r="M75"/>
      <c r="N75"/>
      <c r="Q75" s="19">
        <v>5300</v>
      </c>
      <c r="R75" s="8">
        <f t="shared" si="29"/>
        <v>20</v>
      </c>
      <c r="S75" s="8">
        <f t="shared" si="29"/>
        <v>20</v>
      </c>
      <c r="T75" s="8">
        <f t="shared" si="29"/>
        <v>20</v>
      </c>
      <c r="V75" s="19">
        <v>5300</v>
      </c>
      <c r="W75" s="8">
        <f t="shared" si="23"/>
        <v>20</v>
      </c>
      <c r="X75" s="8">
        <f t="shared" si="30"/>
        <v>20</v>
      </c>
      <c r="Y75" s="8">
        <f t="shared" si="24"/>
        <v>30</v>
      </c>
      <c r="AB75" s="20">
        <v>5300</v>
      </c>
      <c r="AC75" s="9">
        <f t="shared" si="31"/>
        <v>20</v>
      </c>
      <c r="AD75" s="9">
        <f t="shared" si="31"/>
        <v>20</v>
      </c>
      <c r="AE75" s="9">
        <f t="shared" si="31"/>
        <v>20</v>
      </c>
      <c r="AG75" s="20">
        <v>5300</v>
      </c>
      <c r="AH75" s="9">
        <f t="shared" si="25"/>
        <v>20</v>
      </c>
      <c r="AI75" s="9">
        <f t="shared" si="32"/>
        <v>20</v>
      </c>
      <c r="AJ75" s="9">
        <f t="shared" si="26"/>
        <v>30</v>
      </c>
      <c r="AM75" s="21">
        <v>5300</v>
      </c>
      <c r="AN75" s="10">
        <v>-10</v>
      </c>
      <c r="AP75" s="10">
        <f t="shared" si="27"/>
        <v>20</v>
      </c>
      <c r="AQ75" s="10">
        <f t="shared" si="28"/>
        <v>30</v>
      </c>
      <c r="AT75" s="12">
        <v>5300</v>
      </c>
      <c r="AU75" s="85"/>
      <c r="AV75" s="86"/>
      <c r="AW75" s="86"/>
      <c r="AX75" s="87"/>
      <c r="AY75" s="87"/>
      <c r="AZ75" s="87"/>
    </row>
    <row r="76" spans="2:52" ht="16.5">
      <c r="B76" s="12">
        <v>5600</v>
      </c>
      <c r="C76" s="74"/>
      <c r="D76" s="74"/>
      <c r="E76" s="74"/>
      <c r="F76" s="74"/>
      <c r="G76" s="74"/>
      <c r="H76" s="75"/>
      <c r="J76" s="12">
        <v>5600</v>
      </c>
      <c r="K76" s="77"/>
      <c r="L76"/>
      <c r="M76"/>
      <c r="N76"/>
      <c r="Q76" s="19">
        <v>5600</v>
      </c>
      <c r="R76" s="8">
        <f t="shared" si="29"/>
        <v>20</v>
      </c>
      <c r="S76" s="8">
        <f t="shared" si="29"/>
        <v>20</v>
      </c>
      <c r="T76" s="8">
        <f t="shared" si="29"/>
        <v>20</v>
      </c>
      <c r="V76" s="19">
        <v>5600</v>
      </c>
      <c r="W76" s="8">
        <f t="shared" si="23"/>
        <v>20</v>
      </c>
      <c r="X76" s="8">
        <f t="shared" si="30"/>
        <v>20</v>
      </c>
      <c r="Y76" s="8">
        <f t="shared" si="24"/>
        <v>30</v>
      </c>
      <c r="AB76" s="20">
        <v>5600</v>
      </c>
      <c r="AC76" s="9">
        <f t="shared" si="31"/>
        <v>20</v>
      </c>
      <c r="AD76" s="9">
        <f t="shared" si="31"/>
        <v>20</v>
      </c>
      <c r="AE76" s="9">
        <f t="shared" si="31"/>
        <v>20</v>
      </c>
      <c r="AG76" s="20">
        <v>5600</v>
      </c>
      <c r="AH76" s="9">
        <f t="shared" si="25"/>
        <v>20</v>
      </c>
      <c r="AI76" s="9">
        <f t="shared" si="32"/>
        <v>20</v>
      </c>
      <c r="AJ76" s="9">
        <f t="shared" si="26"/>
        <v>30</v>
      </c>
      <c r="AM76" s="21">
        <v>5600</v>
      </c>
      <c r="AN76" s="10">
        <v>-10</v>
      </c>
      <c r="AO76" s="10">
        <v>10</v>
      </c>
      <c r="AP76" s="10">
        <f t="shared" si="27"/>
        <v>20</v>
      </c>
      <c r="AQ76" s="10">
        <f t="shared" si="28"/>
        <v>30</v>
      </c>
      <c r="AT76" s="12">
        <v>5600</v>
      </c>
      <c r="AU76" s="85"/>
      <c r="AV76" s="86"/>
      <c r="AW76" s="86"/>
      <c r="AX76" s="87"/>
      <c r="AY76" s="87"/>
      <c r="AZ76" s="87"/>
    </row>
    <row r="77" spans="2:52" ht="16.5">
      <c r="B77" s="12">
        <v>6000</v>
      </c>
      <c r="C77" s="74"/>
      <c r="D77" s="74"/>
      <c r="E77" s="74"/>
      <c r="F77" s="74"/>
      <c r="G77" s="74"/>
      <c r="H77" s="75"/>
      <c r="J77" s="12">
        <v>6000</v>
      </c>
      <c r="K77" s="77"/>
      <c r="L77"/>
      <c r="M77"/>
      <c r="N77"/>
      <c r="Q77" s="19">
        <v>6000</v>
      </c>
      <c r="R77" s="8">
        <f t="shared" si="29"/>
        <v>20</v>
      </c>
      <c r="S77" s="8">
        <f t="shared" si="29"/>
        <v>20</v>
      </c>
      <c r="T77" s="8">
        <f t="shared" si="29"/>
        <v>20</v>
      </c>
      <c r="V77" s="19">
        <v>6000</v>
      </c>
      <c r="W77" s="8">
        <f t="shared" si="23"/>
        <v>20</v>
      </c>
      <c r="X77" s="8">
        <f t="shared" si="30"/>
        <v>20</v>
      </c>
      <c r="Y77" s="8">
        <f t="shared" si="24"/>
        <v>30</v>
      </c>
      <c r="AB77" s="20">
        <v>6000</v>
      </c>
      <c r="AC77" s="9">
        <f t="shared" si="31"/>
        <v>20</v>
      </c>
      <c r="AD77" s="9">
        <f t="shared" si="31"/>
        <v>20</v>
      </c>
      <c r="AE77" s="9">
        <f t="shared" si="31"/>
        <v>20</v>
      </c>
      <c r="AG77" s="20">
        <v>6000</v>
      </c>
      <c r="AH77" s="9">
        <f t="shared" si="25"/>
        <v>20</v>
      </c>
      <c r="AI77" s="9">
        <f t="shared" si="32"/>
        <v>20</v>
      </c>
      <c r="AJ77" s="9">
        <f t="shared" si="26"/>
        <v>30</v>
      </c>
      <c r="AM77" s="21">
        <v>6000</v>
      </c>
      <c r="AN77" s="10">
        <v>-10</v>
      </c>
      <c r="AP77" s="10">
        <f t="shared" si="27"/>
        <v>20</v>
      </c>
      <c r="AQ77" s="10">
        <f t="shared" si="28"/>
        <v>30</v>
      </c>
      <c r="AT77" s="12">
        <v>6000</v>
      </c>
      <c r="AU77" s="85"/>
      <c r="AV77" s="86"/>
      <c r="AW77" s="86"/>
      <c r="AX77" s="87"/>
      <c r="AY77" s="87"/>
      <c r="AZ77" s="87"/>
    </row>
    <row r="78" spans="2:52" ht="16.5">
      <c r="B78" s="12">
        <v>6300</v>
      </c>
      <c r="C78" s="74"/>
      <c r="D78" s="74"/>
      <c r="E78" s="74"/>
      <c r="F78" s="74"/>
      <c r="G78" s="74"/>
      <c r="H78" s="75"/>
      <c r="J78" s="12">
        <v>6300</v>
      </c>
      <c r="K78" s="77"/>
      <c r="L78"/>
      <c r="M78"/>
      <c r="N78"/>
      <c r="Q78" s="19">
        <v>6300</v>
      </c>
      <c r="R78" s="8">
        <f t="shared" si="29"/>
        <v>20</v>
      </c>
      <c r="S78" s="8">
        <f t="shared" si="29"/>
        <v>20</v>
      </c>
      <c r="T78" s="8">
        <f t="shared" si="29"/>
        <v>20</v>
      </c>
      <c r="V78" s="19">
        <v>6300</v>
      </c>
      <c r="W78" s="8">
        <f t="shared" si="23"/>
        <v>20</v>
      </c>
      <c r="X78" s="8">
        <f t="shared" si="30"/>
        <v>20</v>
      </c>
      <c r="Y78" s="8">
        <f t="shared" si="24"/>
        <v>30</v>
      </c>
      <c r="AB78" s="20">
        <v>6300</v>
      </c>
      <c r="AC78" s="9">
        <f t="shared" si="31"/>
        <v>20</v>
      </c>
      <c r="AD78" s="9">
        <f t="shared" si="31"/>
        <v>20</v>
      </c>
      <c r="AE78" s="9">
        <f t="shared" si="31"/>
        <v>20</v>
      </c>
      <c r="AG78" s="20">
        <v>6300</v>
      </c>
      <c r="AH78" s="9">
        <f t="shared" si="25"/>
        <v>20</v>
      </c>
      <c r="AI78" s="9">
        <f t="shared" si="32"/>
        <v>20</v>
      </c>
      <c r="AJ78" s="9">
        <f t="shared" si="26"/>
        <v>30</v>
      </c>
      <c r="AM78" s="21">
        <v>6300</v>
      </c>
      <c r="AN78" s="10">
        <v>-10</v>
      </c>
      <c r="AP78" s="10">
        <f t="shared" si="27"/>
        <v>20</v>
      </c>
      <c r="AQ78" s="10">
        <f t="shared" si="28"/>
        <v>30</v>
      </c>
      <c r="AT78" s="12">
        <v>6300</v>
      </c>
      <c r="AU78" s="85"/>
      <c r="AV78" s="86"/>
      <c r="AW78" s="86"/>
      <c r="AX78" s="87"/>
      <c r="AY78" s="87"/>
      <c r="AZ78" s="87"/>
    </row>
    <row r="79" spans="2:52" ht="16.5">
      <c r="B79" s="12">
        <v>6700</v>
      </c>
      <c r="C79" s="74"/>
      <c r="D79" s="74"/>
      <c r="E79" s="74"/>
      <c r="F79" s="74"/>
      <c r="G79" s="74"/>
      <c r="H79" s="75"/>
      <c r="J79" s="12">
        <v>6700</v>
      </c>
      <c r="K79" s="77"/>
      <c r="L79"/>
      <c r="M79"/>
      <c r="N79"/>
      <c r="Q79" s="19">
        <v>6700</v>
      </c>
      <c r="R79" s="8">
        <f t="shared" si="29"/>
        <v>20</v>
      </c>
      <c r="S79" s="8">
        <f t="shared" si="29"/>
        <v>20</v>
      </c>
      <c r="T79" s="8">
        <f t="shared" si="29"/>
        <v>20</v>
      </c>
      <c r="V79" s="19">
        <v>6700</v>
      </c>
      <c r="W79" s="8">
        <f t="shared" si="23"/>
        <v>20</v>
      </c>
      <c r="X79" s="8">
        <f t="shared" si="30"/>
        <v>20</v>
      </c>
      <c r="Y79" s="8">
        <f t="shared" si="24"/>
        <v>30</v>
      </c>
      <c r="AB79" s="20">
        <v>6700</v>
      </c>
      <c r="AC79" s="9">
        <f t="shared" si="31"/>
        <v>20</v>
      </c>
      <c r="AD79" s="9">
        <f t="shared" si="31"/>
        <v>20</v>
      </c>
      <c r="AE79" s="9">
        <f t="shared" si="31"/>
        <v>20</v>
      </c>
      <c r="AG79" s="20">
        <v>6700</v>
      </c>
      <c r="AH79" s="9">
        <f t="shared" si="25"/>
        <v>20</v>
      </c>
      <c r="AI79" s="9">
        <f t="shared" si="32"/>
        <v>20</v>
      </c>
      <c r="AJ79" s="9">
        <f t="shared" si="26"/>
        <v>30</v>
      </c>
      <c r="AM79" s="21">
        <v>6700</v>
      </c>
      <c r="AN79" s="10">
        <v>-10</v>
      </c>
      <c r="AO79" s="10">
        <v>10</v>
      </c>
      <c r="AP79" s="10">
        <f t="shared" si="27"/>
        <v>20</v>
      </c>
      <c r="AQ79" s="10">
        <f t="shared" si="28"/>
        <v>30</v>
      </c>
      <c r="AT79" s="12">
        <v>6700</v>
      </c>
      <c r="AU79" s="85"/>
      <c r="AV79" s="86"/>
      <c r="AW79" s="86"/>
      <c r="AX79" s="87"/>
      <c r="AY79" s="87"/>
      <c r="AZ79" s="87"/>
    </row>
    <row r="80" spans="2:52" ht="16.5">
      <c r="B80" s="12">
        <v>7100</v>
      </c>
      <c r="C80" s="74"/>
      <c r="D80" s="74"/>
      <c r="E80" s="74"/>
      <c r="F80" s="74"/>
      <c r="G80" s="74"/>
      <c r="H80" s="75"/>
      <c r="J80" s="12">
        <v>7100</v>
      </c>
      <c r="K80" s="77"/>
      <c r="L80"/>
      <c r="M80"/>
      <c r="N80"/>
      <c r="Q80" s="19">
        <v>7100</v>
      </c>
      <c r="R80" s="8">
        <f t="shared" si="29"/>
        <v>20</v>
      </c>
      <c r="S80" s="8">
        <f t="shared" si="29"/>
        <v>20</v>
      </c>
      <c r="T80" s="8">
        <f t="shared" si="29"/>
        <v>20</v>
      </c>
      <c r="V80" s="19">
        <v>7100</v>
      </c>
      <c r="W80" s="8">
        <f t="shared" si="23"/>
        <v>20</v>
      </c>
      <c r="X80" s="8">
        <f t="shared" si="30"/>
        <v>20</v>
      </c>
      <c r="Y80" s="8">
        <f t="shared" si="24"/>
        <v>30</v>
      </c>
      <c r="AB80" s="20">
        <v>7100</v>
      </c>
      <c r="AC80" s="9">
        <f t="shared" si="31"/>
        <v>20</v>
      </c>
      <c r="AD80" s="9">
        <f t="shared" si="31"/>
        <v>20</v>
      </c>
      <c r="AE80" s="9">
        <f t="shared" si="31"/>
        <v>20</v>
      </c>
      <c r="AG80" s="20">
        <v>7100</v>
      </c>
      <c r="AH80" s="9">
        <f t="shared" si="25"/>
        <v>20</v>
      </c>
      <c r="AI80" s="9">
        <f t="shared" si="32"/>
        <v>20</v>
      </c>
      <c r="AJ80" s="9">
        <f t="shared" si="26"/>
        <v>30</v>
      </c>
      <c r="AM80" s="21">
        <v>7100</v>
      </c>
      <c r="AN80" s="10">
        <v>-10</v>
      </c>
      <c r="AP80" s="10">
        <f t="shared" si="27"/>
        <v>20</v>
      </c>
      <c r="AQ80" s="10">
        <f t="shared" si="28"/>
        <v>30</v>
      </c>
      <c r="AT80" s="12">
        <v>7100</v>
      </c>
      <c r="AU80" s="85"/>
      <c r="AV80" s="86"/>
      <c r="AW80" s="86"/>
      <c r="AX80" s="87"/>
      <c r="AY80" s="87"/>
      <c r="AZ80" s="87"/>
    </row>
    <row r="81" spans="2:80" ht="16.5">
      <c r="B81" s="12">
        <v>7500</v>
      </c>
      <c r="C81" s="74"/>
      <c r="D81" s="74"/>
      <c r="E81" s="74"/>
      <c r="F81" s="74"/>
      <c r="G81" s="74"/>
      <c r="H81" s="75"/>
      <c r="J81" s="12">
        <v>7500</v>
      </c>
      <c r="K81" s="77"/>
      <c r="L81"/>
      <c r="M81"/>
      <c r="N81"/>
      <c r="Q81" s="19">
        <v>7500</v>
      </c>
      <c r="R81" s="8">
        <f t="shared" si="29"/>
        <v>20</v>
      </c>
      <c r="S81" s="8">
        <f t="shared" si="29"/>
        <v>20</v>
      </c>
      <c r="T81" s="8">
        <f t="shared" si="29"/>
        <v>20</v>
      </c>
      <c r="V81" s="19">
        <v>7500</v>
      </c>
      <c r="W81" s="8">
        <f t="shared" si="23"/>
        <v>20</v>
      </c>
      <c r="X81" s="8">
        <f t="shared" si="30"/>
        <v>20</v>
      </c>
      <c r="Y81" s="8">
        <f t="shared" si="24"/>
        <v>30</v>
      </c>
      <c r="AB81" s="20">
        <v>7500</v>
      </c>
      <c r="AC81" s="9">
        <f t="shared" si="31"/>
        <v>20</v>
      </c>
      <c r="AD81" s="9">
        <f t="shared" si="31"/>
        <v>20</v>
      </c>
      <c r="AE81" s="9">
        <f t="shared" si="31"/>
        <v>20</v>
      </c>
      <c r="AG81" s="20">
        <v>7500</v>
      </c>
      <c r="AH81" s="9">
        <f t="shared" si="25"/>
        <v>20</v>
      </c>
      <c r="AI81" s="9">
        <f t="shared" si="32"/>
        <v>20</v>
      </c>
      <c r="AJ81" s="9">
        <f t="shared" si="26"/>
        <v>30</v>
      </c>
      <c r="AM81" s="21">
        <v>7500</v>
      </c>
      <c r="AN81" s="10">
        <v>-10</v>
      </c>
      <c r="AP81" s="10">
        <f t="shared" si="27"/>
        <v>20</v>
      </c>
      <c r="AQ81" s="10">
        <f t="shared" si="28"/>
        <v>30</v>
      </c>
      <c r="AT81" s="12">
        <v>7500</v>
      </c>
      <c r="AU81" s="85"/>
      <c r="AV81" s="86"/>
      <c r="AW81" s="86"/>
      <c r="AX81" s="87"/>
      <c r="AY81" s="87"/>
      <c r="AZ81" s="87"/>
    </row>
    <row r="82" spans="2:80" ht="16.5">
      <c r="B82" s="12">
        <v>8000</v>
      </c>
      <c r="C82" s="74"/>
      <c r="D82" s="74"/>
      <c r="E82" s="74"/>
      <c r="F82" s="74"/>
      <c r="G82" s="74"/>
      <c r="H82" s="75"/>
      <c r="J82" s="12">
        <v>8000</v>
      </c>
      <c r="K82" s="77"/>
      <c r="L82"/>
      <c r="M82"/>
      <c r="N82"/>
      <c r="Q82" s="19">
        <v>8000</v>
      </c>
      <c r="R82" s="8">
        <f t="shared" si="29"/>
        <v>20</v>
      </c>
      <c r="S82" s="8">
        <f t="shared" si="29"/>
        <v>20</v>
      </c>
      <c r="T82" s="8">
        <f t="shared" si="29"/>
        <v>20</v>
      </c>
      <c r="V82" s="19">
        <v>8000</v>
      </c>
      <c r="W82" s="8">
        <f t="shared" si="23"/>
        <v>20</v>
      </c>
      <c r="X82" s="8">
        <f t="shared" si="30"/>
        <v>20</v>
      </c>
      <c r="Y82" s="8">
        <f t="shared" si="24"/>
        <v>30</v>
      </c>
      <c r="AB82" s="20">
        <v>8000</v>
      </c>
      <c r="AC82" s="9">
        <f t="shared" si="31"/>
        <v>20</v>
      </c>
      <c r="AD82" s="9">
        <f t="shared" si="31"/>
        <v>20</v>
      </c>
      <c r="AE82" s="9">
        <f t="shared" si="31"/>
        <v>20</v>
      </c>
      <c r="AG82" s="20">
        <v>8000</v>
      </c>
      <c r="AH82" s="9">
        <f t="shared" si="25"/>
        <v>20</v>
      </c>
      <c r="AI82" s="9">
        <f t="shared" si="32"/>
        <v>20</v>
      </c>
      <c r="AJ82" s="9">
        <f t="shared" si="26"/>
        <v>30</v>
      </c>
      <c r="AM82" s="21">
        <v>8000</v>
      </c>
      <c r="AN82" s="10">
        <v>-10</v>
      </c>
      <c r="AO82" s="10">
        <v>10</v>
      </c>
      <c r="AP82" s="10">
        <f t="shared" si="27"/>
        <v>20</v>
      </c>
      <c r="AQ82" s="10">
        <f t="shared" si="28"/>
        <v>30</v>
      </c>
      <c r="AT82" s="12">
        <v>8000</v>
      </c>
      <c r="AU82" s="85"/>
      <c r="AV82" s="86"/>
      <c r="AW82" s="86"/>
      <c r="AX82" s="87"/>
      <c r="AY82" s="87"/>
      <c r="AZ82" s="87"/>
    </row>
    <row r="83" spans="2:80" ht="16.5">
      <c r="B83" s="12">
        <v>8500</v>
      </c>
      <c r="C83" s="74"/>
      <c r="D83" s="74"/>
      <c r="E83" s="74"/>
      <c r="F83" s="74"/>
      <c r="G83" s="74"/>
      <c r="H83" s="75"/>
      <c r="J83" s="12">
        <v>8500</v>
      </c>
      <c r="K83" s="77"/>
      <c r="L83"/>
      <c r="M83"/>
      <c r="N83"/>
      <c r="Q83" s="19">
        <v>8500</v>
      </c>
      <c r="R83" s="8">
        <f t="shared" si="29"/>
        <v>20</v>
      </c>
      <c r="S83" s="8">
        <f t="shared" si="29"/>
        <v>20</v>
      </c>
      <c r="T83" s="8">
        <f t="shared" si="29"/>
        <v>20</v>
      </c>
      <c r="V83" s="19">
        <v>8500</v>
      </c>
      <c r="W83" s="8">
        <f t="shared" si="23"/>
        <v>20</v>
      </c>
      <c r="X83" s="8">
        <f t="shared" si="30"/>
        <v>20</v>
      </c>
      <c r="Y83" s="8">
        <f t="shared" si="24"/>
        <v>30</v>
      </c>
      <c r="AB83" s="20">
        <v>8500</v>
      </c>
      <c r="AC83" s="9">
        <f t="shared" si="31"/>
        <v>20</v>
      </c>
      <c r="AD83" s="9">
        <f t="shared" si="31"/>
        <v>20</v>
      </c>
      <c r="AE83" s="9">
        <f t="shared" si="31"/>
        <v>20</v>
      </c>
      <c r="AG83" s="20">
        <v>8500</v>
      </c>
      <c r="AH83" s="9">
        <f t="shared" si="25"/>
        <v>20</v>
      </c>
      <c r="AI83" s="9">
        <f t="shared" si="32"/>
        <v>20</v>
      </c>
      <c r="AJ83" s="9">
        <f t="shared" si="26"/>
        <v>30</v>
      </c>
      <c r="AM83" s="21">
        <v>8500</v>
      </c>
      <c r="AN83" s="10">
        <v>-10</v>
      </c>
      <c r="AP83" s="10">
        <f t="shared" si="27"/>
        <v>20</v>
      </c>
      <c r="AQ83" s="10">
        <f t="shared" si="28"/>
        <v>30</v>
      </c>
      <c r="AT83" s="12">
        <v>8500</v>
      </c>
      <c r="AU83" s="85"/>
      <c r="AV83" s="86"/>
      <c r="AW83" s="86"/>
      <c r="AX83" s="87"/>
      <c r="AY83" s="87"/>
      <c r="AZ83" s="87"/>
    </row>
    <row r="84" spans="2:80" ht="16.5">
      <c r="B84" s="12">
        <v>9000</v>
      </c>
      <c r="C84" s="74"/>
      <c r="D84" s="74"/>
      <c r="E84" s="74"/>
      <c r="F84" s="74"/>
      <c r="G84" s="74"/>
      <c r="H84" s="75"/>
      <c r="J84" s="12">
        <v>9000</v>
      </c>
      <c r="K84" s="77"/>
      <c r="L84"/>
      <c r="M84"/>
      <c r="N84"/>
      <c r="Q84" s="19">
        <v>9000</v>
      </c>
      <c r="R84" s="8">
        <f t="shared" si="29"/>
        <v>20</v>
      </c>
      <c r="S84" s="8">
        <f t="shared" si="29"/>
        <v>20</v>
      </c>
      <c r="T84" s="8">
        <f t="shared" si="29"/>
        <v>20</v>
      </c>
      <c r="V84" s="19">
        <v>9000</v>
      </c>
      <c r="W84" s="8">
        <f t="shared" si="23"/>
        <v>20</v>
      </c>
      <c r="X84" s="8">
        <f t="shared" si="30"/>
        <v>20</v>
      </c>
      <c r="Y84" s="8">
        <f t="shared" si="24"/>
        <v>30</v>
      </c>
      <c r="AB84" s="20">
        <v>9000</v>
      </c>
      <c r="AC84" s="9">
        <f t="shared" si="31"/>
        <v>20</v>
      </c>
      <c r="AD84" s="9">
        <f t="shared" si="31"/>
        <v>20</v>
      </c>
      <c r="AE84" s="9">
        <f t="shared" si="31"/>
        <v>20</v>
      </c>
      <c r="AG84" s="20">
        <v>9000</v>
      </c>
      <c r="AH84" s="9">
        <f t="shared" si="25"/>
        <v>20</v>
      </c>
      <c r="AI84" s="9">
        <f t="shared" si="32"/>
        <v>20</v>
      </c>
      <c r="AJ84" s="9">
        <f t="shared" si="26"/>
        <v>30</v>
      </c>
      <c r="AM84" s="21">
        <v>9000</v>
      </c>
      <c r="AN84" s="10">
        <v>-10</v>
      </c>
      <c r="AP84" s="10">
        <f t="shared" si="27"/>
        <v>20</v>
      </c>
      <c r="AQ84" s="10">
        <f t="shared" si="28"/>
        <v>30</v>
      </c>
      <c r="AT84" s="12">
        <v>9000</v>
      </c>
      <c r="AU84" s="85"/>
      <c r="AV84" s="86"/>
      <c r="AW84" s="86"/>
      <c r="AX84" s="87"/>
      <c r="AY84" s="87"/>
      <c r="AZ84" s="87"/>
    </row>
    <row r="85" spans="2:80" ht="16.5">
      <c r="B85" s="12">
        <v>9500</v>
      </c>
      <c r="C85" s="74"/>
      <c r="D85" s="74"/>
      <c r="E85" s="74"/>
      <c r="F85" s="74"/>
      <c r="G85" s="74"/>
      <c r="H85" s="75"/>
      <c r="J85" s="12">
        <v>9500</v>
      </c>
      <c r="K85" s="77"/>
      <c r="L85"/>
      <c r="M85"/>
      <c r="N85"/>
      <c r="Q85" s="19">
        <v>9500</v>
      </c>
      <c r="R85" s="8">
        <f t="shared" si="29"/>
        <v>20</v>
      </c>
      <c r="S85" s="8">
        <f t="shared" si="29"/>
        <v>20</v>
      </c>
      <c r="T85" s="8">
        <f t="shared" si="29"/>
        <v>20</v>
      </c>
      <c r="V85" s="19">
        <v>9500</v>
      </c>
      <c r="W85" s="8">
        <f t="shared" si="23"/>
        <v>20</v>
      </c>
      <c r="X85" s="8">
        <f t="shared" si="30"/>
        <v>20</v>
      </c>
      <c r="Y85" s="8">
        <f t="shared" si="24"/>
        <v>30</v>
      </c>
      <c r="AB85" s="20">
        <v>9500</v>
      </c>
      <c r="AC85" s="9">
        <f t="shared" si="31"/>
        <v>20</v>
      </c>
      <c r="AD85" s="9">
        <f t="shared" si="31"/>
        <v>20</v>
      </c>
      <c r="AE85" s="9">
        <f t="shared" si="31"/>
        <v>20</v>
      </c>
      <c r="AG85" s="20">
        <v>9500</v>
      </c>
      <c r="AH85" s="9">
        <f t="shared" si="25"/>
        <v>20</v>
      </c>
      <c r="AI85" s="9">
        <f t="shared" si="32"/>
        <v>20</v>
      </c>
      <c r="AJ85" s="9">
        <f t="shared" si="26"/>
        <v>30</v>
      </c>
      <c r="AM85" s="21">
        <v>9500</v>
      </c>
      <c r="AN85" s="10">
        <v>-10</v>
      </c>
      <c r="AO85" s="10">
        <v>10</v>
      </c>
      <c r="AP85" s="10">
        <f t="shared" si="27"/>
        <v>20</v>
      </c>
      <c r="AQ85" s="10">
        <f t="shared" si="28"/>
        <v>30</v>
      </c>
      <c r="AT85" s="12">
        <v>9500</v>
      </c>
      <c r="AU85" s="85"/>
      <c r="AV85" s="86"/>
      <c r="AW85" s="86"/>
      <c r="AX85" s="87"/>
      <c r="AY85" s="87"/>
      <c r="AZ85" s="87"/>
    </row>
    <row r="86" spans="2:80" ht="16.5">
      <c r="B86" s="12">
        <v>10000</v>
      </c>
      <c r="C86" s="74"/>
      <c r="D86" s="74"/>
      <c r="E86" s="74"/>
      <c r="F86" s="74"/>
      <c r="G86" s="74"/>
      <c r="H86" s="75"/>
      <c r="J86" s="12">
        <v>10000</v>
      </c>
      <c r="K86" s="77"/>
      <c r="L86"/>
      <c r="M86"/>
      <c r="N86"/>
      <c r="Q86" s="19">
        <v>10000</v>
      </c>
      <c r="R86" s="8">
        <f t="shared" si="29"/>
        <v>20</v>
      </c>
      <c r="S86" s="8">
        <f t="shared" si="29"/>
        <v>20</v>
      </c>
      <c r="T86" s="8">
        <f t="shared" si="29"/>
        <v>20</v>
      </c>
      <c r="V86" s="19">
        <v>10000</v>
      </c>
      <c r="W86" s="8">
        <f t="shared" si="23"/>
        <v>20</v>
      </c>
      <c r="X86" s="8">
        <f t="shared" si="30"/>
        <v>20</v>
      </c>
      <c r="Y86" s="8">
        <f t="shared" si="24"/>
        <v>30</v>
      </c>
      <c r="AB86" s="20">
        <v>10000</v>
      </c>
      <c r="AC86" s="9">
        <f t="shared" si="31"/>
        <v>20</v>
      </c>
      <c r="AD86" s="9">
        <f t="shared" si="31"/>
        <v>20</v>
      </c>
      <c r="AE86" s="9">
        <f t="shared" si="31"/>
        <v>20</v>
      </c>
      <c r="AG86" s="20">
        <v>10000</v>
      </c>
      <c r="AH86" s="9">
        <f t="shared" si="25"/>
        <v>20</v>
      </c>
      <c r="AI86" s="9">
        <f t="shared" si="32"/>
        <v>20</v>
      </c>
      <c r="AJ86" s="9">
        <f t="shared" si="26"/>
        <v>30</v>
      </c>
      <c r="AM86" s="21">
        <v>10000</v>
      </c>
      <c r="AN86" s="10">
        <v>-10</v>
      </c>
      <c r="AP86" s="10">
        <f t="shared" si="27"/>
        <v>20</v>
      </c>
      <c r="AQ86" s="10">
        <f t="shared" si="28"/>
        <v>30</v>
      </c>
      <c r="AT86" s="12">
        <v>10000</v>
      </c>
      <c r="AU86" s="85"/>
      <c r="AV86" s="86"/>
      <c r="AW86" s="86"/>
      <c r="AX86" s="87"/>
      <c r="AY86" s="87"/>
      <c r="AZ86" s="87"/>
    </row>
    <row r="88" spans="2:80">
      <c r="C88" s="11">
        <f>MAX(C6:E86)</f>
        <v>0</v>
      </c>
      <c r="F88" s="11">
        <f>MAX(F6:H86)</f>
        <v>0</v>
      </c>
      <c r="K88" s="11" t="s">
        <v>158</v>
      </c>
      <c r="L88" s="11" t="s">
        <v>158</v>
      </c>
      <c r="AR88" s="10"/>
      <c r="AT88" s="16"/>
      <c r="AU88" s="11">
        <f>MAX(AU6:AW86)</f>
        <v>0</v>
      </c>
      <c r="AX88" s="11">
        <f>MAX(AX6:AZ86)</f>
        <v>0</v>
      </c>
      <c r="AY88" s="16"/>
      <c r="AZ88" s="16"/>
      <c r="CA88" s="16"/>
      <c r="CB88" s="16"/>
    </row>
    <row r="89" spans="2:80">
      <c r="K89" s="11">
        <v>14.747</v>
      </c>
      <c r="L89" s="11">
        <v>14.747</v>
      </c>
    </row>
    <row r="90" spans="2:80">
      <c r="K90" s="11">
        <v>8.1820000000000004</v>
      </c>
      <c r="L90" s="11">
        <v>8.1820000000000004</v>
      </c>
    </row>
    <row r="91" spans="2:80">
      <c r="K91" s="11">
        <v>6.0179999999999998</v>
      </c>
      <c r="L91" s="11">
        <v>6.0179999999999998</v>
      </c>
    </row>
    <row r="92" spans="2:80">
      <c r="K92" s="11">
        <v>9.7149999999999999</v>
      </c>
      <c r="L92" s="11">
        <v>9.7149999999999999</v>
      </c>
    </row>
    <row r="93" spans="2:80">
      <c r="K93" s="11">
        <v>6.4770000000000003</v>
      </c>
      <c r="L93" s="11">
        <v>6.4770000000000003</v>
      </c>
    </row>
    <row r="94" spans="2:80">
      <c r="K94" s="11">
        <v>17.745000000000001</v>
      </c>
      <c r="L94" s="11">
        <v>17.745000000000001</v>
      </c>
    </row>
    <row r="95" spans="2:80">
      <c r="K95" s="11">
        <v>31.58</v>
      </c>
      <c r="L95" s="11">
        <v>31.58</v>
      </c>
    </row>
    <row r="96" spans="2:80">
      <c r="K96" s="11">
        <v>32.83</v>
      </c>
      <c r="L96" s="11">
        <v>32.83</v>
      </c>
    </row>
    <row r="97" spans="11:12">
      <c r="K97" s="11">
        <v>31.48</v>
      </c>
      <c r="L97" s="11">
        <v>31.48</v>
      </c>
    </row>
    <row r="98" spans="11:12">
      <c r="K98" s="11">
        <v>20.396000000000001</v>
      </c>
      <c r="L98" s="11">
        <v>20.396000000000001</v>
      </c>
    </row>
    <row r="99" spans="11:12">
      <c r="K99" s="11">
        <v>9.0679999999999996</v>
      </c>
      <c r="L99" s="11">
        <v>9.0679999999999996</v>
      </c>
    </row>
    <row r="100" spans="11:12">
      <c r="K100" s="11">
        <v>13.875999999999999</v>
      </c>
      <c r="L100" s="11">
        <v>13.875999999999999</v>
      </c>
    </row>
    <row r="101" spans="11:12">
      <c r="K101" s="11">
        <v>13.403</v>
      </c>
      <c r="L101" s="11">
        <v>13.403</v>
      </c>
    </row>
    <row r="102" spans="11:12">
      <c r="K102" s="11">
        <v>11.446999999999999</v>
      </c>
      <c r="L102" s="11">
        <v>11.446999999999999</v>
      </c>
    </row>
    <row r="103" spans="11:12">
      <c r="K103" s="11">
        <v>14.23</v>
      </c>
      <c r="L103" s="11">
        <v>14.23</v>
      </c>
    </row>
    <row r="104" spans="11:12">
      <c r="K104" s="11">
        <v>21.454000000000001</v>
      </c>
      <c r="L104" s="11">
        <v>21.454000000000001</v>
      </c>
    </row>
    <row r="105" spans="11:12">
      <c r="K105" s="11">
        <v>24.207999999999998</v>
      </c>
      <c r="L105" s="11">
        <v>24.207999999999998</v>
      </c>
    </row>
    <row r="106" spans="11:12">
      <c r="K106" s="11">
        <v>22.363</v>
      </c>
      <c r="L106" s="11">
        <v>22.363</v>
      </c>
    </row>
    <row r="107" spans="11:12">
      <c r="K107" s="11">
        <v>14.369</v>
      </c>
      <c r="L107" s="11">
        <v>14.369</v>
      </c>
    </row>
    <row r="108" spans="11:12">
      <c r="K108" s="11">
        <v>12.284000000000001</v>
      </c>
      <c r="L108" s="11">
        <v>12.284000000000001</v>
      </c>
    </row>
    <row r="109" spans="11:12">
      <c r="K109" s="11">
        <v>18.548999999999999</v>
      </c>
      <c r="L109" s="11">
        <v>18.548999999999999</v>
      </c>
    </row>
    <row r="110" spans="11:12">
      <c r="K110" s="11">
        <v>22.741</v>
      </c>
      <c r="L110" s="11">
        <v>22.741</v>
      </c>
    </row>
    <row r="111" spans="11:12">
      <c r="K111" s="11">
        <v>22.783999999999999</v>
      </c>
      <c r="L111" s="11">
        <v>22.783999999999999</v>
      </c>
    </row>
    <row r="112" spans="11:12">
      <c r="K112" s="11">
        <v>20.228999999999999</v>
      </c>
      <c r="L112" s="11">
        <v>20.228999999999999</v>
      </c>
    </row>
    <row r="113" spans="11:12">
      <c r="K113" s="11">
        <v>17.774000000000001</v>
      </c>
      <c r="L113" s="11">
        <v>17.774000000000001</v>
      </c>
    </row>
    <row r="114" spans="11:12">
      <c r="K114" s="11">
        <v>22.626000000000001</v>
      </c>
      <c r="L114" s="11">
        <v>22.626000000000001</v>
      </c>
    </row>
    <row r="115" spans="11:12">
      <c r="K115" s="11">
        <v>24.805</v>
      </c>
      <c r="L115" s="11">
        <v>24.805</v>
      </c>
    </row>
    <row r="116" spans="11:12">
      <c r="K116" s="11">
        <v>22.648</v>
      </c>
      <c r="L116" s="11">
        <v>22.648</v>
      </c>
    </row>
    <row r="117" spans="11:12">
      <c r="K117" s="11">
        <v>24.545000000000002</v>
      </c>
      <c r="L117" s="11">
        <v>24.545000000000002</v>
      </c>
    </row>
    <row r="118" spans="11:12">
      <c r="K118" s="11">
        <v>25.227</v>
      </c>
      <c r="L118" s="11">
        <v>25.227</v>
      </c>
    </row>
    <row r="119" spans="11:12">
      <c r="K119" s="11">
        <v>25.248000000000001</v>
      </c>
      <c r="L119" s="11">
        <v>25.248000000000001</v>
      </c>
    </row>
    <row r="120" spans="11:12">
      <c r="K120" s="11">
        <v>26.521999999999998</v>
      </c>
      <c r="L120" s="11">
        <v>26.521999999999998</v>
      </c>
    </row>
    <row r="121" spans="11:12">
      <c r="K121" s="11">
        <v>23.998999999999999</v>
      </c>
      <c r="L121" s="11">
        <v>23.998999999999999</v>
      </c>
    </row>
    <row r="122" spans="11:12">
      <c r="K122" s="11">
        <v>23.643000000000001</v>
      </c>
      <c r="L122" s="11">
        <v>23.643000000000001</v>
      </c>
    </row>
    <row r="123" spans="11:12">
      <c r="K123" s="11">
        <v>24.172999999999998</v>
      </c>
      <c r="L123" s="11">
        <v>24.172999999999998</v>
      </c>
    </row>
    <row r="124" spans="11:12">
      <c r="K124" s="11">
        <v>22.834</v>
      </c>
      <c r="L124" s="11">
        <v>22.834</v>
      </c>
    </row>
    <row r="125" spans="11:12">
      <c r="K125" s="11">
        <v>23.172999999999998</v>
      </c>
      <c r="L125" s="11">
        <v>23.172999999999998</v>
      </c>
    </row>
    <row r="126" spans="11:12">
      <c r="K126" s="11">
        <v>22.527000000000001</v>
      </c>
      <c r="L126" s="11">
        <v>22.527000000000001</v>
      </c>
    </row>
    <row r="127" spans="11:12">
      <c r="K127" s="11">
        <v>22.396999999999998</v>
      </c>
      <c r="L127" s="11">
        <v>22.396999999999998</v>
      </c>
    </row>
    <row r="128" spans="11:12">
      <c r="K128" s="11">
        <v>23.192</v>
      </c>
      <c r="L128" s="11">
        <v>23.192</v>
      </c>
    </row>
    <row r="129" spans="11:12">
      <c r="K129" s="11">
        <v>23.795999999999999</v>
      </c>
      <c r="L129" s="11">
        <v>23.795999999999999</v>
      </c>
    </row>
    <row r="130" spans="11:12">
      <c r="K130" s="11">
        <v>24.405000000000001</v>
      </c>
      <c r="L130" s="11">
        <v>24.405000000000001</v>
      </c>
    </row>
    <row r="131" spans="11:12">
      <c r="K131" s="11">
        <v>25.215</v>
      </c>
      <c r="L131" s="11">
        <v>25.215</v>
      </c>
    </row>
    <row r="132" spans="11:12">
      <c r="K132" s="11">
        <v>24.869</v>
      </c>
      <c r="L132" s="11">
        <v>24.869</v>
      </c>
    </row>
    <row r="133" spans="11:12">
      <c r="K133" s="11">
        <v>25.629000000000001</v>
      </c>
      <c r="L133" s="11">
        <v>25.629000000000001</v>
      </c>
    </row>
    <row r="134" spans="11:12">
      <c r="K134" s="11">
        <v>25.466000000000001</v>
      </c>
      <c r="L134" s="11">
        <v>25.466000000000001</v>
      </c>
    </row>
    <row r="135" spans="11:12">
      <c r="K135" s="11">
        <v>25.742000000000001</v>
      </c>
      <c r="L135" s="11">
        <v>25.742000000000001</v>
      </c>
    </row>
    <row r="136" spans="11:12">
      <c r="K136" s="11">
        <v>26.777000000000001</v>
      </c>
      <c r="L136" s="11">
        <v>26.777000000000001</v>
      </c>
    </row>
    <row r="137" spans="11:12">
      <c r="K137" s="11">
        <v>26.879000000000001</v>
      </c>
      <c r="L137" s="11">
        <v>26.879000000000001</v>
      </c>
    </row>
    <row r="138" spans="11:12">
      <c r="K138" s="11">
        <v>27.704999999999998</v>
      </c>
      <c r="L138" s="11">
        <v>27.704999999999998</v>
      </c>
    </row>
    <row r="139" spans="11:12">
      <c r="K139" s="11">
        <v>28.001000000000001</v>
      </c>
      <c r="L139" s="11">
        <v>28.001000000000001</v>
      </c>
    </row>
    <row r="140" spans="11:12">
      <c r="K140" s="11">
        <v>28.329000000000001</v>
      </c>
      <c r="L140" s="11">
        <v>28.329000000000001</v>
      </c>
    </row>
    <row r="141" spans="11:12">
      <c r="K141" s="11">
        <v>28.706</v>
      </c>
      <c r="L141" s="11">
        <v>28.706</v>
      </c>
    </row>
    <row r="142" spans="11:12">
      <c r="K142" s="11">
        <v>27.96</v>
      </c>
      <c r="L142" s="11">
        <v>27.96</v>
      </c>
    </row>
    <row r="143" spans="11:12">
      <c r="K143" s="11">
        <v>27.821000000000002</v>
      </c>
      <c r="L143" s="11">
        <v>27.821000000000002</v>
      </c>
    </row>
    <row r="144" spans="11:12">
      <c r="K144" s="11">
        <v>28.521000000000001</v>
      </c>
      <c r="L144" s="11">
        <v>28.521000000000001</v>
      </c>
    </row>
    <row r="145" spans="11:12">
      <c r="K145" s="11">
        <v>29.728000000000002</v>
      </c>
      <c r="L145" s="11">
        <v>29.728000000000002</v>
      </c>
    </row>
    <row r="146" spans="11:12">
      <c r="K146" s="11">
        <v>30.146999999999998</v>
      </c>
      <c r="L146" s="11">
        <v>30.146999999999998</v>
      </c>
    </row>
    <row r="147" spans="11:12">
      <c r="K147" s="11">
        <v>30.260999999999999</v>
      </c>
      <c r="L147" s="11">
        <v>30.260999999999999</v>
      </c>
    </row>
    <row r="148" spans="11:12">
      <c r="K148" s="11">
        <v>29.064</v>
      </c>
      <c r="L148" s="11">
        <v>29.064</v>
      </c>
    </row>
    <row r="149" spans="11:12">
      <c r="K149" s="11">
        <v>29.847999999999999</v>
      </c>
      <c r="L149" s="11">
        <v>29.847999999999999</v>
      </c>
    </row>
    <row r="150" spans="11:12">
      <c r="K150" s="11">
        <v>32.08</v>
      </c>
      <c r="L150" s="11">
        <v>32.08</v>
      </c>
    </row>
    <row r="151" spans="11:12">
      <c r="K151" s="11">
        <v>32.049999999999997</v>
      </c>
      <c r="L151" s="11">
        <v>32.049999999999997</v>
      </c>
    </row>
    <row r="152" spans="11:12">
      <c r="K152" s="11">
        <v>31.7</v>
      </c>
      <c r="L152" s="11">
        <v>31.7</v>
      </c>
    </row>
    <row r="153" spans="11:12">
      <c r="K153" s="11">
        <v>32.04</v>
      </c>
      <c r="L153" s="11">
        <v>32.04</v>
      </c>
    </row>
    <row r="154" spans="11:12">
      <c r="K154" s="11">
        <v>32</v>
      </c>
      <c r="L154" s="11">
        <v>32</v>
      </c>
    </row>
    <row r="155" spans="11:12">
      <c r="K155" s="11">
        <v>32.18</v>
      </c>
      <c r="L155" s="11">
        <v>32.18</v>
      </c>
    </row>
    <row r="156" spans="11:12">
      <c r="K156" s="11">
        <v>32.159999999999997</v>
      </c>
      <c r="L156" s="11">
        <v>32.159999999999997</v>
      </c>
    </row>
    <row r="157" spans="11:12">
      <c r="K157" s="11">
        <v>33.01</v>
      </c>
      <c r="L157" s="11">
        <v>33.01</v>
      </c>
    </row>
    <row r="158" spans="11:12">
      <c r="K158" s="11">
        <v>32.950000000000003</v>
      </c>
      <c r="L158" s="11">
        <v>32.950000000000003</v>
      </c>
    </row>
    <row r="159" spans="11:12">
      <c r="K159" s="11">
        <v>32.68</v>
      </c>
      <c r="L159" s="11">
        <v>32.68</v>
      </c>
    </row>
    <row r="160" spans="11:12">
      <c r="K160" s="11">
        <v>33.1</v>
      </c>
      <c r="L160" s="11">
        <v>33.1</v>
      </c>
    </row>
    <row r="161" spans="11:12">
      <c r="K161" s="11">
        <v>33.25</v>
      </c>
      <c r="L161" s="11">
        <v>33.25</v>
      </c>
    </row>
    <row r="162" spans="11:12">
      <c r="K162" s="11">
        <v>33.33</v>
      </c>
      <c r="L162" s="11">
        <v>33.33</v>
      </c>
    </row>
    <row r="163" spans="11:12">
      <c r="K163" s="11">
        <v>33.53</v>
      </c>
      <c r="L163" s="11">
        <v>33.53</v>
      </c>
    </row>
    <row r="164" spans="11:12">
      <c r="K164" s="11">
        <v>33.67</v>
      </c>
      <c r="L164" s="11">
        <v>33.67</v>
      </c>
    </row>
    <row r="165" spans="11:12">
      <c r="K165" s="11">
        <v>33.6</v>
      </c>
      <c r="L165" s="11">
        <v>33.6</v>
      </c>
    </row>
    <row r="166" spans="11:12">
      <c r="K166" s="11">
        <v>33.83</v>
      </c>
      <c r="L166" s="11">
        <v>33.83</v>
      </c>
    </row>
    <row r="167" spans="11:12">
      <c r="K167" s="11">
        <v>33.880000000000003</v>
      </c>
      <c r="L167" s="11">
        <v>33.880000000000003</v>
      </c>
    </row>
    <row r="168" spans="11:12">
      <c r="K168" s="11">
        <v>33.950000000000003</v>
      </c>
      <c r="L168" s="11">
        <v>33.950000000000003</v>
      </c>
    </row>
    <row r="169" spans="11:12">
      <c r="K169" s="11">
        <v>33.880000000000003</v>
      </c>
      <c r="L169" s="11">
        <v>33.880000000000003</v>
      </c>
    </row>
    <row r="170" spans="11:12">
      <c r="K170" s="11" t="s">
        <v>158</v>
      </c>
      <c r="L170" s="11" t="s">
        <v>158</v>
      </c>
    </row>
    <row r="171" spans="11:12">
      <c r="K171" s="11">
        <v>13.823</v>
      </c>
      <c r="L171" s="11">
        <v>13.823</v>
      </c>
    </row>
    <row r="172" spans="11:12">
      <c r="K172" s="11">
        <v>5.8949999999999996</v>
      </c>
      <c r="L172" s="11">
        <v>5.8949999999999996</v>
      </c>
    </row>
    <row r="173" spans="11:12">
      <c r="K173" s="11">
        <v>6.5890000000000004</v>
      </c>
      <c r="L173" s="11">
        <v>6.5890000000000004</v>
      </c>
    </row>
    <row r="174" spans="11:12">
      <c r="K174" s="11">
        <v>5.5789999999999997</v>
      </c>
      <c r="L174" s="11">
        <v>5.5789999999999997</v>
      </c>
    </row>
    <row r="175" spans="11:12">
      <c r="K175" s="11">
        <v>9.6579999999999995</v>
      </c>
      <c r="L175" s="11">
        <v>9.6579999999999995</v>
      </c>
    </row>
    <row r="176" spans="11:12">
      <c r="K176" s="11">
        <v>16.821000000000002</v>
      </c>
      <c r="L176" s="11">
        <v>16.821000000000002</v>
      </c>
    </row>
    <row r="177" spans="11:12">
      <c r="K177" s="11">
        <v>31.62</v>
      </c>
      <c r="L177" s="11">
        <v>31.62</v>
      </c>
    </row>
    <row r="178" spans="11:12">
      <c r="K178" s="11">
        <v>33.11</v>
      </c>
      <c r="L178" s="11">
        <v>33.11</v>
      </c>
    </row>
    <row r="179" spans="11:12">
      <c r="K179" s="11">
        <v>31.65</v>
      </c>
      <c r="L179" s="11">
        <v>31.65</v>
      </c>
    </row>
    <row r="180" spans="11:12">
      <c r="K180" s="11">
        <v>20.495000000000001</v>
      </c>
      <c r="L180" s="11">
        <v>20.495000000000001</v>
      </c>
    </row>
    <row r="181" spans="11:12">
      <c r="K181" s="11">
        <v>12.342000000000001</v>
      </c>
      <c r="L181" s="11">
        <v>12.342000000000001</v>
      </c>
    </row>
    <row r="182" spans="11:12">
      <c r="K182" s="11">
        <v>10.356999999999999</v>
      </c>
      <c r="L182" s="11">
        <v>10.356999999999999</v>
      </c>
    </row>
    <row r="183" spans="11:12">
      <c r="K183" s="11">
        <v>13.288</v>
      </c>
      <c r="L183" s="11">
        <v>13.288</v>
      </c>
    </row>
    <row r="184" spans="11:12">
      <c r="K184" s="11">
        <v>13.551</v>
      </c>
      <c r="L184" s="11">
        <v>13.551</v>
      </c>
    </row>
    <row r="185" spans="11:12">
      <c r="K185" s="11">
        <v>15.787000000000001</v>
      </c>
      <c r="L185" s="11">
        <v>15.787000000000001</v>
      </c>
    </row>
    <row r="186" spans="11:12">
      <c r="K186" s="11">
        <v>22.504999999999999</v>
      </c>
      <c r="L186" s="11">
        <v>22.504999999999999</v>
      </c>
    </row>
    <row r="187" spans="11:12">
      <c r="K187" s="11">
        <v>21.423999999999999</v>
      </c>
      <c r="L187" s="11">
        <v>21.423999999999999</v>
      </c>
    </row>
    <row r="188" spans="11:12">
      <c r="K188" s="11">
        <v>22.001999999999999</v>
      </c>
      <c r="L188" s="11">
        <v>22.001999999999999</v>
      </c>
    </row>
    <row r="189" spans="11:12">
      <c r="K189" s="11">
        <v>13.928000000000001</v>
      </c>
      <c r="L189" s="11">
        <v>13.928000000000001</v>
      </c>
    </row>
    <row r="190" spans="11:12">
      <c r="K190" s="11">
        <v>14.595000000000001</v>
      </c>
      <c r="L190" s="11">
        <v>14.595000000000001</v>
      </c>
    </row>
    <row r="191" spans="11:12">
      <c r="K191" s="11">
        <v>18.821999999999999</v>
      </c>
      <c r="L191" s="11">
        <v>18.821999999999999</v>
      </c>
    </row>
    <row r="192" spans="11:12">
      <c r="K192" s="11">
        <v>21.707000000000001</v>
      </c>
      <c r="L192" s="11">
        <v>21.707000000000001</v>
      </c>
    </row>
    <row r="193" spans="11:12">
      <c r="K193" s="11">
        <v>22.045999999999999</v>
      </c>
      <c r="L193" s="11">
        <v>22.045999999999999</v>
      </c>
    </row>
    <row r="194" spans="11:12">
      <c r="K194" s="11">
        <v>21.213999999999999</v>
      </c>
      <c r="L194" s="11">
        <v>21.213999999999999</v>
      </c>
    </row>
    <row r="195" spans="11:12">
      <c r="K195" s="11">
        <v>17.827999999999999</v>
      </c>
      <c r="L195" s="11">
        <v>17.827999999999999</v>
      </c>
    </row>
    <row r="196" spans="11:12">
      <c r="K196" s="11">
        <v>21.734000000000002</v>
      </c>
      <c r="L196" s="11">
        <v>21.734000000000002</v>
      </c>
    </row>
    <row r="197" spans="11:12">
      <c r="K197" s="11">
        <v>22.128</v>
      </c>
      <c r="L197" s="11">
        <v>22.128</v>
      </c>
    </row>
    <row r="198" spans="11:12">
      <c r="K198" s="11">
        <v>23.756</v>
      </c>
      <c r="L198" s="11">
        <v>23.756</v>
      </c>
    </row>
    <row r="199" spans="11:12">
      <c r="K199" s="11">
        <v>23.943000000000001</v>
      </c>
      <c r="L199" s="11">
        <v>23.943000000000001</v>
      </c>
    </row>
    <row r="200" spans="11:12">
      <c r="K200" s="11">
        <v>24.797000000000001</v>
      </c>
      <c r="L200" s="11">
        <v>24.797000000000001</v>
      </c>
    </row>
    <row r="201" spans="11:12">
      <c r="K201" s="11">
        <v>25.207000000000001</v>
      </c>
      <c r="L201" s="11">
        <v>25.207000000000001</v>
      </c>
    </row>
    <row r="202" spans="11:12">
      <c r="K202" s="11">
        <v>26.434000000000001</v>
      </c>
      <c r="L202" s="11">
        <v>26.434000000000001</v>
      </c>
    </row>
    <row r="203" spans="11:12">
      <c r="K203" s="11">
        <v>24.042999999999999</v>
      </c>
      <c r="L203" s="11">
        <v>24.042999999999999</v>
      </c>
    </row>
    <row r="204" spans="11:12">
      <c r="K204" s="11">
        <v>24.56</v>
      </c>
      <c r="L204" s="11">
        <v>24.56</v>
      </c>
    </row>
    <row r="205" spans="11:12">
      <c r="K205" s="11">
        <v>24.748000000000001</v>
      </c>
      <c r="L205" s="11">
        <v>24.748000000000001</v>
      </c>
    </row>
    <row r="206" spans="11:12">
      <c r="K206" s="11">
        <v>22.814</v>
      </c>
      <c r="L206" s="11">
        <v>22.814</v>
      </c>
    </row>
    <row r="207" spans="11:12">
      <c r="K207" s="11">
        <v>21.702999999999999</v>
      </c>
      <c r="L207" s="11">
        <v>21.702999999999999</v>
      </c>
    </row>
    <row r="208" spans="11:12">
      <c r="K208" s="11">
        <v>21.942</v>
      </c>
      <c r="L208" s="11">
        <v>21.942</v>
      </c>
    </row>
    <row r="209" spans="11:12">
      <c r="K209" s="11">
        <v>22.948</v>
      </c>
      <c r="L209" s="11">
        <v>22.948</v>
      </c>
    </row>
    <row r="210" spans="11:12">
      <c r="K210" s="11">
        <v>22.678999999999998</v>
      </c>
      <c r="L210" s="11">
        <v>22.678999999999998</v>
      </c>
    </row>
    <row r="211" spans="11:12">
      <c r="K211" s="11">
        <v>24.074000000000002</v>
      </c>
      <c r="L211" s="11">
        <v>24.074000000000002</v>
      </c>
    </row>
    <row r="212" spans="11:12">
      <c r="K212" s="11">
        <v>24.725000000000001</v>
      </c>
      <c r="L212" s="11">
        <v>24.725000000000001</v>
      </c>
    </row>
    <row r="213" spans="11:12">
      <c r="K213" s="11">
        <v>24.768000000000001</v>
      </c>
      <c r="L213" s="11">
        <v>24.768000000000001</v>
      </c>
    </row>
    <row r="214" spans="11:12">
      <c r="K214" s="11">
        <v>25.321000000000002</v>
      </c>
      <c r="L214" s="11">
        <v>25.321000000000002</v>
      </c>
    </row>
    <row r="215" spans="11:12">
      <c r="K215" s="11">
        <v>26.207999999999998</v>
      </c>
      <c r="L215" s="11">
        <v>26.207999999999998</v>
      </c>
    </row>
    <row r="216" spans="11:12">
      <c r="K216" s="11">
        <v>26.108000000000001</v>
      </c>
      <c r="L216" s="11">
        <v>26.108000000000001</v>
      </c>
    </row>
    <row r="217" spans="11:12">
      <c r="K217" s="11">
        <v>26.852</v>
      </c>
      <c r="L217" s="11">
        <v>26.852</v>
      </c>
    </row>
    <row r="218" spans="11:12">
      <c r="K218" s="11">
        <v>26.806999999999999</v>
      </c>
      <c r="L218" s="11">
        <v>26.806999999999999</v>
      </c>
    </row>
    <row r="219" spans="11:12">
      <c r="K219" s="11">
        <v>27.350999999999999</v>
      </c>
      <c r="L219" s="11">
        <v>27.350999999999999</v>
      </c>
    </row>
    <row r="220" spans="11:12">
      <c r="K220" s="11">
        <v>27.533000000000001</v>
      </c>
      <c r="L220" s="11">
        <v>27.533000000000001</v>
      </c>
    </row>
    <row r="221" spans="11:12">
      <c r="K221" s="11">
        <v>27.588000000000001</v>
      </c>
      <c r="L221" s="11">
        <v>27.588000000000001</v>
      </c>
    </row>
    <row r="222" spans="11:12">
      <c r="K222" s="11">
        <v>28.026</v>
      </c>
      <c r="L222" s="11">
        <v>28.026</v>
      </c>
    </row>
    <row r="223" spans="11:12">
      <c r="K223" s="11">
        <v>28.013000000000002</v>
      </c>
      <c r="L223" s="11">
        <v>28.013000000000002</v>
      </c>
    </row>
    <row r="224" spans="11:12">
      <c r="K224" s="11">
        <v>27.622</v>
      </c>
      <c r="L224" s="11">
        <v>27.622</v>
      </c>
    </row>
    <row r="225" spans="11:12">
      <c r="K225" s="11">
        <v>27.768999999999998</v>
      </c>
      <c r="L225" s="11">
        <v>27.768999999999998</v>
      </c>
    </row>
    <row r="226" spans="11:12">
      <c r="K226" s="11">
        <v>28.548999999999999</v>
      </c>
      <c r="L226" s="11">
        <v>28.548999999999999</v>
      </c>
    </row>
    <row r="227" spans="11:12">
      <c r="K227" s="11">
        <v>29.521000000000001</v>
      </c>
      <c r="L227" s="11">
        <v>29.521000000000001</v>
      </c>
    </row>
    <row r="228" spans="11:12">
      <c r="K228" s="11">
        <v>30.344999999999999</v>
      </c>
      <c r="L228" s="11">
        <v>30.344999999999999</v>
      </c>
    </row>
    <row r="229" spans="11:12">
      <c r="K229" s="11">
        <v>30.472000000000001</v>
      </c>
      <c r="L229" s="11">
        <v>30.472000000000001</v>
      </c>
    </row>
    <row r="230" spans="11:12">
      <c r="K230" s="11">
        <v>29.673999999999999</v>
      </c>
      <c r="L230" s="11">
        <v>29.673999999999999</v>
      </c>
    </row>
    <row r="231" spans="11:12">
      <c r="K231" s="11">
        <v>30.236999999999998</v>
      </c>
      <c r="L231" s="11">
        <v>30.236999999999998</v>
      </c>
    </row>
    <row r="232" spans="11:12">
      <c r="K232" s="11">
        <v>32.11</v>
      </c>
      <c r="L232" s="11">
        <v>32.11</v>
      </c>
    </row>
    <row r="233" spans="11:12">
      <c r="K233" s="11">
        <v>31.56</v>
      </c>
      <c r="L233" s="11">
        <v>31.56</v>
      </c>
    </row>
    <row r="234" spans="11:12">
      <c r="K234" s="11">
        <v>31.78</v>
      </c>
      <c r="L234" s="11">
        <v>31.78</v>
      </c>
    </row>
    <row r="235" spans="11:12">
      <c r="K235" s="11">
        <v>32.03</v>
      </c>
      <c r="L235" s="11">
        <v>32.03</v>
      </c>
    </row>
    <row r="236" spans="11:12">
      <c r="K236" s="11">
        <v>32.049999999999997</v>
      </c>
      <c r="L236" s="11">
        <v>32.049999999999997</v>
      </c>
    </row>
    <row r="237" spans="11:12">
      <c r="K237" s="11">
        <v>32.1</v>
      </c>
      <c r="L237" s="11">
        <v>32.1</v>
      </c>
    </row>
    <row r="238" spans="11:12">
      <c r="K238" s="11">
        <v>32.5</v>
      </c>
      <c r="L238" s="11">
        <v>32.5</v>
      </c>
    </row>
    <row r="239" spans="11:12">
      <c r="K239" s="11">
        <v>32.950000000000003</v>
      </c>
      <c r="L239" s="11">
        <v>32.950000000000003</v>
      </c>
    </row>
    <row r="240" spans="11:12">
      <c r="K240" s="11">
        <v>32.94</v>
      </c>
      <c r="L240" s="11">
        <v>32.94</v>
      </c>
    </row>
    <row r="241" spans="11:12">
      <c r="K241" s="11">
        <v>32.68</v>
      </c>
      <c r="L241" s="11">
        <v>32.68</v>
      </c>
    </row>
    <row r="242" spans="11:12">
      <c r="K242" s="11">
        <v>33.11</v>
      </c>
      <c r="L242" s="11">
        <v>33.11</v>
      </c>
    </row>
    <row r="243" spans="11:12">
      <c r="K243" s="11">
        <v>33.5</v>
      </c>
      <c r="L243" s="11">
        <v>33.5</v>
      </c>
    </row>
    <row r="244" spans="11:12">
      <c r="K244" s="11">
        <v>33.5</v>
      </c>
      <c r="L244" s="11">
        <v>33.5</v>
      </c>
    </row>
    <row r="245" spans="11:12">
      <c r="K245" s="11">
        <v>33.68</v>
      </c>
      <c r="L245" s="11">
        <v>33.68</v>
      </c>
    </row>
    <row r="246" spans="11:12">
      <c r="K246" s="11">
        <v>33.61</v>
      </c>
      <c r="L246" s="11">
        <v>33.61</v>
      </c>
    </row>
    <row r="247" spans="11:12">
      <c r="K247" s="11">
        <v>33.72</v>
      </c>
      <c r="L247" s="11">
        <v>33.72</v>
      </c>
    </row>
    <row r="248" spans="11:12">
      <c r="K248" s="11">
        <v>33.79</v>
      </c>
      <c r="L248" s="11">
        <v>33.79</v>
      </c>
    </row>
    <row r="249" spans="11:12">
      <c r="K249" s="11">
        <v>34</v>
      </c>
      <c r="L249" s="11">
        <v>34</v>
      </c>
    </row>
    <row r="250" spans="11:12">
      <c r="K250" s="11">
        <v>34.03</v>
      </c>
      <c r="L250" s="11">
        <v>34.03</v>
      </c>
    </row>
    <row r="251" spans="11:12">
      <c r="K251" s="11">
        <v>33.99</v>
      </c>
      <c r="L251" s="11">
        <v>33.99</v>
      </c>
    </row>
  </sheetData>
  <mergeCells count="2">
    <mergeCell ref="B2:G2"/>
    <mergeCell ref="AT2:AY2"/>
  </mergeCells>
  <phoneticPr fontId="2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K86"/>
  <sheetViews>
    <sheetView topLeftCell="C1" zoomScale="115" zoomScaleNormal="115" workbookViewId="0">
      <selection activeCell="X5" sqref="X5:X86"/>
    </sheetView>
  </sheetViews>
  <sheetFormatPr defaultRowHeight="12.75"/>
  <cols>
    <col min="1" max="1" width="26.7109375" style="14" bestFit="1" customWidth="1"/>
    <col min="2" max="2" width="6" style="19" bestFit="1" customWidth="1"/>
    <col min="3" max="3" width="14" style="8" bestFit="1" customWidth="1"/>
    <col min="4" max="4" width="14.7109375" style="8" bestFit="1" customWidth="1"/>
    <col min="5" max="5" width="14.140625" style="8" bestFit="1" customWidth="1"/>
    <col min="6" max="7" width="14.140625" style="8" customWidth="1"/>
    <col min="8" max="8" width="9.140625" style="8"/>
    <col min="9" max="9" width="6" style="19" bestFit="1" customWidth="1"/>
    <col min="10" max="10" width="10.7109375" style="8" bestFit="1" customWidth="1"/>
    <col min="11" max="11" width="13.7109375" style="8" bestFit="1" customWidth="1"/>
    <col min="12" max="13" width="12.85546875" style="8" customWidth="1"/>
    <col min="14" max="14" width="25.5703125" style="15" bestFit="1" customWidth="1"/>
    <col min="15" max="15" width="6" style="20" bestFit="1" customWidth="1"/>
    <col min="16" max="16" width="10" style="9" bestFit="1" customWidth="1"/>
    <col min="17" max="17" width="10.140625" style="9" bestFit="1" customWidth="1"/>
    <col min="18" max="18" width="14.140625" style="9" bestFit="1" customWidth="1"/>
    <col min="19" max="20" width="14.140625" style="9" customWidth="1"/>
    <col min="21" max="21" width="12.85546875" style="9" customWidth="1"/>
    <col min="22" max="22" width="6" style="20" bestFit="1" customWidth="1"/>
    <col min="23" max="23" width="12" style="9" bestFit="1" customWidth="1"/>
    <col min="24" max="24" width="10.28515625" style="9" bestFit="1" customWidth="1"/>
    <col min="25" max="25" width="10.28515625" style="9" customWidth="1"/>
    <col min="26" max="26" width="12.85546875" style="9" customWidth="1"/>
    <col min="27" max="27" width="22" style="16" bestFit="1" customWidth="1"/>
    <col min="28" max="28" width="6" style="21" bestFit="1" customWidth="1"/>
    <col min="29" max="29" width="10.85546875" style="10" bestFit="1" customWidth="1"/>
    <col min="30" max="30" width="17.7109375" style="10" bestFit="1" customWidth="1"/>
    <col min="31" max="31" width="6.28515625" style="10" customWidth="1"/>
    <col min="32" max="33" width="9.140625" style="16"/>
  </cols>
  <sheetData>
    <row r="1" spans="1:63">
      <c r="A1" s="24"/>
      <c r="B1" s="25"/>
      <c r="C1" s="24"/>
      <c r="D1" s="24"/>
      <c r="E1" s="24"/>
      <c r="F1" s="24"/>
      <c r="G1" s="24"/>
      <c r="H1" s="24"/>
      <c r="I1" s="25"/>
      <c r="J1" s="24"/>
      <c r="K1" s="24"/>
      <c r="L1" s="24"/>
      <c r="M1" s="24"/>
      <c r="N1" s="24"/>
      <c r="O1" s="25"/>
      <c r="P1" s="24"/>
      <c r="Q1" s="24"/>
      <c r="R1" s="24"/>
      <c r="S1" s="24"/>
      <c r="T1" s="24"/>
      <c r="U1" s="24"/>
      <c r="V1" s="25"/>
      <c r="W1" s="24"/>
      <c r="X1" s="24"/>
      <c r="Y1" s="24"/>
      <c r="Z1" s="24"/>
      <c r="AA1" s="24"/>
      <c r="AB1" s="25"/>
      <c r="AC1" s="25">
        <v>38</v>
      </c>
      <c r="AD1" s="24"/>
      <c r="AE1" s="24"/>
      <c r="AF1" s="24"/>
      <c r="AG1" s="24"/>
    </row>
    <row r="2" spans="1:63">
      <c r="A2" s="24"/>
      <c r="B2" s="25"/>
      <c r="C2" s="24"/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5"/>
      <c r="P2" s="24"/>
      <c r="Q2" s="24"/>
      <c r="R2" s="24"/>
      <c r="S2" s="24"/>
      <c r="T2" s="24"/>
      <c r="U2" s="24"/>
      <c r="V2" s="25"/>
      <c r="W2" s="24"/>
      <c r="X2" s="24"/>
      <c r="Y2" s="24"/>
      <c r="Z2" s="24"/>
      <c r="AA2" s="24"/>
      <c r="AB2" s="25"/>
      <c r="AC2" s="24"/>
      <c r="AD2" s="24"/>
      <c r="AE2" s="24"/>
      <c r="AF2" s="24"/>
      <c r="AG2" s="24"/>
    </row>
    <row r="3" spans="1:63">
      <c r="A3" s="24"/>
      <c r="B3" s="25"/>
      <c r="C3" s="24"/>
      <c r="D3" s="24"/>
      <c r="E3" s="24"/>
      <c r="F3" s="24"/>
      <c r="G3" s="24"/>
      <c r="H3" s="24"/>
      <c r="I3" s="25"/>
      <c r="J3" s="24"/>
      <c r="K3" s="24"/>
      <c r="L3" s="24"/>
      <c r="M3" s="24"/>
      <c r="N3" s="24"/>
      <c r="O3" s="25"/>
      <c r="P3" s="24"/>
      <c r="Q3" s="24"/>
      <c r="R3" s="24"/>
      <c r="S3" s="24"/>
      <c r="T3" s="24"/>
      <c r="U3" s="24"/>
      <c r="V3" s="25"/>
      <c r="W3" s="24"/>
      <c r="X3" s="24"/>
      <c r="Y3" s="24"/>
      <c r="Z3" s="24"/>
      <c r="AA3" s="24"/>
      <c r="AB3" s="25"/>
      <c r="AC3" s="24"/>
      <c r="AD3" s="24"/>
      <c r="AE3" s="24"/>
      <c r="AF3" s="24"/>
      <c r="AG3" s="24"/>
    </row>
    <row r="4" spans="1:63" ht="18">
      <c r="A4" s="13" t="s">
        <v>26</v>
      </c>
      <c r="N4" s="13" t="s">
        <v>27</v>
      </c>
      <c r="AA4" s="13" t="s">
        <v>28</v>
      </c>
      <c r="AT4" s="120" t="s">
        <v>145</v>
      </c>
      <c r="AU4" s="120"/>
      <c r="AV4" s="120"/>
      <c r="AW4" s="120"/>
      <c r="AX4" s="120"/>
      <c r="AY4" s="120"/>
      <c r="AZ4" s="119" t="s">
        <v>144</v>
      </c>
      <c r="BA4" s="119"/>
      <c r="BB4" s="119"/>
      <c r="BC4" s="119"/>
      <c r="BD4" s="119"/>
      <c r="BE4" s="119"/>
    </row>
    <row r="5" spans="1:63">
      <c r="A5" s="18"/>
      <c r="C5" s="19" t="s">
        <v>35</v>
      </c>
      <c r="D5" s="19" t="s">
        <v>31</v>
      </c>
      <c r="E5" s="19" t="s">
        <v>30</v>
      </c>
      <c r="F5" s="29" t="s">
        <v>37</v>
      </c>
      <c r="G5" s="29" t="s">
        <v>36</v>
      </c>
      <c r="H5" s="19"/>
      <c r="J5" s="19" t="s">
        <v>22</v>
      </c>
      <c r="K5" s="19" t="s">
        <v>10</v>
      </c>
      <c r="L5" s="19"/>
      <c r="M5" s="19"/>
      <c r="N5" s="18"/>
      <c r="P5" s="20" t="s">
        <v>35</v>
      </c>
      <c r="Q5" s="20" t="s">
        <v>31</v>
      </c>
      <c r="R5" s="20" t="s">
        <v>30</v>
      </c>
      <c r="S5" s="30" t="s">
        <v>37</v>
      </c>
      <c r="T5" s="30" t="s">
        <v>36</v>
      </c>
      <c r="U5" s="20"/>
      <c r="W5" s="20" t="s">
        <v>23</v>
      </c>
      <c r="X5" s="20" t="s">
        <v>10</v>
      </c>
      <c r="Y5" s="20"/>
      <c r="Z5" s="20"/>
      <c r="AA5" s="18"/>
      <c r="AC5" s="21" t="s">
        <v>11</v>
      </c>
      <c r="AD5" s="21" t="s">
        <v>24</v>
      </c>
      <c r="AE5" s="21"/>
      <c r="AF5" s="22"/>
      <c r="AG5" s="22"/>
      <c r="AH5" s="12" t="s">
        <v>114</v>
      </c>
      <c r="AI5" s="12" t="s">
        <v>115</v>
      </c>
      <c r="AJ5" s="12" t="s">
        <v>116</v>
      </c>
      <c r="AK5" s="12" t="s">
        <v>120</v>
      </c>
      <c r="AL5" s="12" t="s">
        <v>121</v>
      </c>
      <c r="AM5" s="12" t="s">
        <v>122</v>
      </c>
      <c r="AN5" s="12" t="s">
        <v>117</v>
      </c>
      <c r="AO5" s="12" t="s">
        <v>118</v>
      </c>
      <c r="AP5" s="12" t="s">
        <v>119</v>
      </c>
      <c r="AQ5" s="12" t="s">
        <v>123</v>
      </c>
      <c r="AR5" s="12" t="s">
        <v>124</v>
      </c>
      <c r="AS5" s="12" t="s">
        <v>125</v>
      </c>
      <c r="AT5" s="12" t="s">
        <v>126</v>
      </c>
      <c r="AU5" s="12" t="s">
        <v>127</v>
      </c>
      <c r="AV5" s="12" t="s">
        <v>128</v>
      </c>
      <c r="AW5" s="12" t="s">
        <v>129</v>
      </c>
      <c r="AX5" s="12" t="s">
        <v>130</v>
      </c>
      <c r="AY5" s="12" t="s">
        <v>131</v>
      </c>
      <c r="AZ5" s="12" t="s">
        <v>132</v>
      </c>
      <c r="BA5" s="12" t="s">
        <v>133</v>
      </c>
      <c r="BB5" s="12" t="s">
        <v>134</v>
      </c>
      <c r="BC5" s="12" t="s">
        <v>135</v>
      </c>
      <c r="BD5" s="12" t="s">
        <v>136</v>
      </c>
      <c r="BE5" s="12" t="s">
        <v>137</v>
      </c>
      <c r="BF5" s="12" t="s">
        <v>138</v>
      </c>
      <c r="BG5" s="12" t="s">
        <v>139</v>
      </c>
      <c r="BH5" s="12" t="s">
        <v>140</v>
      </c>
      <c r="BI5" s="12" t="s">
        <v>141</v>
      </c>
      <c r="BJ5" s="12" t="s">
        <v>142</v>
      </c>
      <c r="BK5" s="12" t="s">
        <v>143</v>
      </c>
    </row>
    <row r="6" spans="1:63">
      <c r="B6" s="19">
        <v>100</v>
      </c>
      <c r="C6" s="27">
        <f>+AVERAGE('Data #1'!W6,'Data #2'!W6,'Data #3'!W6,'Data #4'!W6,'Data #5'!W6)</f>
        <v>36.955333333333343</v>
      </c>
      <c r="D6" s="27">
        <f>+C6+STDEV('Data #1'!R6:T6,'Data #2'!R6:T6,'Data #3'!R6:T6,'Data #4'!R6:T6,'Data #5'!R6:T6)</f>
        <v>72.065502569745803</v>
      </c>
      <c r="E6" s="27">
        <f>+C6-STDEV('Data #1'!R6:T6,'Data #2'!R6:T6,'Data #3'!R6:T6,'Data #4'!R6:T6,'Data #5'!R6:T6)</f>
        <v>1.8451640969208896</v>
      </c>
      <c r="F6" s="27">
        <f>+MIN('Data #1'!R6:T6,'Data #2'!R6:T6,'Data #3'!R6:T6,'Data #4'!R6:T6,'Data #5'!R6:T6)</f>
        <v>20</v>
      </c>
      <c r="G6" s="27">
        <f>+MAX('Data #1'!R6:T6,'Data #2'!R6:T6,'Data #3'!R6:T6,'Data #4'!R6:T6,'Data #5'!R6:T6)</f>
        <v>106.28</v>
      </c>
      <c r="I6" s="19">
        <v>100</v>
      </c>
      <c r="J6" s="27">
        <f>+AVERAGE('Data #1'!X6,'Data #2'!X6,'Data #3'!X6,'Data #4'!X6,'Data #5'!X6)</f>
        <v>25.518000000000001</v>
      </c>
      <c r="K6" s="27">
        <f t="shared" ref="K6:K69" si="0">+J6-$AC6</f>
        <v>35.518000000000001</v>
      </c>
      <c r="O6" s="20">
        <v>100</v>
      </c>
      <c r="P6" s="28">
        <f>+AVERAGE('Data #1'!AH6,'Data #2'!AH6,'Data #3'!AH6,'Data #4'!AH6,'Data #5'!AH6)</f>
        <v>37.672000000000004</v>
      </c>
      <c r="Q6" s="28">
        <f>+P6+STDEV('Data #1'!AC6:AE6,'Data #2'!AC6:AE6,'Data #3'!AC6:AE6,'Data #4'!AC6:AE6,'Data #5'!AC6:AE6)</f>
        <v>74.263796933973367</v>
      </c>
      <c r="R6" s="28">
        <f>+P6-STDEV('Data #1'!AC6:AE6,'Data #2'!AC6:AE6,'Data #3'!AC6:AE6,'Data #4'!AC6:AE6,'Data #5'!AC6:AE6)</f>
        <v>1.080203066026634</v>
      </c>
      <c r="S6" s="28">
        <f>+MIN('Data #1'!AC6:AE6,'Data #2'!AC6:AE6,'Data #3'!AC6:AE6,'Data #4'!AC6:AE6,'Data #5'!AC6:AE6)</f>
        <v>20</v>
      </c>
      <c r="T6" s="28">
        <f>+MAX('Data #1'!AC6:AE6,'Data #2'!AC6:AE6,'Data #3'!AC6:AE6,'Data #4'!AC6:AE6,'Data #5'!AC6:AE6)</f>
        <v>110.47</v>
      </c>
      <c r="V6" s="20">
        <v>100</v>
      </c>
      <c r="W6" s="28">
        <f>+AVERAGE('Data #1'!AI6,'Data #2'!AI6,'Data #3'!AI6,'Data #4'!AI6,'Data #4'!AI6)</f>
        <v>25.597999999999999</v>
      </c>
      <c r="X6" s="28">
        <f t="shared" ref="X6:X69" si="1">+W6-$AC6</f>
        <v>35.597999999999999</v>
      </c>
      <c r="AB6" s="21">
        <v>100</v>
      </c>
      <c r="AC6" s="10">
        <v>-10</v>
      </c>
      <c r="AD6" s="10">
        <v>10</v>
      </c>
      <c r="AH6">
        <f>MAX('Data #1'!C6,'Data #2'!C6,'Data #3'!C6,'Data #4'!C6,'Data #5'!C6)</f>
        <v>-54.74</v>
      </c>
      <c r="AI6">
        <f>MAX('Data #1'!D6,'Data #2'!D6,'Data #3'!D6,'Data #4'!D6,'Data #5'!D6)</f>
        <v>-58.13</v>
      </c>
      <c r="AJ6">
        <f>MAX('Data #1'!E6,'Data #2'!E6,'Data #3'!E6,'Data #4'!E6,'Data #5'!E6)</f>
        <v>-58.69</v>
      </c>
      <c r="AK6">
        <f>MAX('Data #1'!F6,'Data #2'!F6,'Data #3'!F6,'Data #4'!F6,'Data #5'!F6)</f>
        <v>-58.69</v>
      </c>
      <c r="AL6">
        <f>MAX('Data #1'!G6,'Data #2'!G6,'Data #3'!G6,'Data #4'!G6,'Data #5'!G6)</f>
        <v>-62.48</v>
      </c>
      <c r="AM6">
        <f>MAX('Data #1'!H6,'Data #2'!H6,'Data #3'!H6,'Data #4'!H6,'Data #5'!H6)</f>
        <v>-59.94</v>
      </c>
      <c r="AN6">
        <f>MIN('Data #1'!C6,'Data #2'!C6,'Data #3'!C6,'Data #4'!C6,'Data #5'!C6)</f>
        <v>-54.74</v>
      </c>
      <c r="AO6">
        <f>MIN('Data #1'!D6,'Data #2'!D6,'Data #3'!D6,'Data #4'!D6,'Data #5'!D6)</f>
        <v>-58.13</v>
      </c>
      <c r="AP6">
        <f>MIN('Data #1'!E6,'Data #2'!E6,'Data #3'!E6,'Data #4'!E6,'Data #5'!E6)</f>
        <v>-58.69</v>
      </c>
      <c r="AQ6">
        <f>MIN('Data #1'!F6,'Data #2'!F6,'Data #3'!F6,'Data #4'!F6,'Data #5'!F6)</f>
        <v>-58.69</v>
      </c>
      <c r="AR6">
        <f>MIN('Data #1'!G6,'Data #2'!G6,'Data #3'!G6,'Data #4'!G6,'Data #5'!G6)</f>
        <v>-62.48</v>
      </c>
      <c r="AS6">
        <f>MIN('Data #1'!H6,'Data #2'!H6,'Data #3'!H6,'Data #4'!H6,'Data #5'!H6)</f>
        <v>-59.94</v>
      </c>
      <c r="AT6">
        <f t="shared" ref="AT6:AY6" si="2">AH6-AN6</f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v>8.320999999999998</v>
      </c>
      <c r="BA6">
        <v>4.1149999999999984</v>
      </c>
      <c r="BB6">
        <v>4.7340000000000018</v>
      </c>
      <c r="BC6">
        <v>11.648000000000003</v>
      </c>
      <c r="BD6">
        <v>3.8411000000000008</v>
      </c>
      <c r="BE6">
        <v>5.5489999999999995</v>
      </c>
      <c r="BF6">
        <f t="shared" ref="BF6:BK6" si="3">AT6-AZ6</f>
        <v>-8.320999999999998</v>
      </c>
      <c r="BG6">
        <f t="shared" si="3"/>
        <v>-4.1149999999999984</v>
      </c>
      <c r="BH6">
        <f t="shared" si="3"/>
        <v>-4.7340000000000018</v>
      </c>
      <c r="BI6">
        <f t="shared" si="3"/>
        <v>-11.648000000000003</v>
      </c>
      <c r="BJ6">
        <f t="shared" si="3"/>
        <v>-3.8411000000000008</v>
      </c>
      <c r="BK6">
        <f t="shared" si="3"/>
        <v>-5.5489999999999995</v>
      </c>
    </row>
    <row r="7" spans="1:63">
      <c r="B7" s="19">
        <v>106</v>
      </c>
      <c r="C7" s="27">
        <f>+AVERAGE('Data #1'!W7,'Data #2'!W7,'Data #3'!W7,'Data #4'!W7,'Data #5'!W7)</f>
        <v>37.548000000000002</v>
      </c>
      <c r="D7" s="27">
        <f>+C7+STDEV('Data #1'!R7:T7,'Data #2'!R7:T7,'Data #3'!R7:T7,'Data #4'!R7:T7,'Data #5'!R7:T7)</f>
        <v>73.880892260319712</v>
      </c>
      <c r="E7" s="27">
        <f>+C7-STDEV('Data #1'!R7:T7,'Data #2'!R7:T7,'Data #3'!R7:T7,'Data #4'!R7:T7,'Data #5'!R7:T7)</f>
        <v>1.2151077396802918</v>
      </c>
      <c r="F7" s="27">
        <f>+MIN('Data #1'!R7:T7,'Data #2'!R7:T7,'Data #3'!R7:T7,'Data #4'!R7:T7,'Data #5'!R7:T7)</f>
        <v>20</v>
      </c>
      <c r="G7" s="27">
        <f>+MAX('Data #1'!R7:T7,'Data #2'!R7:T7,'Data #3'!R7:T7,'Data #4'!R7:T7,'Data #5'!R7:T7)</f>
        <v>109.17</v>
      </c>
      <c r="I7" s="19">
        <v>106</v>
      </c>
      <c r="J7" s="27">
        <f>+AVERAGE('Data #1'!X7,'Data #2'!X7,'Data #3'!X7,'Data #4'!X7,'Data #5'!X7)</f>
        <v>25.601999999999997</v>
      </c>
      <c r="K7" s="27">
        <f t="shared" si="0"/>
        <v>35.601999999999997</v>
      </c>
      <c r="O7" s="20">
        <v>106</v>
      </c>
      <c r="P7" s="28">
        <f>+AVERAGE('Data #1'!AH7,'Data #2'!AH7,'Data #3'!AH7,'Data #4'!AH7,'Data #5'!AH7)</f>
        <v>38.855333333333341</v>
      </c>
      <c r="Q7" s="28">
        <f>+P7+STDEV('Data #1'!AC7:AE7,'Data #2'!AC7:AE7,'Data #3'!AC7:AE7,'Data #4'!AC7:AE7,'Data #5'!AC7:AE7)</f>
        <v>77.965180991046395</v>
      </c>
      <c r="R7" s="28">
        <f>+P7-STDEV('Data #1'!AC7:AE7,'Data #2'!AC7:AE7,'Data #3'!AC7:AE7,'Data #4'!AC7:AE7,'Data #5'!AC7:AE7)</f>
        <v>-0.25451432437971278</v>
      </c>
      <c r="S7" s="28">
        <f>+MIN('Data #1'!AC7:AE7,'Data #2'!AC7:AE7,'Data #3'!AC7:AE7,'Data #4'!AC7:AE7,'Data #5'!AC7:AE7)</f>
        <v>20</v>
      </c>
      <c r="T7" s="28">
        <f>+MAX('Data #1'!AC7:AE7,'Data #2'!AC7:AE7,'Data #3'!AC7:AE7,'Data #4'!AC7:AE7,'Data #5'!AC7:AE7)</f>
        <v>121.7</v>
      </c>
      <c r="V7" s="20">
        <v>106</v>
      </c>
      <c r="W7" s="28">
        <f>+AVERAGE('Data #1'!AI7,'Data #2'!AI7,'Data #3'!AI7,'Data #4'!AI7,'Data #4'!AI7)</f>
        <v>25.660000000000004</v>
      </c>
      <c r="X7" s="28">
        <f t="shared" si="1"/>
        <v>35.660000000000004</v>
      </c>
      <c r="AB7" s="21">
        <v>106</v>
      </c>
      <c r="AC7" s="10">
        <v>-10</v>
      </c>
      <c r="AD7" s="10">
        <v>10</v>
      </c>
      <c r="AH7">
        <f>MAX('Data #1'!C7,'Data #2'!C7,'Data #3'!C7,'Data #4'!C7,'Data #5'!C7)</f>
        <v>-61.16</v>
      </c>
      <c r="AI7">
        <f>MAX('Data #1'!D7,'Data #2'!D7,'Data #3'!D7,'Data #4'!D7,'Data #5'!D7)</f>
        <v>-60.04</v>
      </c>
      <c r="AJ7">
        <f>MAX('Data #1'!E7,'Data #2'!E7,'Data #3'!E7,'Data #4'!E7,'Data #5'!E7)</f>
        <v>-57.99</v>
      </c>
      <c r="AK7">
        <f>MAX('Data #1'!F7,'Data #2'!F7,'Data #3'!F7,'Data #4'!F7,'Data #5'!F7)</f>
        <v>-62.11</v>
      </c>
      <c r="AL7">
        <f>MAX('Data #1'!G7,'Data #2'!G7,'Data #3'!G7,'Data #4'!G7,'Data #5'!G7)</f>
        <v>-73.400000000000006</v>
      </c>
      <c r="AM7">
        <f>MAX('Data #1'!H7,'Data #2'!H7,'Data #3'!H7,'Data #4'!H7,'Data #5'!H7)</f>
        <v>-62.42</v>
      </c>
      <c r="AN7">
        <f>MIN('Data #1'!C7,'Data #2'!C7,'Data #3'!C7,'Data #4'!C7,'Data #5'!C7)</f>
        <v>-61.16</v>
      </c>
      <c r="AO7">
        <f>MIN('Data #1'!D7,'Data #2'!D7,'Data #3'!D7,'Data #4'!D7,'Data #5'!D7)</f>
        <v>-60.04</v>
      </c>
      <c r="AP7">
        <f>MIN('Data #1'!E7,'Data #2'!E7,'Data #3'!E7,'Data #4'!E7,'Data #5'!E7)</f>
        <v>-57.99</v>
      </c>
      <c r="AQ7">
        <f>MIN('Data #1'!F7,'Data #2'!F7,'Data #3'!F7,'Data #4'!F7,'Data #5'!F7)</f>
        <v>-62.11</v>
      </c>
      <c r="AR7">
        <f>MIN('Data #1'!G7,'Data #2'!G7,'Data #3'!G7,'Data #4'!G7,'Data #5'!G7)</f>
        <v>-73.400000000000006</v>
      </c>
      <c r="AS7">
        <f>MIN('Data #1'!H7,'Data #2'!H7,'Data #3'!H7,'Data #4'!H7,'Data #5'!H7)</f>
        <v>-62.42</v>
      </c>
      <c r="AT7">
        <f t="shared" ref="AT7:AT70" si="4">AH7-AN7</f>
        <v>0</v>
      </c>
      <c r="AU7">
        <f t="shared" ref="AU7:AU70" si="5">AI7-AO7</f>
        <v>0</v>
      </c>
      <c r="AV7">
        <f t="shared" ref="AV7:AV70" si="6">AJ7-AP7</f>
        <v>0</v>
      </c>
      <c r="AW7">
        <f t="shared" ref="AW7:AW70" si="7">AK7-AQ7</f>
        <v>0</v>
      </c>
      <c r="AX7">
        <f t="shared" ref="AX7:AX70" si="8">AL7-AR7</f>
        <v>0</v>
      </c>
      <c r="AY7">
        <f t="shared" ref="AY7:AY70" si="9">AM7-AS7</f>
        <v>0</v>
      </c>
      <c r="AZ7">
        <v>10.745000000000001</v>
      </c>
      <c r="BA7">
        <v>4.5366</v>
      </c>
      <c r="BB7">
        <v>9.7111000000000018</v>
      </c>
      <c r="BC7">
        <v>9.0010999999999974</v>
      </c>
      <c r="BD7">
        <v>3.9175000000000004</v>
      </c>
      <c r="BE7">
        <v>6.7040000000000006</v>
      </c>
      <c r="BF7">
        <f t="shared" ref="BF7:BF70" si="10">AT7-AZ7</f>
        <v>-10.745000000000001</v>
      </c>
      <c r="BG7">
        <f t="shared" ref="BG7:BG70" si="11">AU7-BA7</f>
        <v>-4.5366</v>
      </c>
      <c r="BH7">
        <f t="shared" ref="BH7:BH70" si="12">AV7-BB7</f>
        <v>-9.7111000000000018</v>
      </c>
      <c r="BI7">
        <f t="shared" ref="BI7:BI70" si="13">AW7-BC7</f>
        <v>-9.0010999999999974</v>
      </c>
      <c r="BJ7">
        <f t="shared" ref="BJ7:BJ70" si="14">AX7-BD7</f>
        <v>-3.9175000000000004</v>
      </c>
      <c r="BK7">
        <f t="shared" ref="BK7:BK70" si="15">AY7-BE7</f>
        <v>-6.7040000000000006</v>
      </c>
    </row>
    <row r="8" spans="1:63">
      <c r="B8" s="19">
        <v>112</v>
      </c>
      <c r="C8" s="27">
        <f>+AVERAGE('Data #1'!W8,'Data #2'!W8,'Data #3'!W8,'Data #4'!W8,'Data #5'!W8)</f>
        <v>38.322000000000003</v>
      </c>
      <c r="D8" s="27">
        <f>+C8+STDEV('Data #1'!R8:T8,'Data #2'!R8:T8,'Data #3'!R8:T8,'Data #4'!R8:T8,'Data #5'!R8:T8)</f>
        <v>76.27444509345122</v>
      </c>
      <c r="E8" s="27">
        <f>+C8-STDEV('Data #1'!R8:T8,'Data #2'!R8:T8,'Data #3'!R8:T8,'Data #4'!R8:T8,'Data #5'!R8:T8)</f>
        <v>0.36955490654879242</v>
      </c>
      <c r="F8" s="27">
        <f>+MIN('Data #1'!R8:T8,'Data #2'!R8:T8,'Data #3'!R8:T8,'Data #4'!R8:T8,'Data #5'!R8:T8)</f>
        <v>20</v>
      </c>
      <c r="G8" s="27">
        <f>+MAX('Data #1'!R8:T8,'Data #2'!R8:T8,'Data #3'!R8:T8,'Data #4'!R8:T8,'Data #5'!R8:T8)</f>
        <v>115.5</v>
      </c>
      <c r="I8" s="19">
        <v>112</v>
      </c>
      <c r="J8" s="27">
        <f>+AVERAGE('Data #1'!X8,'Data #2'!X8,'Data #3'!X8,'Data #4'!X8,'Data #5'!X8)</f>
        <v>25.675999999999998</v>
      </c>
      <c r="K8" s="27">
        <f t="shared" si="0"/>
        <v>35.676000000000002</v>
      </c>
      <c r="O8" s="20">
        <v>112</v>
      </c>
      <c r="P8" s="28">
        <f>+AVERAGE('Data #1'!AH8,'Data #2'!AH8,'Data #3'!AH8,'Data #4'!AH8,'Data #5'!AH8)</f>
        <v>38.81</v>
      </c>
      <c r="Q8" s="28">
        <f>+P8+STDEV('Data #1'!AC8:AE8,'Data #2'!AC8:AE8,'Data #3'!AC8:AE8,'Data #4'!AC8:AE8,'Data #5'!AC8:AE8)</f>
        <v>77.766598010753313</v>
      </c>
      <c r="R8" s="28">
        <f>+P8-STDEV('Data #1'!AC8:AE8,'Data #2'!AC8:AE8,'Data #3'!AC8:AE8,'Data #4'!AC8:AE8,'Data #5'!AC8:AE8)</f>
        <v>-0.14659801075330137</v>
      </c>
      <c r="S8" s="28">
        <f>+MIN('Data #1'!AC8:AE8,'Data #2'!AC8:AE8,'Data #3'!AC8:AE8,'Data #4'!AC8:AE8,'Data #5'!AC8:AE8)</f>
        <v>20</v>
      </c>
      <c r="T8" s="28">
        <f>+MAX('Data #1'!AC8:AE8,'Data #2'!AC8:AE8,'Data #3'!AC8:AE8,'Data #4'!AC8:AE8,'Data #5'!AC8:AE8)</f>
        <v>117.47999999999999</v>
      </c>
      <c r="V8" s="20">
        <v>112</v>
      </c>
      <c r="W8" s="28">
        <f>+AVERAGE('Data #1'!AI8,'Data #2'!AI8,'Data #3'!AI8,'Data #4'!AI8,'Data #4'!AI8)</f>
        <v>25.753999999999998</v>
      </c>
      <c r="X8" s="28">
        <f t="shared" si="1"/>
        <v>35.753999999999998</v>
      </c>
      <c r="AB8" s="21">
        <v>112</v>
      </c>
      <c r="AC8" s="10">
        <v>-10</v>
      </c>
      <c r="AD8" s="10">
        <v>10</v>
      </c>
      <c r="AH8">
        <f>MAX('Data #1'!C8,'Data #2'!C8,'Data #3'!C8,'Data #4'!C8,'Data #5'!C8)</f>
        <v>-60.58</v>
      </c>
      <c r="AI8">
        <f>MAX('Data #1'!D8,'Data #2'!D8,'Data #3'!D8,'Data #4'!D8,'Data #5'!D8)</f>
        <v>-61.99</v>
      </c>
      <c r="AJ8">
        <f>MAX('Data #1'!E8,'Data #2'!E8,'Data #3'!E8,'Data #4'!E8,'Data #5'!E8)</f>
        <v>-67.12</v>
      </c>
      <c r="AK8">
        <f>MAX('Data #1'!F8,'Data #2'!F8,'Data #3'!F8,'Data #4'!F8,'Data #5'!F8)</f>
        <v>-63.66</v>
      </c>
      <c r="AL8">
        <f>MAX('Data #1'!G8,'Data #2'!G8,'Data #3'!G8,'Data #4'!G8,'Data #5'!G8)</f>
        <v>-63.47</v>
      </c>
      <c r="AM8">
        <f>MAX('Data #1'!H8,'Data #2'!H8,'Data #3'!H8,'Data #4'!H8,'Data #5'!H8)</f>
        <v>-68.709999999999994</v>
      </c>
      <c r="AN8">
        <f>MIN('Data #1'!C8,'Data #2'!C8,'Data #3'!C8,'Data #4'!C8,'Data #5'!C8)</f>
        <v>-60.58</v>
      </c>
      <c r="AO8">
        <f>MIN('Data #1'!D8,'Data #2'!D8,'Data #3'!D8,'Data #4'!D8,'Data #5'!D8)</f>
        <v>-61.99</v>
      </c>
      <c r="AP8">
        <f>MIN('Data #1'!E8,'Data #2'!E8,'Data #3'!E8,'Data #4'!E8,'Data #5'!E8)</f>
        <v>-67.12</v>
      </c>
      <c r="AQ8">
        <f>MIN('Data #1'!F8,'Data #2'!F8,'Data #3'!F8,'Data #4'!F8,'Data #5'!F8)</f>
        <v>-63.66</v>
      </c>
      <c r="AR8">
        <f>MIN('Data #1'!G8,'Data #2'!G8,'Data #3'!G8,'Data #4'!G8,'Data #5'!G8)</f>
        <v>-63.47</v>
      </c>
      <c r="AS8">
        <f>MIN('Data #1'!H8,'Data #2'!H8,'Data #3'!H8,'Data #4'!H8,'Data #5'!H8)</f>
        <v>-68.709999999999994</v>
      </c>
      <c r="AT8">
        <f t="shared" si="4"/>
        <v>0</v>
      </c>
      <c r="AU8">
        <f t="shared" si="5"/>
        <v>0</v>
      </c>
      <c r="AV8">
        <f t="shared" si="6"/>
        <v>0</v>
      </c>
      <c r="AW8">
        <f t="shared" si="7"/>
        <v>0</v>
      </c>
      <c r="AX8">
        <f t="shared" si="8"/>
        <v>0</v>
      </c>
      <c r="AY8">
        <f t="shared" si="9"/>
        <v>0</v>
      </c>
      <c r="AZ8">
        <v>10.983000000000004</v>
      </c>
      <c r="BA8">
        <v>12.524000000000001</v>
      </c>
      <c r="BB8">
        <v>5.3230000000000004</v>
      </c>
      <c r="BC8">
        <v>12.09</v>
      </c>
      <c r="BD8">
        <v>3.7979999999999947</v>
      </c>
      <c r="BE8">
        <v>6.6379999999999981</v>
      </c>
      <c r="BF8">
        <f t="shared" si="10"/>
        <v>-10.983000000000004</v>
      </c>
      <c r="BG8">
        <f t="shared" si="11"/>
        <v>-12.524000000000001</v>
      </c>
      <c r="BH8">
        <f t="shared" si="12"/>
        <v>-5.3230000000000004</v>
      </c>
      <c r="BI8">
        <f t="shared" si="13"/>
        <v>-12.09</v>
      </c>
      <c r="BJ8">
        <f t="shared" si="14"/>
        <v>-3.7979999999999947</v>
      </c>
      <c r="BK8">
        <f t="shared" si="15"/>
        <v>-6.6379999999999981</v>
      </c>
    </row>
    <row r="9" spans="1:63">
      <c r="B9" s="19">
        <v>118</v>
      </c>
      <c r="C9" s="27">
        <f>+AVERAGE('Data #1'!W9,'Data #2'!W9,'Data #3'!W9,'Data #4'!W9,'Data #5'!W9)</f>
        <v>39.12466666666667</v>
      </c>
      <c r="D9" s="27">
        <f>+C9+STDEV('Data #1'!R9:T9,'Data #2'!R9:T9,'Data #3'!R9:T9,'Data #4'!R9:T9,'Data #5'!R9:T9)</f>
        <v>78.735176611569401</v>
      </c>
      <c r="E9" s="27">
        <f>+C9-STDEV('Data #1'!R9:T9,'Data #2'!R9:T9,'Data #3'!R9:T9,'Data #4'!R9:T9,'Data #5'!R9:T9)</f>
        <v>-0.48584327823606088</v>
      </c>
      <c r="F9" s="27">
        <f>+MIN('Data #1'!R9:T9,'Data #2'!R9:T9,'Data #3'!R9:T9,'Data #4'!R9:T9,'Data #5'!R9:T9)</f>
        <v>20</v>
      </c>
      <c r="G9" s="27">
        <f>+MAX('Data #1'!R9:T9,'Data #2'!R9:T9,'Data #3'!R9:T9,'Data #4'!R9:T9,'Data #5'!R9:T9)</f>
        <v>118.27</v>
      </c>
      <c r="I9" s="19">
        <v>118</v>
      </c>
      <c r="J9" s="27">
        <f>+AVERAGE('Data #1'!X9,'Data #2'!X9,'Data #3'!X9,'Data #4'!X9,'Data #5'!X9)</f>
        <v>25.765999999999998</v>
      </c>
      <c r="K9" s="27">
        <f t="shared" si="0"/>
        <v>35.765999999999998</v>
      </c>
      <c r="O9" s="20">
        <v>118</v>
      </c>
      <c r="P9" s="28">
        <f>+AVERAGE('Data #1'!AH9,'Data #2'!AH9,'Data #3'!AH9,'Data #4'!AH9,'Data #5'!AH9)</f>
        <v>37.763333333333335</v>
      </c>
      <c r="Q9" s="28">
        <f>+P9+STDEV('Data #1'!AC9:AE9,'Data #2'!AC9:AE9,'Data #3'!AC9:AE9,'Data #4'!AC9:AE9,'Data #5'!AC9:AE9)</f>
        <v>74.546090486781253</v>
      </c>
      <c r="R9" s="28">
        <f>+P9-STDEV('Data #1'!AC9:AE9,'Data #2'!AC9:AE9,'Data #3'!AC9:AE9,'Data #4'!AC9:AE9,'Data #5'!AC9:AE9)</f>
        <v>0.98057617988541779</v>
      </c>
      <c r="S9" s="28">
        <f>+MIN('Data #1'!AC9:AE9,'Data #2'!AC9:AE9,'Data #3'!AC9:AE9,'Data #4'!AC9:AE9,'Data #5'!AC9:AE9)</f>
        <v>20</v>
      </c>
      <c r="T9" s="28">
        <f>+MAX('Data #1'!AC9:AE9,'Data #2'!AC9:AE9,'Data #3'!AC9:AE9,'Data #4'!AC9:AE9,'Data #5'!AC9:AE9)</f>
        <v>111.32</v>
      </c>
      <c r="V9" s="20">
        <v>118</v>
      </c>
      <c r="W9" s="28">
        <f>+AVERAGE('Data #1'!AI9,'Data #2'!AI9,'Data #3'!AI9,'Data #4'!AI9,'Data #4'!AI9)</f>
        <v>25.827999999999996</v>
      </c>
      <c r="X9" s="28">
        <f t="shared" si="1"/>
        <v>35.827999999999996</v>
      </c>
      <c r="AB9" s="21">
        <v>118</v>
      </c>
      <c r="AC9" s="10">
        <v>-10</v>
      </c>
      <c r="AD9" s="10">
        <v>10</v>
      </c>
      <c r="AH9">
        <f>MAX('Data #1'!C9,'Data #2'!C9,'Data #3'!C9,'Data #4'!C9,'Data #5'!C9)</f>
        <v>-63.21</v>
      </c>
      <c r="AI9">
        <f>MAX('Data #1'!D9,'Data #2'!D9,'Data #3'!D9,'Data #4'!D9,'Data #5'!D9)</f>
        <v>-67.73</v>
      </c>
      <c r="AJ9">
        <f>MAX('Data #1'!E9,'Data #2'!E9,'Data #3'!E9,'Data #4'!E9,'Data #5'!E9)</f>
        <v>-69.44</v>
      </c>
      <c r="AK9">
        <f>MAX('Data #1'!F9,'Data #2'!F9,'Data #3'!F9,'Data #4'!F9,'Data #5'!F9)</f>
        <v>-62.18</v>
      </c>
      <c r="AL9">
        <f>MAX('Data #1'!G9,'Data #2'!G9,'Data #3'!G9,'Data #4'!G9,'Data #5'!G9)</f>
        <v>-58.56</v>
      </c>
      <c r="AM9">
        <f>MAX('Data #1'!H9,'Data #2'!H9,'Data #3'!H9,'Data #4'!H9,'Data #5'!H9)</f>
        <v>-58.29</v>
      </c>
      <c r="AN9">
        <f>MIN('Data #1'!C9,'Data #2'!C9,'Data #3'!C9,'Data #4'!C9,'Data #5'!C9)</f>
        <v>-63.21</v>
      </c>
      <c r="AO9">
        <f>MIN('Data #1'!D9,'Data #2'!D9,'Data #3'!D9,'Data #4'!D9,'Data #5'!D9)</f>
        <v>-67.73</v>
      </c>
      <c r="AP9">
        <f>MIN('Data #1'!E9,'Data #2'!E9,'Data #3'!E9,'Data #4'!E9,'Data #5'!E9)</f>
        <v>-69.44</v>
      </c>
      <c r="AQ9">
        <f>MIN('Data #1'!F9,'Data #2'!F9,'Data #3'!F9,'Data #4'!F9,'Data #5'!F9)</f>
        <v>-62.18</v>
      </c>
      <c r="AR9">
        <f>MIN('Data #1'!G9,'Data #2'!G9,'Data #3'!G9,'Data #4'!G9,'Data #5'!G9)</f>
        <v>-58.56</v>
      </c>
      <c r="AS9">
        <f>MIN('Data #1'!H9,'Data #2'!H9,'Data #3'!H9,'Data #4'!H9,'Data #5'!H9)</f>
        <v>-58.29</v>
      </c>
      <c r="AT9">
        <f t="shared" si="4"/>
        <v>0</v>
      </c>
      <c r="AU9">
        <f t="shared" si="5"/>
        <v>0</v>
      </c>
      <c r="AV9">
        <f t="shared" si="6"/>
        <v>0</v>
      </c>
      <c r="AW9">
        <f t="shared" si="7"/>
        <v>0</v>
      </c>
      <c r="AX9">
        <f t="shared" si="8"/>
        <v>0</v>
      </c>
      <c r="AY9">
        <f t="shared" si="9"/>
        <v>0</v>
      </c>
      <c r="AZ9">
        <v>10.048999999999999</v>
      </c>
      <c r="BA9">
        <v>8.1748000000000012</v>
      </c>
      <c r="BB9">
        <v>14.400999999999996</v>
      </c>
      <c r="BC9">
        <v>12.748000000000001</v>
      </c>
      <c r="BD9">
        <v>7.1579999999999977</v>
      </c>
      <c r="BE9">
        <v>10.291000000000004</v>
      </c>
      <c r="BF9">
        <f t="shared" si="10"/>
        <v>-10.048999999999999</v>
      </c>
      <c r="BG9">
        <f t="shared" si="11"/>
        <v>-8.1748000000000012</v>
      </c>
      <c r="BH9">
        <f t="shared" si="12"/>
        <v>-14.400999999999996</v>
      </c>
      <c r="BI9">
        <f t="shared" si="13"/>
        <v>-12.748000000000001</v>
      </c>
      <c r="BJ9">
        <f t="shared" si="14"/>
        <v>-7.1579999999999977</v>
      </c>
      <c r="BK9">
        <f t="shared" si="15"/>
        <v>-10.291000000000004</v>
      </c>
    </row>
    <row r="10" spans="1:63">
      <c r="B10" s="19">
        <v>125</v>
      </c>
      <c r="C10" s="27">
        <f>+AVERAGE('Data #1'!W10,'Data #2'!W10,'Data #3'!W10,'Data #4'!W10,'Data #5'!W10)</f>
        <v>37.397333333333336</v>
      </c>
      <c r="D10" s="27">
        <f>+C10+STDEV('Data #1'!R10:T10,'Data #2'!R10:T10,'Data #3'!R10:T10,'Data #4'!R10:T10,'Data #5'!R10:T10)</f>
        <v>73.424080632421848</v>
      </c>
      <c r="E10" s="27">
        <f>+C10-STDEV('Data #1'!R10:T10,'Data #2'!R10:T10,'Data #3'!R10:T10,'Data #4'!R10:T10,'Data #5'!R10:T10)</f>
        <v>1.3705860342448233</v>
      </c>
      <c r="F10" s="27">
        <f>+MIN('Data #1'!R10:T10,'Data #2'!R10:T10,'Data #3'!R10:T10,'Data #4'!R10:T10,'Data #5'!R10:T10)</f>
        <v>20</v>
      </c>
      <c r="G10" s="27">
        <f>+MAX('Data #1'!R10:T10,'Data #2'!R10:T10,'Data #3'!R10:T10,'Data #4'!R10:T10,'Data #5'!R10:T10)</f>
        <v>109.61000000000001</v>
      </c>
      <c r="I10" s="19">
        <v>125</v>
      </c>
      <c r="J10" s="27">
        <f>+AVERAGE('Data #1'!X10,'Data #2'!X10,'Data #3'!X10,'Data #4'!X10,'Data #5'!X10)</f>
        <v>25.851999999999997</v>
      </c>
      <c r="K10" s="27">
        <f t="shared" si="0"/>
        <v>35.851999999999997</v>
      </c>
      <c r="O10" s="20">
        <v>125</v>
      </c>
      <c r="P10" s="28">
        <f>+AVERAGE('Data #1'!AH10,'Data #2'!AH10,'Data #3'!AH10,'Data #4'!AH10,'Data #5'!AH10)</f>
        <v>37.530666666666662</v>
      </c>
      <c r="Q10" s="28">
        <f>+P10+STDEV('Data #1'!AC10:AE10,'Data #2'!AC10:AE10,'Data #3'!AC10:AE10,'Data #4'!AC10:AE10,'Data #5'!AC10:AE10)</f>
        <v>73.854126710057471</v>
      </c>
      <c r="R10" s="28">
        <f>+P10-STDEV('Data #1'!AC10:AE10,'Data #2'!AC10:AE10,'Data #3'!AC10:AE10,'Data #4'!AC10:AE10,'Data #5'!AC10:AE10)</f>
        <v>1.2072066232758445</v>
      </c>
      <c r="S10" s="28">
        <f>+MIN('Data #1'!AC10:AE10,'Data #2'!AC10:AE10,'Data #3'!AC10:AE10,'Data #4'!AC10:AE10,'Data #5'!AC10:AE10)</f>
        <v>20</v>
      </c>
      <c r="T10" s="28">
        <f>+MAX('Data #1'!AC10:AE10,'Data #2'!AC10:AE10,'Data #3'!AC10:AE10,'Data #4'!AC10:AE10,'Data #5'!AC10:AE10)</f>
        <v>112.21</v>
      </c>
      <c r="V10" s="20">
        <v>125</v>
      </c>
      <c r="W10" s="28">
        <f>+AVERAGE('Data #1'!AI10,'Data #2'!AI10,'Data #3'!AI10,'Data #4'!AI10,'Data #4'!AI10)</f>
        <v>25.910000000000004</v>
      </c>
      <c r="X10" s="28">
        <f t="shared" si="1"/>
        <v>35.910000000000004</v>
      </c>
      <c r="AB10" s="21">
        <v>125</v>
      </c>
      <c r="AC10" s="10">
        <v>-10</v>
      </c>
      <c r="AD10" s="10">
        <v>10</v>
      </c>
      <c r="AH10">
        <f>MAX('Data #1'!C10,'Data #2'!C10,'Data #3'!C10,'Data #4'!C10,'Data #5'!C10)</f>
        <v>-55.86</v>
      </c>
      <c r="AI10">
        <f>MAX('Data #1'!D10,'Data #2'!D10,'Data #3'!D10,'Data #4'!D10,'Data #5'!D10)</f>
        <v>-56.97</v>
      </c>
      <c r="AJ10">
        <f>MAX('Data #1'!E10,'Data #2'!E10,'Data #3'!E10,'Data #4'!E10,'Data #5'!E10)</f>
        <v>-60.35</v>
      </c>
      <c r="AK10">
        <f>MAX('Data #1'!F10,'Data #2'!F10,'Data #3'!F10,'Data #4'!F10,'Data #5'!F10)</f>
        <v>-62.66</v>
      </c>
      <c r="AL10">
        <f>MAX('Data #1'!G10,'Data #2'!G10,'Data #3'!G10,'Data #4'!G10,'Data #5'!G10)</f>
        <v>-55.15</v>
      </c>
      <c r="AM10">
        <f>MAX('Data #1'!H10,'Data #2'!H10,'Data #3'!H10,'Data #4'!H10,'Data #5'!H10)</f>
        <v>-56.5</v>
      </c>
      <c r="AN10">
        <f>MIN('Data #1'!C10,'Data #2'!C10,'Data #3'!C10,'Data #4'!C10,'Data #5'!C10)</f>
        <v>-55.86</v>
      </c>
      <c r="AO10">
        <f>MIN('Data #1'!D10,'Data #2'!D10,'Data #3'!D10,'Data #4'!D10,'Data #5'!D10)</f>
        <v>-56.97</v>
      </c>
      <c r="AP10">
        <f>MIN('Data #1'!E10,'Data #2'!E10,'Data #3'!E10,'Data #4'!E10,'Data #5'!E10)</f>
        <v>-60.35</v>
      </c>
      <c r="AQ10">
        <f>MIN('Data #1'!F10,'Data #2'!F10,'Data #3'!F10,'Data #4'!F10,'Data #5'!F10)</f>
        <v>-62.66</v>
      </c>
      <c r="AR10">
        <f>MIN('Data #1'!G10,'Data #2'!G10,'Data #3'!G10,'Data #4'!G10,'Data #5'!G10)</f>
        <v>-55.15</v>
      </c>
      <c r="AS10">
        <f>MIN('Data #1'!H10,'Data #2'!H10,'Data #3'!H10,'Data #4'!H10,'Data #5'!H10)</f>
        <v>-56.5</v>
      </c>
      <c r="AT10">
        <f t="shared" si="4"/>
        <v>0</v>
      </c>
      <c r="AU10">
        <f t="shared" si="5"/>
        <v>0</v>
      </c>
      <c r="AV10">
        <f t="shared" si="6"/>
        <v>0</v>
      </c>
      <c r="AW10">
        <f t="shared" si="7"/>
        <v>0</v>
      </c>
      <c r="AX10">
        <f t="shared" si="8"/>
        <v>0</v>
      </c>
      <c r="AY10">
        <f t="shared" si="9"/>
        <v>0</v>
      </c>
      <c r="AZ10">
        <v>5.9720000000000013</v>
      </c>
      <c r="BA10">
        <v>4.1600000000000037</v>
      </c>
      <c r="BB10">
        <v>10.193999999999996</v>
      </c>
      <c r="BC10">
        <v>7.0760000000000005</v>
      </c>
      <c r="BD10">
        <v>7.402000000000001</v>
      </c>
      <c r="BE10">
        <v>5.7149999999999963</v>
      </c>
      <c r="BF10">
        <f t="shared" si="10"/>
        <v>-5.9720000000000013</v>
      </c>
      <c r="BG10">
        <f t="shared" si="11"/>
        <v>-4.1600000000000037</v>
      </c>
      <c r="BH10">
        <f t="shared" si="12"/>
        <v>-10.193999999999996</v>
      </c>
      <c r="BI10">
        <f t="shared" si="13"/>
        <v>-7.0760000000000005</v>
      </c>
      <c r="BJ10">
        <f t="shared" si="14"/>
        <v>-7.402000000000001</v>
      </c>
      <c r="BK10">
        <f t="shared" si="15"/>
        <v>-5.7149999999999963</v>
      </c>
    </row>
    <row r="11" spans="1:63">
      <c r="B11" s="19">
        <v>132</v>
      </c>
      <c r="C11" s="27">
        <f>+AVERAGE('Data #1'!W11,'Data #2'!W11,'Data #3'!W11,'Data #4'!W11,'Data #5'!W11)</f>
        <v>37.517999999999994</v>
      </c>
      <c r="D11" s="27">
        <f>+C11+STDEV('Data #1'!R11:T11,'Data #2'!R11:T11,'Data #3'!R11:T11,'Data #4'!R11:T11,'Data #5'!R11:T11)</f>
        <v>73.80053283015711</v>
      </c>
      <c r="E11" s="27">
        <f>+C11-STDEV('Data #1'!R11:T11,'Data #2'!R11:T11,'Data #3'!R11:T11,'Data #4'!R11:T11,'Data #5'!R11:T11)</f>
        <v>1.2354671698428774</v>
      </c>
      <c r="F11" s="27">
        <f>+MIN('Data #1'!R11:T11,'Data #2'!R11:T11,'Data #3'!R11:T11,'Data #4'!R11:T11,'Data #5'!R11:T11)</f>
        <v>20</v>
      </c>
      <c r="G11" s="27">
        <f>+MAX('Data #1'!R11:T11,'Data #2'!R11:T11,'Data #3'!R11:T11,'Data #4'!R11:T11,'Data #5'!R11:T11)</f>
        <v>110.83</v>
      </c>
      <c r="I11" s="19">
        <v>132</v>
      </c>
      <c r="J11" s="27">
        <f>+AVERAGE('Data #1'!X11,'Data #2'!X11,'Data #3'!X11,'Data #4'!X11,'Data #5'!X11)</f>
        <v>25.922000000000004</v>
      </c>
      <c r="K11" s="27">
        <f t="shared" si="0"/>
        <v>35.922000000000004</v>
      </c>
      <c r="O11" s="20">
        <v>132</v>
      </c>
      <c r="P11" s="28">
        <f>+AVERAGE('Data #1'!AH11,'Data #2'!AH11,'Data #3'!AH11,'Data #4'!AH11,'Data #5'!AH11)</f>
        <v>37.509333333333338</v>
      </c>
      <c r="Q11" s="28">
        <f>+P11+STDEV('Data #1'!AC11:AE11,'Data #2'!AC11:AE11,'Data #3'!AC11:AE11,'Data #4'!AC11:AE11,'Data #5'!AC11:AE11)</f>
        <v>73.760264447811863</v>
      </c>
      <c r="R11" s="28">
        <f>+P11-STDEV('Data #1'!AC11:AE11,'Data #2'!AC11:AE11,'Data #3'!AC11:AE11,'Data #4'!AC11:AE11,'Data #5'!AC11:AE11)</f>
        <v>1.258402218854819</v>
      </c>
      <c r="S11" s="28">
        <f>+MIN('Data #1'!AC11:AE11,'Data #2'!AC11:AE11,'Data #3'!AC11:AE11,'Data #4'!AC11:AE11,'Data #5'!AC11:AE11)</f>
        <v>20</v>
      </c>
      <c r="T11" s="28">
        <f>+MAX('Data #1'!AC11:AE11,'Data #2'!AC11:AE11,'Data #3'!AC11:AE11,'Data #4'!AC11:AE11,'Data #5'!AC11:AE11)</f>
        <v>108.93</v>
      </c>
      <c r="V11" s="20">
        <v>132</v>
      </c>
      <c r="W11" s="28">
        <f>+AVERAGE('Data #1'!AI11,'Data #2'!AI11,'Data #3'!AI11,'Data #4'!AI11,'Data #4'!AI11)</f>
        <v>25.957999999999998</v>
      </c>
      <c r="X11" s="28">
        <f t="shared" si="1"/>
        <v>35.957999999999998</v>
      </c>
      <c r="AB11" s="21">
        <v>132</v>
      </c>
      <c r="AC11" s="10">
        <v>-10</v>
      </c>
      <c r="AD11" s="10">
        <v>10</v>
      </c>
      <c r="AH11">
        <f>MAX('Data #1'!C11,'Data #2'!C11,'Data #3'!C11,'Data #4'!C11,'Data #5'!C11)</f>
        <v>-55.54</v>
      </c>
      <c r="AI11">
        <f>MAX('Data #1'!D11,'Data #2'!D11,'Data #3'!D11,'Data #4'!D11,'Data #5'!D11)</f>
        <v>-57.18</v>
      </c>
      <c r="AJ11">
        <f>MAX('Data #1'!E11,'Data #2'!E11,'Data #3'!E11,'Data #4'!E11,'Data #5'!E11)</f>
        <v>-61.22</v>
      </c>
      <c r="AK11">
        <f>MAX('Data #1'!F11,'Data #2'!F11,'Data #3'!F11,'Data #4'!F11,'Data #5'!F11)</f>
        <v>-59.14</v>
      </c>
      <c r="AL11">
        <f>MAX('Data #1'!G11,'Data #2'!G11,'Data #3'!G11,'Data #4'!G11,'Data #5'!G11)</f>
        <v>-56.65</v>
      </c>
      <c r="AM11">
        <f>MAX('Data #1'!H11,'Data #2'!H11,'Data #3'!H11,'Data #4'!H11,'Data #5'!H11)</f>
        <v>-57.48</v>
      </c>
      <c r="AN11">
        <f>MIN('Data #1'!C11,'Data #2'!C11,'Data #3'!C11,'Data #4'!C11,'Data #5'!C11)</f>
        <v>-55.54</v>
      </c>
      <c r="AO11">
        <f>MIN('Data #1'!D11,'Data #2'!D11,'Data #3'!D11,'Data #4'!D11,'Data #5'!D11)</f>
        <v>-57.18</v>
      </c>
      <c r="AP11">
        <f>MIN('Data #1'!E11,'Data #2'!E11,'Data #3'!E11,'Data #4'!E11,'Data #5'!E11)</f>
        <v>-61.22</v>
      </c>
      <c r="AQ11">
        <f>MIN('Data #1'!F11,'Data #2'!F11,'Data #3'!F11,'Data #4'!F11,'Data #5'!F11)</f>
        <v>-59.14</v>
      </c>
      <c r="AR11">
        <f>MIN('Data #1'!G11,'Data #2'!G11,'Data #3'!G11,'Data #4'!G11,'Data #5'!G11)</f>
        <v>-56.65</v>
      </c>
      <c r="AS11">
        <f>MIN('Data #1'!H11,'Data #2'!H11,'Data #3'!H11,'Data #4'!H11,'Data #5'!H11)</f>
        <v>-57.48</v>
      </c>
      <c r="AT11">
        <f t="shared" si="4"/>
        <v>0</v>
      </c>
      <c r="AU11">
        <f t="shared" si="5"/>
        <v>0</v>
      </c>
      <c r="AV11">
        <f t="shared" si="6"/>
        <v>0</v>
      </c>
      <c r="AW11">
        <f t="shared" si="7"/>
        <v>0</v>
      </c>
      <c r="AX11">
        <f t="shared" si="8"/>
        <v>0</v>
      </c>
      <c r="AY11">
        <f t="shared" si="9"/>
        <v>0</v>
      </c>
      <c r="AZ11">
        <v>9.3669999999999973</v>
      </c>
      <c r="BA11">
        <v>5.617999999999995</v>
      </c>
      <c r="BB11">
        <v>8.2959999999999994</v>
      </c>
      <c r="BC11">
        <v>9.2659999999999982</v>
      </c>
      <c r="BD11">
        <v>14.033999999999999</v>
      </c>
      <c r="BE11">
        <v>5.0559999999999974</v>
      </c>
      <c r="BF11">
        <f t="shared" si="10"/>
        <v>-9.3669999999999973</v>
      </c>
      <c r="BG11">
        <f t="shared" si="11"/>
        <v>-5.617999999999995</v>
      </c>
      <c r="BH11">
        <f t="shared" si="12"/>
        <v>-8.2959999999999994</v>
      </c>
      <c r="BI11">
        <f t="shared" si="13"/>
        <v>-9.2659999999999982</v>
      </c>
      <c r="BJ11">
        <f t="shared" si="14"/>
        <v>-14.033999999999999</v>
      </c>
      <c r="BK11">
        <f t="shared" si="15"/>
        <v>-5.0559999999999974</v>
      </c>
    </row>
    <row r="12" spans="1:63">
      <c r="B12" s="19">
        <v>140</v>
      </c>
      <c r="C12" s="27">
        <f>+AVERAGE('Data #1'!W12,'Data #2'!W12,'Data #3'!W12,'Data #4'!W12,'Data #5'!W12)</f>
        <v>37.612000000000002</v>
      </c>
      <c r="D12" s="27">
        <f>+C12+STDEV('Data #1'!R12:T12,'Data #2'!R12:T12,'Data #3'!R12:T12,'Data #4'!R12:T12,'Data #5'!R12:T12)</f>
        <v>74.078104848984651</v>
      </c>
      <c r="E12" s="27">
        <f>+C12-STDEV('Data #1'!R12:T12,'Data #2'!R12:T12,'Data #3'!R12:T12,'Data #4'!R12:T12,'Data #5'!R12:T12)</f>
        <v>1.1458951510153454</v>
      </c>
      <c r="F12" s="27">
        <f>+MIN('Data #1'!R12:T12,'Data #2'!R12:T12,'Data #3'!R12:T12,'Data #4'!R12:T12,'Data #5'!R12:T12)</f>
        <v>20</v>
      </c>
      <c r="G12" s="27">
        <f>+MAX('Data #1'!R12:T12,'Data #2'!R12:T12,'Data #3'!R12:T12,'Data #4'!R12:T12,'Data #5'!R12:T12)</f>
        <v>109.27</v>
      </c>
      <c r="I12" s="19">
        <v>140</v>
      </c>
      <c r="J12" s="27">
        <f>+AVERAGE('Data #1'!X12,'Data #2'!X12,'Data #3'!X12,'Data #4'!X12,'Data #5'!X12)</f>
        <v>26.03</v>
      </c>
      <c r="K12" s="27">
        <f t="shared" si="0"/>
        <v>36.03</v>
      </c>
      <c r="O12" s="20">
        <v>140</v>
      </c>
      <c r="P12" s="28">
        <f>+AVERAGE('Data #1'!AH12,'Data #2'!AH12,'Data #3'!AH12,'Data #4'!AH12,'Data #5'!AH12)</f>
        <v>38.256666666666675</v>
      </c>
      <c r="Q12" s="28">
        <f>+P12+STDEV('Data #1'!AC12:AE12,'Data #2'!AC12:AE12,'Data #3'!AC12:AE12,'Data #4'!AC12:AE12,'Data #5'!AC12:AE12)</f>
        <v>76.127143985825882</v>
      </c>
      <c r="R12" s="28">
        <f>+P12-STDEV('Data #1'!AC12:AE12,'Data #2'!AC12:AE12,'Data #3'!AC12:AE12,'Data #4'!AC12:AE12,'Data #5'!AC12:AE12)</f>
        <v>0.38618934750746803</v>
      </c>
      <c r="S12" s="28">
        <f>+MIN('Data #1'!AC12:AE12,'Data #2'!AC12:AE12,'Data #3'!AC12:AE12,'Data #4'!AC12:AE12,'Data #5'!AC12:AE12)</f>
        <v>20</v>
      </c>
      <c r="T12" s="28">
        <f>+MAX('Data #1'!AC12:AE12,'Data #2'!AC12:AE12,'Data #3'!AC12:AE12,'Data #4'!AC12:AE12,'Data #5'!AC12:AE12)</f>
        <v>118.42</v>
      </c>
      <c r="V12" s="20">
        <v>140</v>
      </c>
      <c r="W12" s="28">
        <f>+AVERAGE('Data #1'!AI12,'Data #2'!AI12,'Data #3'!AI12,'Data #4'!AI12,'Data #4'!AI12)</f>
        <v>26.077999999999996</v>
      </c>
      <c r="X12" s="28">
        <f t="shared" si="1"/>
        <v>36.077999999999996</v>
      </c>
      <c r="AB12" s="21">
        <v>140</v>
      </c>
      <c r="AC12" s="10">
        <v>-10</v>
      </c>
      <c r="AD12" s="10">
        <v>10</v>
      </c>
      <c r="AH12">
        <f>MAX('Data #1'!C12,'Data #2'!C12,'Data #3'!C12,'Data #4'!C12,'Data #5'!C12)</f>
        <v>-59.12</v>
      </c>
      <c r="AI12">
        <f>MAX('Data #1'!D12,'Data #2'!D12,'Data #3'!D12,'Data #4'!D12,'Data #5'!D12)</f>
        <v>-55.94</v>
      </c>
      <c r="AJ12">
        <f>MAX('Data #1'!E12,'Data #2'!E12,'Data #3'!E12,'Data #4'!E12,'Data #5'!E12)</f>
        <v>-58.67</v>
      </c>
      <c r="AK12">
        <f>MAX('Data #1'!F12,'Data #2'!F12,'Data #3'!F12,'Data #4'!F12,'Data #5'!F12)</f>
        <v>-55.97</v>
      </c>
      <c r="AL12">
        <f>MAX('Data #1'!G12,'Data #2'!G12,'Data #3'!G12,'Data #4'!G12,'Data #5'!G12)</f>
        <v>-68.03</v>
      </c>
      <c r="AM12">
        <f>MAX('Data #1'!H12,'Data #2'!H12,'Data #3'!H12,'Data #4'!H12,'Data #5'!H12)</f>
        <v>-58.68</v>
      </c>
      <c r="AN12">
        <f>MIN('Data #1'!C12,'Data #2'!C12,'Data #3'!C12,'Data #4'!C12,'Data #5'!C12)</f>
        <v>-59.12</v>
      </c>
      <c r="AO12">
        <f>MIN('Data #1'!D12,'Data #2'!D12,'Data #3'!D12,'Data #4'!D12,'Data #5'!D12)</f>
        <v>-55.94</v>
      </c>
      <c r="AP12">
        <f>MIN('Data #1'!E12,'Data #2'!E12,'Data #3'!E12,'Data #4'!E12,'Data #5'!E12)</f>
        <v>-58.67</v>
      </c>
      <c r="AQ12">
        <f>MIN('Data #1'!F12,'Data #2'!F12,'Data #3'!F12,'Data #4'!F12,'Data #5'!F12)</f>
        <v>-55.97</v>
      </c>
      <c r="AR12">
        <f>MIN('Data #1'!G12,'Data #2'!G12,'Data #3'!G12,'Data #4'!G12,'Data #5'!G12)</f>
        <v>-68.03</v>
      </c>
      <c r="AS12">
        <f>MIN('Data #1'!H12,'Data #2'!H12,'Data #3'!H12,'Data #4'!H12,'Data #5'!H12)</f>
        <v>-58.68</v>
      </c>
      <c r="AT12">
        <f t="shared" si="4"/>
        <v>0</v>
      </c>
      <c r="AU12">
        <f t="shared" si="5"/>
        <v>0</v>
      </c>
      <c r="AV12">
        <f t="shared" si="6"/>
        <v>0</v>
      </c>
      <c r="AW12">
        <f t="shared" si="7"/>
        <v>0</v>
      </c>
      <c r="AX12">
        <f t="shared" si="8"/>
        <v>0</v>
      </c>
      <c r="AY12">
        <f t="shared" si="9"/>
        <v>0</v>
      </c>
      <c r="AZ12">
        <v>5.0120000000000005</v>
      </c>
      <c r="BA12">
        <v>16.057000000000002</v>
      </c>
      <c r="BB12">
        <v>2.8810000000000002</v>
      </c>
      <c r="BC12">
        <v>6.5590000000000046</v>
      </c>
      <c r="BD12">
        <v>8.6350000000000051</v>
      </c>
      <c r="BE12">
        <v>3.7620000000000005</v>
      </c>
      <c r="BF12">
        <f t="shared" si="10"/>
        <v>-5.0120000000000005</v>
      </c>
      <c r="BG12">
        <f t="shared" si="11"/>
        <v>-16.057000000000002</v>
      </c>
      <c r="BH12">
        <f t="shared" si="12"/>
        <v>-2.8810000000000002</v>
      </c>
      <c r="BI12">
        <f t="shared" si="13"/>
        <v>-6.5590000000000046</v>
      </c>
      <c r="BJ12">
        <f t="shared" si="14"/>
        <v>-8.6350000000000051</v>
      </c>
      <c r="BK12">
        <f t="shared" si="15"/>
        <v>-3.7620000000000005</v>
      </c>
    </row>
    <row r="13" spans="1:63">
      <c r="B13" s="19">
        <v>150</v>
      </c>
      <c r="C13" s="27">
        <f>+AVERAGE('Data #1'!W13,'Data #2'!W13,'Data #3'!W13,'Data #4'!W13,'Data #5'!W13)</f>
        <v>36.912666666666667</v>
      </c>
      <c r="D13" s="27">
        <f>+C13+STDEV('Data #1'!R13:T13,'Data #2'!R13:T13,'Data #3'!R13:T13,'Data #4'!R13:T13,'Data #5'!R13:T13)</f>
        <v>71.93355114327305</v>
      </c>
      <c r="E13" s="27">
        <f>+C13-STDEV('Data #1'!R13:T13,'Data #2'!R13:T13,'Data #3'!R13:T13,'Data #4'!R13:T13,'Data #5'!R13:T13)</f>
        <v>1.8917821900602831</v>
      </c>
      <c r="F13" s="27">
        <f>+MIN('Data #1'!R13:T13,'Data #2'!R13:T13,'Data #3'!R13:T13,'Data #4'!R13:T13,'Data #5'!R13:T13)</f>
        <v>20</v>
      </c>
      <c r="G13" s="27">
        <f>+MAX('Data #1'!R13:T13,'Data #2'!R13:T13,'Data #3'!R13:T13,'Data #4'!R13:T13,'Data #5'!R13:T13)</f>
        <v>106.77</v>
      </c>
      <c r="I13" s="19">
        <v>150</v>
      </c>
      <c r="J13" s="27">
        <f>+AVERAGE('Data #1'!X13,'Data #2'!X13,'Data #3'!X13,'Data #4'!X13,'Data #5'!X13)</f>
        <v>26.148000000000003</v>
      </c>
      <c r="K13" s="27">
        <f t="shared" si="0"/>
        <v>36.148000000000003</v>
      </c>
      <c r="O13" s="20">
        <v>150</v>
      </c>
      <c r="P13" s="28">
        <f>+AVERAGE('Data #1'!AH13,'Data #2'!AH13,'Data #3'!AH13,'Data #4'!AH13,'Data #5'!AH13)</f>
        <v>38.788666666666664</v>
      </c>
      <c r="Q13" s="28">
        <f>+P13+STDEV('Data #1'!AC13:AE13,'Data #2'!AC13:AE13,'Data #3'!AC13:AE13,'Data #4'!AC13:AE13,'Data #5'!AC13:AE13)</f>
        <v>77.728674529800855</v>
      </c>
      <c r="R13" s="28">
        <f>+P13-STDEV('Data #1'!AC13:AE13,'Data #2'!AC13:AE13,'Data #3'!AC13:AE13,'Data #4'!AC13:AE13,'Data #5'!AC13:AE13)</f>
        <v>-0.15134119646752708</v>
      </c>
      <c r="S13" s="28">
        <f>+MIN('Data #1'!AC13:AE13,'Data #2'!AC13:AE13,'Data #3'!AC13:AE13,'Data #4'!AC13:AE13,'Data #5'!AC13:AE13)</f>
        <v>20</v>
      </c>
      <c r="T13" s="28">
        <f>+MAX('Data #1'!AC13:AE13,'Data #2'!AC13:AE13,'Data #3'!AC13:AE13,'Data #4'!AC13:AE13,'Data #5'!AC13:AE13)</f>
        <v>117.12</v>
      </c>
      <c r="V13" s="20">
        <v>150</v>
      </c>
      <c r="W13" s="28">
        <f>+AVERAGE('Data #1'!AI13,'Data #2'!AI13,'Data #3'!AI13,'Data #4'!AI13,'Data #4'!AI13)</f>
        <v>26.22</v>
      </c>
      <c r="X13" s="28">
        <f t="shared" si="1"/>
        <v>36.22</v>
      </c>
      <c r="AB13" s="21">
        <v>150</v>
      </c>
      <c r="AC13" s="10">
        <v>-10</v>
      </c>
      <c r="AD13" s="10">
        <v>10</v>
      </c>
      <c r="AH13">
        <f>MAX('Data #1'!C13,'Data #2'!C13,'Data #3'!C13,'Data #4'!C13,'Data #5'!C13)</f>
        <v>-52.06</v>
      </c>
      <c r="AI13">
        <f>MAX('Data #1'!D13,'Data #2'!D13,'Data #3'!D13,'Data #4'!D13,'Data #5'!D13)</f>
        <v>-53.38</v>
      </c>
      <c r="AJ13">
        <f>MAX('Data #1'!E13,'Data #2'!E13,'Data #3'!E13,'Data #4'!E13,'Data #5'!E13)</f>
        <v>-56.03</v>
      </c>
      <c r="AK13">
        <f>MAX('Data #1'!F13,'Data #2'!F13,'Data #3'!F13,'Data #4'!F13,'Data #5'!F13)</f>
        <v>-65.290000000000006</v>
      </c>
      <c r="AL13">
        <f>MAX('Data #1'!G13,'Data #2'!G13,'Data #3'!G13,'Data #4'!G13,'Data #5'!G13)</f>
        <v>-66.02</v>
      </c>
      <c r="AM13">
        <f>MAX('Data #1'!H13,'Data #2'!H13,'Data #3'!H13,'Data #4'!H13,'Data #5'!H13)</f>
        <v>-57.22</v>
      </c>
      <c r="AN13">
        <f>MIN('Data #1'!C13,'Data #2'!C13,'Data #3'!C13,'Data #4'!C13,'Data #5'!C13)</f>
        <v>-52.06</v>
      </c>
      <c r="AO13">
        <f>MIN('Data #1'!D13,'Data #2'!D13,'Data #3'!D13,'Data #4'!D13,'Data #5'!D13)</f>
        <v>-53.38</v>
      </c>
      <c r="AP13">
        <f>MIN('Data #1'!E13,'Data #2'!E13,'Data #3'!E13,'Data #4'!E13,'Data #5'!E13)</f>
        <v>-56.03</v>
      </c>
      <c r="AQ13">
        <f>MIN('Data #1'!F13,'Data #2'!F13,'Data #3'!F13,'Data #4'!F13,'Data #5'!F13)</f>
        <v>-65.290000000000006</v>
      </c>
      <c r="AR13">
        <f>MIN('Data #1'!G13,'Data #2'!G13,'Data #3'!G13,'Data #4'!G13,'Data #5'!G13)</f>
        <v>-66.02</v>
      </c>
      <c r="AS13">
        <f>MIN('Data #1'!H13,'Data #2'!H13,'Data #3'!H13,'Data #4'!H13,'Data #5'!H13)</f>
        <v>-57.22</v>
      </c>
      <c r="AT13">
        <f t="shared" si="4"/>
        <v>0</v>
      </c>
      <c r="AU13">
        <f t="shared" si="5"/>
        <v>0</v>
      </c>
      <c r="AV13">
        <f t="shared" si="6"/>
        <v>0</v>
      </c>
      <c r="AW13">
        <f t="shared" si="7"/>
        <v>0</v>
      </c>
      <c r="AX13">
        <f t="shared" si="8"/>
        <v>0</v>
      </c>
      <c r="AY13">
        <f t="shared" si="9"/>
        <v>0</v>
      </c>
      <c r="AZ13">
        <v>8.3980000000000032</v>
      </c>
      <c r="BA13">
        <v>9.3769999999999989</v>
      </c>
      <c r="BB13">
        <v>6.0769999999999982</v>
      </c>
      <c r="BC13">
        <v>14.242999999999999</v>
      </c>
      <c r="BD13">
        <v>9.0399999999999991</v>
      </c>
      <c r="BE13">
        <v>6.9390000000000001</v>
      </c>
      <c r="BF13">
        <f t="shared" si="10"/>
        <v>-8.3980000000000032</v>
      </c>
      <c r="BG13">
        <f t="shared" si="11"/>
        <v>-9.3769999999999989</v>
      </c>
      <c r="BH13">
        <f t="shared" si="12"/>
        <v>-6.0769999999999982</v>
      </c>
      <c r="BI13">
        <f t="shared" si="13"/>
        <v>-14.242999999999999</v>
      </c>
      <c r="BJ13">
        <f t="shared" si="14"/>
        <v>-9.0399999999999991</v>
      </c>
      <c r="BK13">
        <f t="shared" si="15"/>
        <v>-6.9390000000000001</v>
      </c>
    </row>
    <row r="14" spans="1:63">
      <c r="B14" s="19">
        <v>160</v>
      </c>
      <c r="C14" s="27">
        <f>+AVERAGE('Data #1'!W14,'Data #2'!W14,'Data #3'!W14,'Data #4'!W14,'Data #5'!W14)</f>
        <v>38.945333333333323</v>
      </c>
      <c r="D14" s="27">
        <f>+C14+STDEV('Data #1'!R14:T14,'Data #2'!R14:T14,'Data #3'!R14:T14,'Data #4'!R14:T14,'Data #5'!R14:T14)</f>
        <v>78.303854259859634</v>
      </c>
      <c r="E14" s="27">
        <f>+C14-STDEV('Data #1'!R14:T14,'Data #2'!R14:T14,'Data #3'!R14:T14,'Data #4'!R14:T14,'Data #5'!R14:T14)</f>
        <v>-0.41318759319298692</v>
      </c>
      <c r="F14" s="27">
        <f>+MIN('Data #1'!R14:T14,'Data #2'!R14:T14,'Data #3'!R14:T14,'Data #4'!R14:T14,'Data #5'!R14:T14)</f>
        <v>20</v>
      </c>
      <c r="G14" s="27">
        <f>+MAX('Data #1'!R14:T14,'Data #2'!R14:T14,'Data #3'!R14:T14,'Data #4'!R14:T14,'Data #5'!R14:T14)</f>
        <v>124.48</v>
      </c>
      <c r="I14" s="19">
        <v>160</v>
      </c>
      <c r="J14" s="27">
        <f>+AVERAGE('Data #1'!X14,'Data #2'!X14,'Data #3'!X14,'Data #4'!X14,'Data #5'!X14)</f>
        <v>26.238</v>
      </c>
      <c r="K14" s="27">
        <f t="shared" si="0"/>
        <v>36.238</v>
      </c>
      <c r="O14" s="20">
        <v>160</v>
      </c>
      <c r="P14" s="28">
        <f>+AVERAGE('Data #1'!AH14,'Data #2'!AH14,'Data #3'!AH14,'Data #4'!AH14,'Data #5'!AH14)</f>
        <v>38.622666666666667</v>
      </c>
      <c r="Q14" s="28">
        <f>+P14+STDEV('Data #1'!AC14:AE14,'Data #2'!AC14:AE14,'Data #3'!AC14:AE14,'Data #4'!AC14:AE14,'Data #5'!AC14:AE14)</f>
        <v>77.189568550955755</v>
      </c>
      <c r="R14" s="28">
        <f>+P14-STDEV('Data #1'!AC14:AE14,'Data #2'!AC14:AE14,'Data #3'!AC14:AE14,'Data #4'!AC14:AE14,'Data #5'!AC14:AE14)</f>
        <v>5.5764782377579536E-2</v>
      </c>
      <c r="S14" s="28">
        <f>+MIN('Data #1'!AC14:AE14,'Data #2'!AC14:AE14,'Data #3'!AC14:AE14,'Data #4'!AC14:AE14,'Data #5'!AC14:AE14)</f>
        <v>20</v>
      </c>
      <c r="T14" s="28">
        <f>+MAX('Data #1'!AC14:AE14,'Data #2'!AC14:AE14,'Data #3'!AC14:AE14,'Data #4'!AC14:AE14,'Data #5'!AC14:AE14)</f>
        <v>115.86999999999999</v>
      </c>
      <c r="V14" s="20">
        <v>160</v>
      </c>
      <c r="W14" s="28">
        <f>+AVERAGE('Data #1'!AI14,'Data #2'!AI14,'Data #3'!AI14,'Data #4'!AI14,'Data #4'!AI14)</f>
        <v>26.253999999999998</v>
      </c>
      <c r="X14" s="28">
        <f t="shared" si="1"/>
        <v>36.253999999999998</v>
      </c>
      <c r="AB14" s="21">
        <v>160</v>
      </c>
      <c r="AC14" s="10">
        <v>-10</v>
      </c>
      <c r="AD14" s="10">
        <v>10</v>
      </c>
      <c r="AH14">
        <f>MAX('Data #1'!C14,'Data #2'!C14,'Data #3'!C14,'Data #4'!C14,'Data #5'!C14)</f>
        <v>-56.53</v>
      </c>
      <c r="AI14">
        <f>MAX('Data #1'!D14,'Data #2'!D14,'Data #3'!D14,'Data #4'!D14,'Data #5'!D14)</f>
        <v>-73.290000000000006</v>
      </c>
      <c r="AJ14">
        <f>MAX('Data #1'!E14,'Data #2'!E14,'Data #3'!E14,'Data #4'!E14,'Data #5'!E14)</f>
        <v>-60.79</v>
      </c>
      <c r="AK14">
        <f>MAX('Data #1'!F14,'Data #2'!F14,'Data #3'!F14,'Data #4'!F14,'Data #5'!F14)</f>
        <v>-61.89</v>
      </c>
      <c r="AL14">
        <f>MAX('Data #1'!G14,'Data #2'!G14,'Data #3'!G14,'Data #4'!G14,'Data #5'!G14)</f>
        <v>-64.599999999999994</v>
      </c>
      <c r="AM14">
        <f>MAX('Data #1'!H14,'Data #2'!H14,'Data #3'!H14,'Data #4'!H14,'Data #5'!H14)</f>
        <v>-59.04</v>
      </c>
      <c r="AN14">
        <f>MIN('Data #1'!C14,'Data #2'!C14,'Data #3'!C14,'Data #4'!C14,'Data #5'!C14)</f>
        <v>-56.53</v>
      </c>
      <c r="AO14">
        <f>MIN('Data #1'!D14,'Data #2'!D14,'Data #3'!D14,'Data #4'!D14,'Data #5'!D14)</f>
        <v>-73.290000000000006</v>
      </c>
      <c r="AP14">
        <f>MIN('Data #1'!E14,'Data #2'!E14,'Data #3'!E14,'Data #4'!E14,'Data #5'!E14)</f>
        <v>-60.79</v>
      </c>
      <c r="AQ14">
        <f>MIN('Data #1'!F14,'Data #2'!F14,'Data #3'!F14,'Data #4'!F14,'Data #5'!F14)</f>
        <v>-61.89</v>
      </c>
      <c r="AR14">
        <f>MIN('Data #1'!G14,'Data #2'!G14,'Data #3'!G14,'Data #4'!G14,'Data #5'!G14)</f>
        <v>-64.599999999999994</v>
      </c>
      <c r="AS14">
        <f>MIN('Data #1'!H14,'Data #2'!H14,'Data #3'!H14,'Data #4'!H14,'Data #5'!H14)</f>
        <v>-59.04</v>
      </c>
      <c r="AT14">
        <f t="shared" si="4"/>
        <v>0</v>
      </c>
      <c r="AU14">
        <f t="shared" si="5"/>
        <v>0</v>
      </c>
      <c r="AV14">
        <f t="shared" si="6"/>
        <v>0</v>
      </c>
      <c r="AW14">
        <f t="shared" si="7"/>
        <v>0</v>
      </c>
      <c r="AX14">
        <f t="shared" si="8"/>
        <v>0</v>
      </c>
      <c r="AY14">
        <f t="shared" si="9"/>
        <v>0</v>
      </c>
      <c r="AZ14">
        <v>20.335000000000001</v>
      </c>
      <c r="BA14">
        <v>8.3044000000000011</v>
      </c>
      <c r="BB14">
        <v>8.8969999999999985</v>
      </c>
      <c r="BC14">
        <v>7.2740000000000009</v>
      </c>
      <c r="BD14">
        <v>10.443000000000001</v>
      </c>
      <c r="BE14">
        <v>5.5790000000000006</v>
      </c>
      <c r="BF14">
        <f t="shared" si="10"/>
        <v>-20.335000000000001</v>
      </c>
      <c r="BG14">
        <f t="shared" si="11"/>
        <v>-8.3044000000000011</v>
      </c>
      <c r="BH14">
        <f t="shared" si="12"/>
        <v>-8.8969999999999985</v>
      </c>
      <c r="BI14">
        <f t="shared" si="13"/>
        <v>-7.2740000000000009</v>
      </c>
      <c r="BJ14">
        <f t="shared" si="14"/>
        <v>-10.443000000000001</v>
      </c>
      <c r="BK14">
        <f t="shared" si="15"/>
        <v>-5.5790000000000006</v>
      </c>
    </row>
    <row r="15" spans="1:63">
      <c r="B15" s="19">
        <v>170</v>
      </c>
      <c r="C15" s="27">
        <f>+AVERAGE('Data #1'!W15,'Data #2'!W15,'Data #3'!W15,'Data #4'!W15,'Data #5'!W15)</f>
        <v>38.929999999999993</v>
      </c>
      <c r="D15" s="27">
        <f>+C15+STDEV('Data #1'!R15:T15,'Data #2'!R15:T15,'Data #3'!R15:T15,'Data #4'!R15:T15,'Data #5'!R15:T15)</f>
        <v>78.202101511669269</v>
      </c>
      <c r="E15" s="27">
        <f>+C15-STDEV('Data #1'!R15:T15,'Data #2'!R15:T15,'Data #3'!R15:T15,'Data #4'!R15:T15,'Data #5'!R15:T15)</f>
        <v>-0.34210151166929137</v>
      </c>
      <c r="F15" s="27">
        <f>+MIN('Data #1'!R15:T15,'Data #2'!R15:T15,'Data #3'!R15:T15,'Data #4'!R15:T15,'Data #5'!R15:T15)</f>
        <v>20</v>
      </c>
      <c r="G15" s="27">
        <f>+MAX('Data #1'!R15:T15,'Data #2'!R15:T15,'Data #3'!R15:T15,'Data #4'!R15:T15,'Data #5'!R15:T15)</f>
        <v>120.38</v>
      </c>
      <c r="I15" s="19">
        <v>170</v>
      </c>
      <c r="J15" s="27">
        <f>+AVERAGE('Data #1'!X15,'Data #2'!X15,'Data #3'!X15,'Data #4'!X15,'Data #5'!X15)</f>
        <v>26.344000000000001</v>
      </c>
      <c r="K15" s="27">
        <f t="shared" si="0"/>
        <v>36.344000000000001</v>
      </c>
      <c r="O15" s="20">
        <v>170</v>
      </c>
      <c r="P15" s="28">
        <f>+AVERAGE('Data #1'!AH15,'Data #2'!AH15,'Data #3'!AH15,'Data #4'!AH15,'Data #5'!AH15)</f>
        <v>37.813333333333333</v>
      </c>
      <c r="Q15" s="28">
        <f>+P15+STDEV('Data #1'!AC15:AE15,'Data #2'!AC15:AE15,'Data #3'!AC15:AE15,'Data #4'!AC15:AE15,'Data #5'!AC15:AE15)</f>
        <v>74.708624102649424</v>
      </c>
      <c r="R15" s="28">
        <f>+P15-STDEV('Data #1'!AC15:AE15,'Data #2'!AC15:AE15,'Data #3'!AC15:AE15,'Data #4'!AC15:AE15,'Data #5'!AC15:AE15)</f>
        <v>0.91804256401724871</v>
      </c>
      <c r="S15" s="28">
        <f>+MIN('Data #1'!AC15:AE15,'Data #2'!AC15:AE15,'Data #3'!AC15:AE15,'Data #4'!AC15:AE15,'Data #5'!AC15:AE15)</f>
        <v>20</v>
      </c>
      <c r="T15" s="28">
        <f>+MAX('Data #1'!AC15:AE15,'Data #2'!AC15:AE15,'Data #3'!AC15:AE15,'Data #4'!AC15:AE15,'Data #5'!AC15:AE15)</f>
        <v>110.94</v>
      </c>
      <c r="V15" s="20">
        <v>170</v>
      </c>
      <c r="W15" s="28">
        <f>+AVERAGE('Data #1'!AI15,'Data #2'!AI15,'Data #3'!AI15,'Data #4'!AI15,'Data #4'!AI15)</f>
        <v>26.396000000000004</v>
      </c>
      <c r="X15" s="28">
        <f t="shared" si="1"/>
        <v>36.396000000000001</v>
      </c>
      <c r="AB15" s="21">
        <v>170</v>
      </c>
      <c r="AC15" s="10">
        <v>-10</v>
      </c>
      <c r="AD15" s="10">
        <v>10</v>
      </c>
      <c r="AH15">
        <f>MAX('Data #1'!C15,'Data #2'!C15,'Data #3'!C15,'Data #4'!C15,'Data #5'!C15)</f>
        <v>-64.66</v>
      </c>
      <c r="AI15">
        <f>MAX('Data #1'!D15,'Data #2'!D15,'Data #3'!D15,'Data #4'!D15,'Data #5'!D15)</f>
        <v>-68.66</v>
      </c>
      <c r="AJ15">
        <f>MAX('Data #1'!E15,'Data #2'!E15,'Data #3'!E15,'Data #4'!E15,'Data #5'!E15)</f>
        <v>-55.47</v>
      </c>
      <c r="AK15">
        <f>MAX('Data #1'!F15,'Data #2'!F15,'Data #3'!F15,'Data #4'!F15,'Data #5'!F15)</f>
        <v>-53.55</v>
      </c>
      <c r="AL15">
        <f>MAX('Data #1'!G15,'Data #2'!G15,'Data #3'!G15,'Data #4'!G15,'Data #5'!G15)</f>
        <v>-58.75</v>
      </c>
      <c r="AM15">
        <f>MAX('Data #1'!H15,'Data #2'!H15,'Data #3'!H15,'Data #4'!H15,'Data #5'!H15)</f>
        <v>-58.96</v>
      </c>
      <c r="AN15">
        <f>MIN('Data #1'!C15,'Data #2'!C15,'Data #3'!C15,'Data #4'!C15,'Data #5'!C15)</f>
        <v>-64.66</v>
      </c>
      <c r="AO15">
        <f>MIN('Data #1'!D15,'Data #2'!D15,'Data #3'!D15,'Data #4'!D15,'Data #5'!D15)</f>
        <v>-68.66</v>
      </c>
      <c r="AP15">
        <f>MIN('Data #1'!E15,'Data #2'!E15,'Data #3'!E15,'Data #4'!E15,'Data #5'!E15)</f>
        <v>-55.47</v>
      </c>
      <c r="AQ15">
        <f>MIN('Data #1'!F15,'Data #2'!F15,'Data #3'!F15,'Data #4'!F15,'Data #5'!F15)</f>
        <v>-53.55</v>
      </c>
      <c r="AR15">
        <f>MIN('Data #1'!G15,'Data #2'!G15,'Data #3'!G15,'Data #4'!G15,'Data #5'!G15)</f>
        <v>-58.75</v>
      </c>
      <c r="AS15">
        <f>MIN('Data #1'!H15,'Data #2'!H15,'Data #3'!H15,'Data #4'!H15,'Data #5'!H15)</f>
        <v>-58.96</v>
      </c>
      <c r="AT15">
        <f t="shared" si="4"/>
        <v>0</v>
      </c>
      <c r="AU15">
        <f t="shared" si="5"/>
        <v>0</v>
      </c>
      <c r="AV15">
        <f t="shared" si="6"/>
        <v>0</v>
      </c>
      <c r="AW15">
        <f t="shared" si="7"/>
        <v>0</v>
      </c>
      <c r="AX15">
        <f t="shared" si="8"/>
        <v>0</v>
      </c>
      <c r="AY15">
        <f t="shared" si="9"/>
        <v>0</v>
      </c>
      <c r="AZ15">
        <v>14.731600000000004</v>
      </c>
      <c r="BA15">
        <v>11.177499999999998</v>
      </c>
      <c r="BB15">
        <v>5.5039999999999978</v>
      </c>
      <c r="BC15">
        <v>2.2429999999999986</v>
      </c>
      <c r="BD15">
        <v>6.0940000000000012</v>
      </c>
      <c r="BE15">
        <v>9.5450000000000017</v>
      </c>
      <c r="BF15">
        <f t="shared" si="10"/>
        <v>-14.731600000000004</v>
      </c>
      <c r="BG15">
        <f t="shared" si="11"/>
        <v>-11.177499999999998</v>
      </c>
      <c r="BH15">
        <f t="shared" si="12"/>
        <v>-5.5039999999999978</v>
      </c>
      <c r="BI15">
        <f t="shared" si="13"/>
        <v>-2.2429999999999986</v>
      </c>
      <c r="BJ15">
        <f t="shared" si="14"/>
        <v>-6.0940000000000012</v>
      </c>
      <c r="BK15">
        <f t="shared" si="15"/>
        <v>-9.5450000000000017</v>
      </c>
    </row>
    <row r="16" spans="1:63">
      <c r="B16" s="19">
        <v>180</v>
      </c>
      <c r="C16" s="27">
        <f>+AVERAGE('Data #1'!W16,'Data #2'!W16,'Data #3'!W16,'Data #4'!W16,'Data #5'!W16)</f>
        <v>37.333333333333336</v>
      </c>
      <c r="D16" s="27">
        <f>+C16+STDEV('Data #1'!R16:T16,'Data #2'!R16:T16,'Data #3'!R16:T16,'Data #4'!R16:T16,'Data #5'!R16:T16)</f>
        <v>73.283118484025849</v>
      </c>
      <c r="E16" s="27">
        <f>+C16-STDEV('Data #1'!R16:T16,'Data #2'!R16:T16,'Data #3'!R16:T16,'Data #4'!R16:T16,'Data #5'!R16:T16)</f>
        <v>1.3835481826408227</v>
      </c>
      <c r="F16" s="27">
        <f>+MIN('Data #1'!R16:T16,'Data #2'!R16:T16,'Data #3'!R16:T16,'Data #4'!R16:T16,'Data #5'!R16:T16)</f>
        <v>20</v>
      </c>
      <c r="G16" s="27">
        <f>+MAX('Data #1'!R16:T16,'Data #2'!R16:T16,'Data #3'!R16:T16,'Data #4'!R16:T16,'Data #5'!R16:T16)</f>
        <v>113.31</v>
      </c>
      <c r="I16" s="19">
        <v>180</v>
      </c>
      <c r="J16" s="27">
        <f>+AVERAGE('Data #1'!X16,'Data #2'!X16,'Data #3'!X16,'Data #4'!X16,'Data #5'!X16)</f>
        <v>26.419999999999998</v>
      </c>
      <c r="K16" s="27">
        <f t="shared" si="0"/>
        <v>36.42</v>
      </c>
      <c r="O16" s="20">
        <v>180</v>
      </c>
      <c r="P16" s="28">
        <f>+AVERAGE('Data #1'!AH16,'Data #2'!AH16,'Data #3'!AH16,'Data #4'!AH16,'Data #5'!AH16)</f>
        <v>39.451333333333331</v>
      </c>
      <c r="Q16" s="28">
        <f>+P16+STDEV('Data #1'!AC16:AE16,'Data #2'!AC16:AE16,'Data #3'!AC16:AE16,'Data #4'!AC16:AE16,'Data #5'!AC16:AE16)</f>
        <v>79.807851813121999</v>
      </c>
      <c r="R16" s="28">
        <f>+P16-STDEV('Data #1'!AC16:AE16,'Data #2'!AC16:AE16,'Data #3'!AC16:AE16,'Data #4'!AC16:AE16,'Data #5'!AC16:AE16)</f>
        <v>-0.90518514645533088</v>
      </c>
      <c r="S16" s="28">
        <f>+MIN('Data #1'!AC16:AE16,'Data #2'!AC16:AE16,'Data #3'!AC16:AE16,'Data #4'!AC16:AE16,'Data #5'!AC16:AE16)</f>
        <v>20</v>
      </c>
      <c r="T16" s="28">
        <f>+MAX('Data #1'!AC16:AE16,'Data #2'!AC16:AE16,'Data #3'!AC16:AE16,'Data #4'!AC16:AE16,'Data #5'!AC16:AE16)</f>
        <v>121.83000000000001</v>
      </c>
      <c r="V16" s="20">
        <v>180</v>
      </c>
      <c r="W16" s="28">
        <f>+AVERAGE('Data #1'!AI16,'Data #2'!AI16,'Data #3'!AI16,'Data #4'!AI16,'Data #4'!AI16)</f>
        <v>26.47</v>
      </c>
      <c r="X16" s="28">
        <f t="shared" si="1"/>
        <v>36.47</v>
      </c>
      <c r="AB16" s="21">
        <v>180</v>
      </c>
      <c r="AC16" s="10">
        <v>-10</v>
      </c>
      <c r="AD16" s="10">
        <v>10</v>
      </c>
      <c r="AH16">
        <f>MAX('Data #1'!C16,'Data #2'!C16,'Data #3'!C16,'Data #4'!C16,'Data #5'!C16)</f>
        <v>-50.72</v>
      </c>
      <c r="AI16">
        <f>MAX('Data #1'!D16,'Data #2'!D16,'Data #3'!D16,'Data #4'!D16,'Data #5'!D16)</f>
        <v>-61.21</v>
      </c>
      <c r="AJ16">
        <f>MAX('Data #1'!E16,'Data #2'!E16,'Data #3'!E16,'Data #4'!E16,'Data #5'!E16)</f>
        <v>-51.77</v>
      </c>
      <c r="AK16">
        <f>MAX('Data #1'!F16,'Data #2'!F16,'Data #3'!F16,'Data #4'!F16,'Data #5'!F16)</f>
        <v>-68.47</v>
      </c>
      <c r="AL16">
        <f>MAX('Data #1'!G16,'Data #2'!G16,'Data #3'!G16,'Data #4'!G16,'Data #5'!G16)</f>
        <v>-69.48</v>
      </c>
      <c r="AM16">
        <f>MAX('Data #1'!H16,'Data #2'!H16,'Data #3'!H16,'Data #4'!H16,'Data #5'!H16)</f>
        <v>-56.77</v>
      </c>
      <c r="AN16">
        <f>MIN('Data #1'!C16,'Data #2'!C16,'Data #3'!C16,'Data #4'!C16,'Data #5'!C16)</f>
        <v>-50.72</v>
      </c>
      <c r="AO16">
        <f>MIN('Data #1'!D16,'Data #2'!D16,'Data #3'!D16,'Data #4'!D16,'Data #5'!D16)</f>
        <v>-61.21</v>
      </c>
      <c r="AP16">
        <f>MIN('Data #1'!E16,'Data #2'!E16,'Data #3'!E16,'Data #4'!E16,'Data #5'!E16)</f>
        <v>-51.77</v>
      </c>
      <c r="AQ16">
        <f>MIN('Data #1'!F16,'Data #2'!F16,'Data #3'!F16,'Data #4'!F16,'Data #5'!F16)</f>
        <v>-68.47</v>
      </c>
      <c r="AR16">
        <f>MIN('Data #1'!G16,'Data #2'!G16,'Data #3'!G16,'Data #4'!G16,'Data #5'!G16)</f>
        <v>-69.48</v>
      </c>
      <c r="AS16">
        <f>MIN('Data #1'!H16,'Data #2'!H16,'Data #3'!H16,'Data #4'!H16,'Data #5'!H16)</f>
        <v>-56.77</v>
      </c>
      <c r="AT16">
        <f t="shared" si="4"/>
        <v>0</v>
      </c>
      <c r="AU16">
        <f t="shared" si="5"/>
        <v>0</v>
      </c>
      <c r="AV16">
        <f t="shared" si="6"/>
        <v>0</v>
      </c>
      <c r="AW16">
        <f t="shared" si="7"/>
        <v>0</v>
      </c>
      <c r="AX16">
        <f t="shared" si="8"/>
        <v>0</v>
      </c>
      <c r="AY16">
        <f t="shared" si="9"/>
        <v>0</v>
      </c>
      <c r="AZ16">
        <v>9.3073000000000015</v>
      </c>
      <c r="BA16">
        <v>10.049200000000003</v>
      </c>
      <c r="BB16">
        <v>2.2340000000000018</v>
      </c>
      <c r="BC16">
        <v>4.8609000000000009</v>
      </c>
      <c r="BD16">
        <v>3.6469999999999985</v>
      </c>
      <c r="BE16">
        <v>6.3359999999999985</v>
      </c>
      <c r="BF16">
        <f t="shared" si="10"/>
        <v>-9.3073000000000015</v>
      </c>
      <c r="BG16">
        <f t="shared" si="11"/>
        <v>-10.049200000000003</v>
      </c>
      <c r="BH16">
        <f t="shared" si="12"/>
        <v>-2.2340000000000018</v>
      </c>
      <c r="BI16">
        <f t="shared" si="13"/>
        <v>-4.8609000000000009</v>
      </c>
      <c r="BJ16">
        <f t="shared" si="14"/>
        <v>-3.6469999999999985</v>
      </c>
      <c r="BK16">
        <f t="shared" si="15"/>
        <v>-6.3359999999999985</v>
      </c>
    </row>
    <row r="17" spans="2:63">
      <c r="B17" s="19">
        <v>190</v>
      </c>
      <c r="C17" s="27">
        <f>+AVERAGE('Data #1'!W17,'Data #2'!W17,'Data #3'!W17,'Data #4'!W17,'Data #5'!W17)</f>
        <v>37.429333333333339</v>
      </c>
      <c r="D17" s="27">
        <f>+C17+STDEV('Data #1'!R17:T17,'Data #2'!R17:T17,'Data #3'!R17:T17,'Data #4'!R17:T17,'Data #5'!R17:T17)</f>
        <v>73.554873856559269</v>
      </c>
      <c r="E17" s="27">
        <f>+C17-STDEV('Data #1'!R17:T17,'Data #2'!R17:T17,'Data #3'!R17:T17,'Data #4'!R17:T17,'Data #5'!R17:T17)</f>
        <v>1.3037928101074101</v>
      </c>
      <c r="F17" s="27">
        <f>+MIN('Data #1'!R17:T17,'Data #2'!R17:T17,'Data #3'!R17:T17,'Data #4'!R17:T17,'Data #5'!R17:T17)</f>
        <v>20</v>
      </c>
      <c r="G17" s="27">
        <f>+MAX('Data #1'!R17:T17,'Data #2'!R17:T17,'Data #3'!R17:T17,'Data #4'!R17:T17,'Data #5'!R17:T17)</f>
        <v>112.02000000000001</v>
      </c>
      <c r="I17" s="19">
        <v>190</v>
      </c>
      <c r="J17" s="27">
        <f>+AVERAGE('Data #1'!X17,'Data #2'!X17,'Data #3'!X17,'Data #4'!X17,'Data #5'!X17)</f>
        <v>26.492000000000001</v>
      </c>
      <c r="K17" s="27">
        <f t="shared" si="0"/>
        <v>36.492000000000004</v>
      </c>
      <c r="O17" s="20">
        <v>190</v>
      </c>
      <c r="P17" s="28">
        <f>+AVERAGE('Data #1'!AH17,'Data #2'!AH17,'Data #3'!AH17,'Data #4'!AH17,'Data #5'!AH17)</f>
        <v>38.724666666666664</v>
      </c>
      <c r="Q17" s="28">
        <f>+P17+STDEV('Data #1'!AC17:AE17,'Data #2'!AC17:AE17,'Data #3'!AC17:AE17,'Data #4'!AC17:AE17,'Data #5'!AC17:AE17)</f>
        <v>77.547210718630424</v>
      </c>
      <c r="R17" s="28">
        <f>+P17-STDEV('Data #1'!AC17:AE17,'Data #2'!AC17:AE17,'Data #3'!AC17:AE17,'Data #4'!AC17:AE17,'Data #5'!AC17:AE17)</f>
        <v>-9.7877385297095998E-2</v>
      </c>
      <c r="S17" s="28">
        <f>+MIN('Data #1'!AC17:AE17,'Data #2'!AC17:AE17,'Data #3'!AC17:AE17,'Data #4'!AC17:AE17,'Data #5'!AC17:AE17)</f>
        <v>20</v>
      </c>
      <c r="T17" s="28">
        <f>+MAX('Data #1'!AC17:AE17,'Data #2'!AC17:AE17,'Data #3'!AC17:AE17,'Data #4'!AC17:AE17,'Data #5'!AC17:AE17)</f>
        <v>118.87</v>
      </c>
      <c r="V17" s="20">
        <v>190</v>
      </c>
      <c r="W17" s="28">
        <f>+AVERAGE('Data #1'!AI17,'Data #2'!AI17,'Data #3'!AI17,'Data #4'!AI17,'Data #4'!AI17)</f>
        <v>26.52</v>
      </c>
      <c r="X17" s="28">
        <f t="shared" si="1"/>
        <v>36.519999999999996</v>
      </c>
      <c r="AB17" s="21">
        <v>190</v>
      </c>
      <c r="AC17" s="10">
        <v>-10</v>
      </c>
      <c r="AD17" s="10">
        <v>10</v>
      </c>
      <c r="AH17">
        <f>MAX('Data #1'!C17,'Data #2'!C17,'Data #3'!C17,'Data #4'!C17,'Data #5'!C17)</f>
        <v>-50.22</v>
      </c>
      <c r="AI17">
        <f>MAX('Data #1'!D17,'Data #2'!D17,'Data #3'!D17,'Data #4'!D17,'Data #5'!D17)</f>
        <v>-54.28</v>
      </c>
      <c r="AJ17">
        <f>MAX('Data #1'!E17,'Data #2'!E17,'Data #3'!E17,'Data #4'!E17,'Data #5'!E17)</f>
        <v>-59.56</v>
      </c>
      <c r="AK17">
        <f>MAX('Data #1'!F17,'Data #2'!F17,'Data #3'!F17,'Data #4'!F17,'Data #5'!F17)</f>
        <v>-55.04</v>
      </c>
      <c r="AL17">
        <f>MAX('Data #1'!G17,'Data #2'!G17,'Data #3'!G17,'Data #4'!G17,'Data #5'!G17)</f>
        <v>-66.27</v>
      </c>
      <c r="AM17">
        <f>MAX('Data #1'!H17,'Data #2'!H17,'Data #3'!H17,'Data #4'!H17,'Data #5'!H17)</f>
        <v>-61.76</v>
      </c>
      <c r="AN17">
        <f>MIN('Data #1'!C17,'Data #2'!C17,'Data #3'!C17,'Data #4'!C17,'Data #5'!C17)</f>
        <v>-50.22</v>
      </c>
      <c r="AO17">
        <f>MIN('Data #1'!D17,'Data #2'!D17,'Data #3'!D17,'Data #4'!D17,'Data #5'!D17)</f>
        <v>-54.28</v>
      </c>
      <c r="AP17">
        <f>MIN('Data #1'!E17,'Data #2'!E17,'Data #3'!E17,'Data #4'!E17,'Data #5'!E17)</f>
        <v>-59.56</v>
      </c>
      <c r="AQ17">
        <f>MIN('Data #1'!F17,'Data #2'!F17,'Data #3'!F17,'Data #4'!F17,'Data #5'!F17)</f>
        <v>-55.04</v>
      </c>
      <c r="AR17">
        <f>MIN('Data #1'!G17,'Data #2'!G17,'Data #3'!G17,'Data #4'!G17,'Data #5'!G17)</f>
        <v>-66.27</v>
      </c>
      <c r="AS17">
        <f>MIN('Data #1'!H17,'Data #2'!H17,'Data #3'!H17,'Data #4'!H17,'Data #5'!H17)</f>
        <v>-61.76</v>
      </c>
      <c r="AT17">
        <f t="shared" si="4"/>
        <v>0</v>
      </c>
      <c r="AU17">
        <f t="shared" si="5"/>
        <v>0</v>
      </c>
      <c r="AV17">
        <f t="shared" si="6"/>
        <v>0</v>
      </c>
      <c r="AW17">
        <f t="shared" si="7"/>
        <v>0</v>
      </c>
      <c r="AX17">
        <f t="shared" si="8"/>
        <v>0</v>
      </c>
      <c r="AY17">
        <f t="shared" si="9"/>
        <v>0</v>
      </c>
      <c r="AZ17">
        <v>4.5019999999999989</v>
      </c>
      <c r="BA17">
        <v>5.0315999999999974</v>
      </c>
      <c r="BB17">
        <v>5.7460000000000022</v>
      </c>
      <c r="BC17">
        <v>3.5151000000000003</v>
      </c>
      <c r="BD17">
        <v>7.3671000000000006</v>
      </c>
      <c r="BE17">
        <v>3.2249999999999979</v>
      </c>
      <c r="BF17">
        <f t="shared" si="10"/>
        <v>-4.5019999999999989</v>
      </c>
      <c r="BG17">
        <f t="shared" si="11"/>
        <v>-5.0315999999999974</v>
      </c>
      <c r="BH17">
        <f t="shared" si="12"/>
        <v>-5.7460000000000022</v>
      </c>
      <c r="BI17">
        <f t="shared" si="13"/>
        <v>-3.5151000000000003</v>
      </c>
      <c r="BJ17">
        <f t="shared" si="14"/>
        <v>-7.3671000000000006</v>
      </c>
      <c r="BK17">
        <f t="shared" si="15"/>
        <v>-3.2249999999999979</v>
      </c>
    </row>
    <row r="18" spans="2:63">
      <c r="B18" s="19">
        <v>200</v>
      </c>
      <c r="C18" s="27">
        <f>+AVERAGE('Data #1'!W18,'Data #2'!W18,'Data #3'!W18,'Data #4'!W18,'Data #5'!W18)</f>
        <v>38.191333333333333</v>
      </c>
      <c r="D18" s="27">
        <f>+C18+STDEV('Data #1'!R18:T18,'Data #2'!R18:T18,'Data #3'!R18:T18,'Data #4'!R18:T18,'Data #5'!R18:T18)</f>
        <v>75.904305119608424</v>
      </c>
      <c r="E18" s="27">
        <f>+C18-STDEV('Data #1'!R18:T18,'Data #2'!R18:T18,'Data #3'!R18:T18,'Data #4'!R18:T18,'Data #5'!R18:T18)</f>
        <v>0.47836154705824185</v>
      </c>
      <c r="F18" s="27">
        <f>+MIN('Data #1'!R18:T18,'Data #2'!R18:T18,'Data #3'!R18:T18,'Data #4'!R18:T18,'Data #5'!R18:T18)</f>
        <v>20</v>
      </c>
      <c r="G18" s="27">
        <f>+MAX('Data #1'!R18:T18,'Data #2'!R18:T18,'Data #3'!R18:T18,'Data #4'!R18:T18,'Data #5'!R18:T18)</f>
        <v>116.78</v>
      </c>
      <c r="I18" s="19">
        <v>200</v>
      </c>
      <c r="J18" s="27">
        <f>+AVERAGE('Data #1'!X18,'Data #2'!X18,'Data #3'!X18,'Data #4'!X18,'Data #5'!X18)</f>
        <v>26.560000000000002</v>
      </c>
      <c r="K18" s="27">
        <f t="shared" si="0"/>
        <v>36.56</v>
      </c>
      <c r="O18" s="20">
        <v>200</v>
      </c>
      <c r="P18" s="28">
        <f>+AVERAGE('Data #1'!AH18,'Data #2'!AH18,'Data #3'!AH18,'Data #4'!AH18,'Data #5'!AH18)</f>
        <v>39.043999999999997</v>
      </c>
      <c r="Q18" s="28">
        <f>+P18+STDEV('Data #1'!AC18:AE18,'Data #2'!AC18:AE18,'Data #3'!AC18:AE18,'Data #4'!AC18:AE18,'Data #5'!AC18:AE18)</f>
        <v>78.590259313799649</v>
      </c>
      <c r="R18" s="28">
        <f>+P18-STDEV('Data #1'!AC18:AE18,'Data #2'!AC18:AE18,'Data #3'!AC18:AE18,'Data #4'!AC18:AE18,'Data #5'!AC18:AE18)</f>
        <v>-0.50225931379965516</v>
      </c>
      <c r="S18" s="28">
        <f>+MIN('Data #1'!AC18:AE18,'Data #2'!AC18:AE18,'Data #3'!AC18:AE18,'Data #4'!AC18:AE18,'Data #5'!AC18:AE18)</f>
        <v>20</v>
      </c>
      <c r="T18" s="28">
        <f>+MAX('Data #1'!AC18:AE18,'Data #2'!AC18:AE18,'Data #3'!AC18:AE18,'Data #4'!AC18:AE18,'Data #5'!AC18:AE18)</f>
        <v>123.07999999999998</v>
      </c>
      <c r="V18" s="20">
        <v>200</v>
      </c>
      <c r="W18" s="28">
        <f>+AVERAGE('Data #1'!AI18,'Data #2'!AI18,'Data #3'!AI18,'Data #4'!AI18,'Data #4'!AI18)</f>
        <v>26.595999999999997</v>
      </c>
      <c r="X18" s="28">
        <f t="shared" si="1"/>
        <v>36.595999999999997</v>
      </c>
      <c r="AB18" s="21">
        <v>200</v>
      </c>
      <c r="AC18" s="10">
        <v>-10</v>
      </c>
      <c r="AD18" s="10">
        <v>10</v>
      </c>
      <c r="AH18">
        <f>MAX('Data #1'!C18,'Data #2'!C18,'Data #3'!C18,'Data #4'!C18,'Data #5'!C18)</f>
        <v>-63.98</v>
      </c>
      <c r="AI18">
        <f>MAX('Data #1'!D18,'Data #2'!D18,'Data #3'!D18,'Data #4'!D18,'Data #5'!D18)</f>
        <v>-53.6</v>
      </c>
      <c r="AJ18">
        <f>MAX('Data #1'!E18,'Data #2'!E18,'Data #3'!E18,'Data #4'!E18,'Data #5'!E18)</f>
        <v>-56.89</v>
      </c>
      <c r="AK18">
        <f>MAX('Data #1'!F18,'Data #2'!F18,'Data #3'!F18,'Data #4'!F18,'Data #5'!F18)</f>
        <v>-62.87</v>
      </c>
      <c r="AL18">
        <f>MAX('Data #1'!G18,'Data #2'!G18,'Data #3'!G18,'Data #4'!G18,'Data #5'!G18)</f>
        <v>-70.099999999999994</v>
      </c>
      <c r="AM18">
        <f>MAX('Data #1'!H18,'Data #2'!H18,'Data #3'!H18,'Data #4'!H18,'Data #5'!H18)</f>
        <v>-53.75</v>
      </c>
      <c r="AN18">
        <f>MIN('Data #1'!C18,'Data #2'!C18,'Data #3'!C18,'Data #4'!C18,'Data #5'!C18)</f>
        <v>-63.98</v>
      </c>
      <c r="AO18">
        <f>MIN('Data #1'!D18,'Data #2'!D18,'Data #3'!D18,'Data #4'!D18,'Data #5'!D18)</f>
        <v>-53.6</v>
      </c>
      <c r="AP18">
        <f>MIN('Data #1'!E18,'Data #2'!E18,'Data #3'!E18,'Data #4'!E18,'Data #5'!E18)</f>
        <v>-56.89</v>
      </c>
      <c r="AQ18">
        <f>MIN('Data #1'!F18,'Data #2'!F18,'Data #3'!F18,'Data #4'!F18,'Data #5'!F18)</f>
        <v>-62.87</v>
      </c>
      <c r="AR18">
        <f>MIN('Data #1'!G18,'Data #2'!G18,'Data #3'!G18,'Data #4'!G18,'Data #5'!G18)</f>
        <v>-70.099999999999994</v>
      </c>
      <c r="AS18">
        <f>MIN('Data #1'!H18,'Data #2'!H18,'Data #3'!H18,'Data #4'!H18,'Data #5'!H18)</f>
        <v>-53.75</v>
      </c>
      <c r="AT18">
        <f t="shared" si="4"/>
        <v>0</v>
      </c>
      <c r="AU18">
        <f t="shared" si="5"/>
        <v>0</v>
      </c>
      <c r="AV18">
        <f t="shared" si="6"/>
        <v>0</v>
      </c>
      <c r="AW18">
        <f t="shared" si="7"/>
        <v>0</v>
      </c>
      <c r="AX18">
        <f t="shared" si="8"/>
        <v>0</v>
      </c>
      <c r="AY18">
        <f t="shared" si="9"/>
        <v>0</v>
      </c>
      <c r="AZ18">
        <v>13.364899999999999</v>
      </c>
      <c r="BA18">
        <v>7.0798000000000023</v>
      </c>
      <c r="BB18">
        <v>2.5201999999999991</v>
      </c>
      <c r="BC18">
        <v>7.4708000000000006</v>
      </c>
      <c r="BD18">
        <v>8.3577000000000012</v>
      </c>
      <c r="BE18">
        <v>2.066399999999998</v>
      </c>
      <c r="BF18">
        <f t="shared" si="10"/>
        <v>-13.364899999999999</v>
      </c>
      <c r="BG18">
        <f t="shared" si="11"/>
        <v>-7.0798000000000023</v>
      </c>
      <c r="BH18">
        <f t="shared" si="12"/>
        <v>-2.5201999999999991</v>
      </c>
      <c r="BI18">
        <f t="shared" si="13"/>
        <v>-7.4708000000000006</v>
      </c>
      <c r="BJ18">
        <f t="shared" si="14"/>
        <v>-8.3577000000000012</v>
      </c>
      <c r="BK18">
        <f t="shared" si="15"/>
        <v>-2.066399999999998</v>
      </c>
    </row>
    <row r="19" spans="2:63">
      <c r="B19" s="19">
        <v>212</v>
      </c>
      <c r="C19" s="27">
        <f>+AVERAGE('Data #1'!W19,'Data #2'!W19,'Data #3'!W19,'Data #4'!W19,'Data #5'!W19)</f>
        <v>37.597999999999999</v>
      </c>
      <c r="D19" s="27">
        <f>+C19+STDEV('Data #1'!R19:T19,'Data #2'!R19:T19,'Data #3'!R19:T19,'Data #4'!R19:T19,'Data #5'!R19:T19)</f>
        <v>74.058469826923513</v>
      </c>
      <c r="E19" s="27">
        <f>+C19-STDEV('Data #1'!R19:T19,'Data #2'!R19:T19,'Data #3'!R19:T19,'Data #4'!R19:T19,'Data #5'!R19:T19)</f>
        <v>1.1375301730764846</v>
      </c>
      <c r="F19" s="27">
        <f>+MIN('Data #1'!R19:T19,'Data #2'!R19:T19,'Data #3'!R19:T19,'Data #4'!R19:T19,'Data #5'!R19:T19)</f>
        <v>20</v>
      </c>
      <c r="G19" s="27">
        <f>+MAX('Data #1'!R19:T19,'Data #2'!R19:T19,'Data #3'!R19:T19,'Data #4'!R19:T19,'Data #5'!R19:T19)</f>
        <v>112.06</v>
      </c>
      <c r="I19" s="19">
        <v>212</v>
      </c>
      <c r="J19" s="27">
        <f>+AVERAGE('Data #1'!X19,'Data #2'!X19,'Data #3'!X19,'Data #4'!X19,'Data #5'!X19)</f>
        <v>26.619999999999997</v>
      </c>
      <c r="K19" s="27">
        <f t="shared" si="0"/>
        <v>36.619999999999997</v>
      </c>
      <c r="O19" s="20">
        <v>212</v>
      </c>
      <c r="P19" s="28">
        <f>+AVERAGE('Data #1'!AH19,'Data #2'!AH19,'Data #3'!AH19,'Data #4'!AH19,'Data #5'!AH19)</f>
        <v>39.576666666666668</v>
      </c>
      <c r="Q19" s="28">
        <f>+P19+STDEV('Data #1'!AC19:AE19,'Data #2'!AC19:AE19,'Data #3'!AC19:AE19,'Data #4'!AC19:AE19,'Data #5'!AC19:AE19)</f>
        <v>80.175190332060268</v>
      </c>
      <c r="R19" s="28">
        <f>+P19-STDEV('Data #1'!AC19:AE19,'Data #2'!AC19:AE19,'Data #3'!AC19:AE19,'Data #4'!AC19:AE19,'Data #5'!AC19:AE19)</f>
        <v>-1.0218569987269319</v>
      </c>
      <c r="S19" s="28">
        <f>+MIN('Data #1'!AC19:AE19,'Data #2'!AC19:AE19,'Data #3'!AC19:AE19,'Data #4'!AC19:AE19,'Data #5'!AC19:AE19)</f>
        <v>20</v>
      </c>
      <c r="T19" s="28">
        <f>+MAX('Data #1'!AC19:AE19,'Data #2'!AC19:AE19,'Data #3'!AC19:AE19,'Data #4'!AC19:AE19,'Data #5'!AC19:AE19)</f>
        <v>122.42999999999999</v>
      </c>
      <c r="V19" s="20">
        <v>212</v>
      </c>
      <c r="W19" s="28">
        <f>+AVERAGE('Data #1'!AI19,'Data #2'!AI19,'Data #3'!AI19,'Data #4'!AI19,'Data #4'!AI19)</f>
        <v>26.660000000000004</v>
      </c>
      <c r="X19" s="28">
        <f t="shared" si="1"/>
        <v>36.660000000000004</v>
      </c>
      <c r="AB19" s="21">
        <v>212</v>
      </c>
      <c r="AC19" s="10">
        <v>-10</v>
      </c>
      <c r="AD19" s="10">
        <v>10</v>
      </c>
      <c r="AH19">
        <f>MAX('Data #1'!C19,'Data #2'!C19,'Data #3'!C19,'Data #4'!C19,'Data #5'!C19)</f>
        <v>-54.42</v>
      </c>
      <c r="AI19">
        <f>MAX('Data #1'!D19,'Data #2'!D19,'Data #3'!D19,'Data #4'!D19,'Data #5'!D19)</f>
        <v>-58.96</v>
      </c>
      <c r="AJ19">
        <f>MAX('Data #1'!E19,'Data #2'!E19,'Data #3'!E19,'Data #4'!E19,'Data #5'!E19)</f>
        <v>-51.29</v>
      </c>
      <c r="AK19">
        <f>MAX('Data #1'!F19,'Data #2'!F19,'Data #3'!F19,'Data #4'!F19,'Data #5'!F19)</f>
        <v>-67.290000000000006</v>
      </c>
      <c r="AL19">
        <f>MAX('Data #1'!G19,'Data #2'!G19,'Data #3'!G19,'Data #4'!G19,'Data #5'!G19)</f>
        <v>-69.13</v>
      </c>
      <c r="AM19">
        <f>MAX('Data #1'!H19,'Data #2'!H19,'Data #3'!H19,'Data #4'!H19,'Data #5'!H19)</f>
        <v>-57.33</v>
      </c>
      <c r="AN19">
        <f>MIN('Data #1'!C19,'Data #2'!C19,'Data #3'!C19,'Data #4'!C19,'Data #5'!C19)</f>
        <v>-54.42</v>
      </c>
      <c r="AO19">
        <f>MIN('Data #1'!D19,'Data #2'!D19,'Data #3'!D19,'Data #4'!D19,'Data #5'!D19)</f>
        <v>-58.96</v>
      </c>
      <c r="AP19">
        <f>MIN('Data #1'!E19,'Data #2'!E19,'Data #3'!E19,'Data #4'!E19,'Data #5'!E19)</f>
        <v>-51.29</v>
      </c>
      <c r="AQ19">
        <f>MIN('Data #1'!F19,'Data #2'!F19,'Data #3'!F19,'Data #4'!F19,'Data #5'!F19)</f>
        <v>-67.290000000000006</v>
      </c>
      <c r="AR19">
        <f>MIN('Data #1'!G19,'Data #2'!G19,'Data #3'!G19,'Data #4'!G19,'Data #5'!G19)</f>
        <v>-69.13</v>
      </c>
      <c r="AS19">
        <f>MIN('Data #1'!H19,'Data #2'!H19,'Data #3'!H19,'Data #4'!H19,'Data #5'!H19)</f>
        <v>-57.33</v>
      </c>
      <c r="AT19">
        <f t="shared" si="4"/>
        <v>0</v>
      </c>
      <c r="AU19">
        <f t="shared" si="5"/>
        <v>0</v>
      </c>
      <c r="AV19">
        <f t="shared" si="6"/>
        <v>0</v>
      </c>
      <c r="AW19">
        <f t="shared" si="7"/>
        <v>0</v>
      </c>
      <c r="AX19">
        <f t="shared" si="8"/>
        <v>0</v>
      </c>
      <c r="AY19">
        <f t="shared" si="9"/>
        <v>0</v>
      </c>
      <c r="AZ19">
        <v>12.916299999999996</v>
      </c>
      <c r="BA19">
        <v>3.3033999999999999</v>
      </c>
      <c r="BB19">
        <v>4.9604999999999997</v>
      </c>
      <c r="BC19">
        <v>1.4426999999999985</v>
      </c>
      <c r="BD19">
        <v>5.5127999999999986</v>
      </c>
      <c r="BE19">
        <v>1.5079999999999991</v>
      </c>
      <c r="BF19">
        <f t="shared" si="10"/>
        <v>-12.916299999999996</v>
      </c>
      <c r="BG19">
        <f t="shared" si="11"/>
        <v>-3.3033999999999999</v>
      </c>
      <c r="BH19">
        <f t="shared" si="12"/>
        <v>-4.9604999999999997</v>
      </c>
      <c r="BI19">
        <f t="shared" si="13"/>
        <v>-1.4426999999999985</v>
      </c>
      <c r="BJ19">
        <f t="shared" si="14"/>
        <v>-5.5127999999999986</v>
      </c>
      <c r="BK19">
        <f t="shared" si="15"/>
        <v>-1.5079999999999991</v>
      </c>
    </row>
    <row r="20" spans="2:63">
      <c r="B20" s="19">
        <v>224</v>
      </c>
      <c r="C20" s="27">
        <f>+AVERAGE('Data #1'!W20,'Data #2'!W20,'Data #3'!W20,'Data #4'!W20,'Data #5'!W20)</f>
        <v>38.649333333333331</v>
      </c>
      <c r="D20" s="27">
        <f>+C20+STDEV('Data #1'!R20:T20,'Data #2'!R20:T20,'Data #3'!R20:T20,'Data #4'!R20:T20,'Data #5'!R20:T20)</f>
        <v>77.331123155024926</v>
      </c>
      <c r="E20" s="27">
        <f>+C20-STDEV('Data #1'!R20:T20,'Data #2'!R20:T20,'Data #3'!R20:T20,'Data #4'!R20:T20,'Data #5'!R20:T20)</f>
        <v>-3.2456488358270974E-2</v>
      </c>
      <c r="F20" s="27">
        <f>+MIN('Data #1'!R20:T20,'Data #2'!R20:T20,'Data #3'!R20:T20,'Data #4'!R20:T20,'Data #5'!R20:T20)</f>
        <v>20</v>
      </c>
      <c r="G20" s="27">
        <f>+MAX('Data #1'!R20:T20,'Data #2'!R20:T20,'Data #3'!R20:T20,'Data #4'!R20:T20,'Data #5'!R20:T20)</f>
        <v>118.30000000000001</v>
      </c>
      <c r="I20" s="19">
        <v>224</v>
      </c>
      <c r="J20" s="27">
        <f>+AVERAGE('Data #1'!X20,'Data #2'!X20,'Data #3'!X20,'Data #4'!X20,'Data #5'!X20)</f>
        <v>26.675999999999998</v>
      </c>
      <c r="K20" s="27">
        <f t="shared" si="0"/>
        <v>36.676000000000002</v>
      </c>
      <c r="O20" s="20">
        <v>224</v>
      </c>
      <c r="P20" s="28">
        <f>+AVERAGE('Data #1'!AH20,'Data #2'!AH20,'Data #3'!AH20,'Data #4'!AH20,'Data #5'!AH20)</f>
        <v>38.450000000000003</v>
      </c>
      <c r="Q20" s="28">
        <f>+P20+STDEV('Data #1'!AC20:AE20,'Data #2'!AC20:AE20,'Data #3'!AC20:AE20,'Data #4'!AC20:AE20,'Data #5'!AC20:AE20)</f>
        <v>76.725102313943694</v>
      </c>
      <c r="R20" s="28">
        <f>+P20-STDEV('Data #1'!AC20:AE20,'Data #2'!AC20:AE20,'Data #3'!AC20:AE20,'Data #4'!AC20:AE20,'Data #5'!AC20:AE20)</f>
        <v>0.17489768605631184</v>
      </c>
      <c r="S20" s="28">
        <f>+MIN('Data #1'!AC20:AE20,'Data #2'!AC20:AE20,'Data #3'!AC20:AE20,'Data #4'!AC20:AE20,'Data #5'!AC20:AE20)</f>
        <v>20</v>
      </c>
      <c r="T20" s="28">
        <f>+MAX('Data #1'!AC20:AE20,'Data #2'!AC20:AE20,'Data #3'!AC20:AE20,'Data #4'!AC20:AE20,'Data #5'!AC20:AE20)</f>
        <v>119.72999999999999</v>
      </c>
      <c r="V20" s="20">
        <v>224</v>
      </c>
      <c r="W20" s="28">
        <f>+AVERAGE('Data #1'!AI20,'Data #2'!AI20,'Data #3'!AI20,'Data #4'!AI20,'Data #4'!AI20)</f>
        <v>26.72</v>
      </c>
      <c r="X20" s="28">
        <f t="shared" si="1"/>
        <v>36.72</v>
      </c>
      <c r="AB20" s="21">
        <v>224</v>
      </c>
      <c r="AC20" s="10">
        <v>-10</v>
      </c>
      <c r="AD20" s="10">
        <v>10</v>
      </c>
      <c r="AH20">
        <f>MAX('Data #1'!C20,'Data #2'!C20,'Data #3'!C20,'Data #4'!C20,'Data #5'!C20)</f>
        <v>-52.77</v>
      </c>
      <c r="AI20">
        <f>MAX('Data #1'!D20,'Data #2'!D20,'Data #3'!D20,'Data #4'!D20,'Data #5'!D20)</f>
        <v>-64.92</v>
      </c>
      <c r="AJ20">
        <f>MAX('Data #1'!E20,'Data #2'!E20,'Data #3'!E20,'Data #4'!E20,'Data #5'!E20)</f>
        <v>-61.91</v>
      </c>
      <c r="AK20">
        <f>MAX('Data #1'!F20,'Data #2'!F20,'Data #3'!F20,'Data #4'!F20,'Data #5'!F20)</f>
        <v>-66.13</v>
      </c>
      <c r="AL20">
        <f>MAX('Data #1'!G20,'Data #2'!G20,'Data #3'!G20,'Data #4'!G20,'Data #5'!G20)</f>
        <v>-55.83</v>
      </c>
      <c r="AM20">
        <f>MAX('Data #1'!H20,'Data #2'!H20,'Data #3'!H20,'Data #4'!H20,'Data #5'!H20)</f>
        <v>-53.99</v>
      </c>
      <c r="AN20">
        <f>MIN('Data #1'!C20,'Data #2'!C20,'Data #3'!C20,'Data #4'!C20,'Data #5'!C20)</f>
        <v>-52.77</v>
      </c>
      <c r="AO20">
        <f>MIN('Data #1'!D20,'Data #2'!D20,'Data #3'!D20,'Data #4'!D20,'Data #5'!D20)</f>
        <v>-64.92</v>
      </c>
      <c r="AP20">
        <f>MIN('Data #1'!E20,'Data #2'!E20,'Data #3'!E20,'Data #4'!E20,'Data #5'!E20)</f>
        <v>-61.91</v>
      </c>
      <c r="AQ20">
        <f>MIN('Data #1'!F20,'Data #2'!F20,'Data #3'!F20,'Data #4'!F20,'Data #5'!F20)</f>
        <v>-66.13</v>
      </c>
      <c r="AR20">
        <f>MIN('Data #1'!G20,'Data #2'!G20,'Data #3'!G20,'Data #4'!G20,'Data #5'!G20)</f>
        <v>-55.83</v>
      </c>
      <c r="AS20">
        <f>MIN('Data #1'!H20,'Data #2'!H20,'Data #3'!H20,'Data #4'!H20,'Data #5'!H20)</f>
        <v>-53.99</v>
      </c>
      <c r="AT20">
        <f t="shared" si="4"/>
        <v>0</v>
      </c>
      <c r="AU20">
        <f t="shared" si="5"/>
        <v>0</v>
      </c>
      <c r="AV20">
        <f t="shared" si="6"/>
        <v>0</v>
      </c>
      <c r="AW20">
        <f t="shared" si="7"/>
        <v>0</v>
      </c>
      <c r="AX20">
        <f t="shared" si="8"/>
        <v>0</v>
      </c>
      <c r="AY20">
        <f t="shared" si="9"/>
        <v>0</v>
      </c>
      <c r="AZ20">
        <v>11.292699999999996</v>
      </c>
      <c r="BA20">
        <v>3.9508999999999972</v>
      </c>
      <c r="BB20">
        <v>7.4049999999999976</v>
      </c>
      <c r="BC20">
        <v>4.0576000000000008</v>
      </c>
      <c r="BD20">
        <v>4.8939999999999984</v>
      </c>
      <c r="BE20">
        <v>7.4879999999999995</v>
      </c>
      <c r="BF20">
        <f t="shared" si="10"/>
        <v>-11.292699999999996</v>
      </c>
      <c r="BG20">
        <f t="shared" si="11"/>
        <v>-3.9508999999999972</v>
      </c>
      <c r="BH20">
        <f t="shared" si="12"/>
        <v>-7.4049999999999976</v>
      </c>
      <c r="BI20">
        <f t="shared" si="13"/>
        <v>-4.0576000000000008</v>
      </c>
      <c r="BJ20">
        <f t="shared" si="14"/>
        <v>-4.8939999999999984</v>
      </c>
      <c r="BK20">
        <f t="shared" si="15"/>
        <v>-7.4879999999999995</v>
      </c>
    </row>
    <row r="21" spans="2:63">
      <c r="B21" s="19">
        <v>236</v>
      </c>
      <c r="C21" s="27">
        <f>+AVERAGE('Data #1'!W21,'Data #2'!W21,'Data #3'!W21,'Data #4'!W21,'Data #5'!W21)</f>
        <v>37.644666666666659</v>
      </c>
      <c r="D21" s="27">
        <f>+C21+STDEV('Data #1'!R21:T21,'Data #2'!R21:T21,'Data #3'!R21:T21,'Data #4'!R21:T21,'Data #5'!R21:T21)</f>
        <v>74.199666298662805</v>
      </c>
      <c r="E21" s="27">
        <f>+C21-STDEV('Data #1'!R21:T21,'Data #2'!R21:T21,'Data #3'!R21:T21,'Data #4'!R21:T21,'Data #5'!R21:T21)</f>
        <v>1.0896670346705122</v>
      </c>
      <c r="F21" s="27">
        <f>+MIN('Data #1'!R21:T21,'Data #2'!R21:T21,'Data #3'!R21:T21,'Data #4'!R21:T21,'Data #5'!R21:T21)</f>
        <v>20</v>
      </c>
      <c r="G21" s="27">
        <f>+MAX('Data #1'!R21:T21,'Data #2'!R21:T21,'Data #3'!R21:T21,'Data #4'!R21:T21,'Data #5'!R21:T21)</f>
        <v>112.31</v>
      </c>
      <c r="I21" s="19">
        <v>236</v>
      </c>
      <c r="J21" s="27">
        <f>+AVERAGE('Data #1'!X21,'Data #2'!X21,'Data #3'!X21,'Data #4'!X21,'Data #5'!X21)</f>
        <v>26.751999999999999</v>
      </c>
      <c r="K21" s="27">
        <f t="shared" si="0"/>
        <v>36.751999999999995</v>
      </c>
      <c r="O21" s="20">
        <v>236</v>
      </c>
      <c r="P21" s="28">
        <f>+AVERAGE('Data #1'!AH21,'Data #2'!AH21,'Data #3'!AH21,'Data #4'!AH21,'Data #5'!AH21)</f>
        <v>38.958666666666673</v>
      </c>
      <c r="Q21" s="28">
        <f>+P21+STDEV('Data #1'!AC21:AE21,'Data #2'!AC21:AE21,'Data #3'!AC21:AE21,'Data #4'!AC21:AE21,'Data #5'!AC21:AE21)</f>
        <v>78.268951919595921</v>
      </c>
      <c r="R21" s="28">
        <f>+P21-STDEV('Data #1'!AC21:AE21,'Data #2'!AC21:AE21,'Data #3'!AC21:AE21,'Data #4'!AC21:AE21,'Data #5'!AC21:AE21)</f>
        <v>-0.35161858626257469</v>
      </c>
      <c r="S21" s="28">
        <f>+MIN('Data #1'!AC21:AE21,'Data #2'!AC21:AE21,'Data #3'!AC21:AE21,'Data #4'!AC21:AE21,'Data #5'!AC21:AE21)</f>
        <v>20</v>
      </c>
      <c r="T21" s="28">
        <f>+MAX('Data #1'!AC21:AE21,'Data #2'!AC21:AE21,'Data #3'!AC21:AE21,'Data #4'!AC21:AE21,'Data #5'!AC21:AE21)</f>
        <v>120.15</v>
      </c>
      <c r="V21" s="20">
        <v>236</v>
      </c>
      <c r="W21" s="28">
        <f>+AVERAGE('Data #1'!AI21,'Data #2'!AI21,'Data #3'!AI21,'Data #4'!AI21,'Data #4'!AI21)</f>
        <v>26.757999999999999</v>
      </c>
      <c r="X21" s="28">
        <f t="shared" si="1"/>
        <v>36.757999999999996</v>
      </c>
      <c r="AB21" s="21">
        <v>236</v>
      </c>
      <c r="AC21" s="10">
        <v>-10</v>
      </c>
      <c r="AD21" s="10">
        <v>10</v>
      </c>
      <c r="AH21">
        <f>MAX('Data #1'!C21,'Data #2'!C21,'Data #3'!C21,'Data #4'!C21,'Data #5'!C21)</f>
        <v>-58.55</v>
      </c>
      <c r="AI21">
        <f>MAX('Data #1'!D21,'Data #2'!D21,'Data #3'!D21,'Data #4'!D21,'Data #5'!D21)</f>
        <v>-53.57</v>
      </c>
      <c r="AJ21">
        <f>MAX('Data #1'!E21,'Data #2'!E21,'Data #3'!E21,'Data #4'!E21,'Data #5'!E21)</f>
        <v>-51.27</v>
      </c>
      <c r="AK21">
        <f>MAX('Data #1'!F21,'Data #2'!F21,'Data #3'!F21,'Data #4'!F21,'Data #5'!F21)</f>
        <v>-54.77</v>
      </c>
      <c r="AL21">
        <f>MAX('Data #1'!G21,'Data #2'!G21,'Data #3'!G21,'Data #4'!G21,'Data #5'!G21)</f>
        <v>-61.88</v>
      </c>
      <c r="AM21">
        <f>MAX('Data #1'!H21,'Data #2'!H21,'Data #3'!H21,'Data #4'!H21,'Data #5'!H21)</f>
        <v>-66.36</v>
      </c>
      <c r="AN21">
        <f>MIN('Data #1'!C21,'Data #2'!C21,'Data #3'!C21,'Data #4'!C21,'Data #5'!C21)</f>
        <v>-58.55</v>
      </c>
      <c r="AO21">
        <f>MIN('Data #1'!D21,'Data #2'!D21,'Data #3'!D21,'Data #4'!D21,'Data #5'!D21)</f>
        <v>-53.57</v>
      </c>
      <c r="AP21">
        <f>MIN('Data #1'!E21,'Data #2'!E21,'Data #3'!E21,'Data #4'!E21,'Data #5'!E21)</f>
        <v>-51.27</v>
      </c>
      <c r="AQ21">
        <f>MIN('Data #1'!F21,'Data #2'!F21,'Data #3'!F21,'Data #4'!F21,'Data #5'!F21)</f>
        <v>-54.77</v>
      </c>
      <c r="AR21">
        <f>MIN('Data #1'!G21,'Data #2'!G21,'Data #3'!G21,'Data #4'!G21,'Data #5'!G21)</f>
        <v>-61.88</v>
      </c>
      <c r="AS21">
        <f>MIN('Data #1'!H21,'Data #2'!H21,'Data #3'!H21,'Data #4'!H21,'Data #5'!H21)</f>
        <v>-66.36</v>
      </c>
      <c r="AT21">
        <f t="shared" si="4"/>
        <v>0</v>
      </c>
      <c r="AU21">
        <f t="shared" si="5"/>
        <v>0</v>
      </c>
      <c r="AV21">
        <f t="shared" si="6"/>
        <v>0</v>
      </c>
      <c r="AW21">
        <f t="shared" si="7"/>
        <v>0</v>
      </c>
      <c r="AX21">
        <f t="shared" si="8"/>
        <v>0</v>
      </c>
      <c r="AY21">
        <f t="shared" si="9"/>
        <v>0</v>
      </c>
      <c r="AZ21">
        <v>5.2667000000000002</v>
      </c>
      <c r="BA21">
        <v>6.8431999999999995</v>
      </c>
      <c r="BB21">
        <v>3.799000000000003</v>
      </c>
      <c r="BC21">
        <v>3.9135999999999989</v>
      </c>
      <c r="BD21">
        <v>5.2690000000000019</v>
      </c>
      <c r="BE21">
        <v>5.2970000000000041</v>
      </c>
      <c r="BF21">
        <f t="shared" si="10"/>
        <v>-5.2667000000000002</v>
      </c>
      <c r="BG21">
        <f t="shared" si="11"/>
        <v>-6.8431999999999995</v>
      </c>
      <c r="BH21">
        <f t="shared" si="12"/>
        <v>-3.799000000000003</v>
      </c>
      <c r="BI21">
        <f t="shared" si="13"/>
        <v>-3.9135999999999989</v>
      </c>
      <c r="BJ21">
        <f t="shared" si="14"/>
        <v>-5.2690000000000019</v>
      </c>
      <c r="BK21">
        <f t="shared" si="15"/>
        <v>-5.2970000000000041</v>
      </c>
    </row>
    <row r="22" spans="2:63">
      <c r="B22" s="19">
        <v>250</v>
      </c>
      <c r="C22" s="27">
        <f>+AVERAGE('Data #1'!W22,'Data #2'!W22,'Data #3'!W22,'Data #4'!W22,'Data #5'!W22)</f>
        <v>36.803999999999995</v>
      </c>
      <c r="D22" s="27">
        <f>+C22+STDEV('Data #1'!R22:T22,'Data #2'!R22:T22,'Data #3'!R22:T22,'Data #4'!R22:T22,'Data #5'!R22:T22)</f>
        <v>71.595145384175808</v>
      </c>
      <c r="E22" s="27">
        <f>+C22-STDEV('Data #1'!R22:T22,'Data #2'!R22:T22,'Data #3'!R22:T22,'Data #4'!R22:T22,'Data #5'!R22:T22)</f>
        <v>2.0128546158241818</v>
      </c>
      <c r="F22" s="27">
        <f>+MIN('Data #1'!R22:T22,'Data #2'!R22:T22,'Data #3'!R22:T22,'Data #4'!R22:T22,'Data #5'!R22:T22)</f>
        <v>20</v>
      </c>
      <c r="G22" s="27">
        <f>+MAX('Data #1'!R22:T22,'Data #2'!R22:T22,'Data #3'!R22:T22,'Data #4'!R22:T22,'Data #5'!R22:T22)</f>
        <v>104.93</v>
      </c>
      <c r="I22" s="19">
        <v>250</v>
      </c>
      <c r="J22" s="27">
        <f>+AVERAGE('Data #1'!X22,'Data #2'!X22,'Data #3'!X22,'Data #4'!X22,'Data #5'!X22)</f>
        <v>26.814</v>
      </c>
      <c r="K22" s="27">
        <f t="shared" si="0"/>
        <v>36.814</v>
      </c>
      <c r="O22" s="20">
        <v>250</v>
      </c>
      <c r="P22" s="28">
        <f>+AVERAGE('Data #1'!AH22,'Data #2'!AH22,'Data #3'!AH22,'Data #4'!AH22,'Data #5'!AH22)</f>
        <v>38.808666666666667</v>
      </c>
      <c r="Q22" s="28">
        <f>+P22+STDEV('Data #1'!AC22:AE22,'Data #2'!AC22:AE22,'Data #3'!AC22:AE22,'Data #4'!AC22:AE22,'Data #5'!AC22:AE22)</f>
        <v>77.773948808349559</v>
      </c>
      <c r="R22" s="28">
        <f>+P22-STDEV('Data #1'!AC22:AE22,'Data #2'!AC22:AE22,'Data #3'!AC22:AE22,'Data #4'!AC22:AE22,'Data #5'!AC22:AE22)</f>
        <v>-0.15661547501623119</v>
      </c>
      <c r="S22" s="28">
        <f>+MIN('Data #1'!AC22:AE22,'Data #2'!AC22:AE22,'Data #3'!AC22:AE22,'Data #4'!AC22:AE22,'Data #5'!AC22:AE22)</f>
        <v>20</v>
      </c>
      <c r="T22" s="28">
        <f>+MAX('Data #1'!AC22:AE22,'Data #2'!AC22:AE22,'Data #3'!AC22:AE22,'Data #4'!AC22:AE22,'Data #5'!AC22:AE22)</f>
        <v>116.63999999999999</v>
      </c>
      <c r="V22" s="20">
        <v>250</v>
      </c>
      <c r="W22" s="28">
        <f>+AVERAGE('Data #1'!AI22,'Data #2'!AI22,'Data #3'!AI22,'Data #4'!AI22,'Data #4'!AI22)</f>
        <v>26.832000000000001</v>
      </c>
      <c r="X22" s="28">
        <f t="shared" si="1"/>
        <v>36.832000000000001</v>
      </c>
      <c r="AB22" s="21">
        <v>250</v>
      </c>
      <c r="AC22" s="10">
        <v>-10</v>
      </c>
      <c r="AD22" s="10">
        <v>10</v>
      </c>
      <c r="AH22">
        <f>MAX('Data #1'!C22,'Data #2'!C22,'Data #3'!C22,'Data #4'!C22,'Data #5'!C22)</f>
        <v>-50.86</v>
      </c>
      <c r="AI22">
        <f>MAX('Data #1'!D22,'Data #2'!D22,'Data #3'!D22,'Data #4'!D22,'Data #5'!D22)</f>
        <v>-50.55</v>
      </c>
      <c r="AJ22">
        <f>MAX('Data #1'!E22,'Data #2'!E22,'Data #3'!E22,'Data #4'!E22,'Data #5'!E22)</f>
        <v>-48.44</v>
      </c>
      <c r="AK22">
        <f>MAX('Data #1'!F22,'Data #2'!F22,'Data #3'!F22,'Data #4'!F22,'Data #5'!F22)</f>
        <v>-61.75</v>
      </c>
      <c r="AL22">
        <f>MAX('Data #1'!G22,'Data #2'!G22,'Data #3'!G22,'Data #4'!G22,'Data #5'!G22)</f>
        <v>-62.48</v>
      </c>
      <c r="AM22">
        <f>MAX('Data #1'!H22,'Data #2'!H22,'Data #3'!H22,'Data #4'!H22,'Data #5'!H22)</f>
        <v>-55.42</v>
      </c>
      <c r="AN22">
        <f>MIN('Data #1'!C22,'Data #2'!C22,'Data #3'!C22,'Data #4'!C22,'Data #5'!C22)</f>
        <v>-50.86</v>
      </c>
      <c r="AO22">
        <f>MIN('Data #1'!D22,'Data #2'!D22,'Data #3'!D22,'Data #4'!D22,'Data #5'!D22)</f>
        <v>-50.55</v>
      </c>
      <c r="AP22">
        <f>MIN('Data #1'!E22,'Data #2'!E22,'Data #3'!E22,'Data #4'!E22,'Data #5'!E22)</f>
        <v>-48.44</v>
      </c>
      <c r="AQ22">
        <f>MIN('Data #1'!F22,'Data #2'!F22,'Data #3'!F22,'Data #4'!F22,'Data #5'!F22)</f>
        <v>-61.75</v>
      </c>
      <c r="AR22">
        <f>MIN('Data #1'!G22,'Data #2'!G22,'Data #3'!G22,'Data #4'!G22,'Data #5'!G22)</f>
        <v>-62.48</v>
      </c>
      <c r="AS22">
        <f>MIN('Data #1'!H22,'Data #2'!H22,'Data #3'!H22,'Data #4'!H22,'Data #5'!H22)</f>
        <v>-55.42</v>
      </c>
      <c r="AT22">
        <f t="shared" si="4"/>
        <v>0</v>
      </c>
      <c r="AU22">
        <f t="shared" si="5"/>
        <v>0</v>
      </c>
      <c r="AV22">
        <f t="shared" si="6"/>
        <v>0</v>
      </c>
      <c r="AW22">
        <f t="shared" si="7"/>
        <v>0</v>
      </c>
      <c r="AX22">
        <f t="shared" si="8"/>
        <v>0</v>
      </c>
      <c r="AY22">
        <f t="shared" si="9"/>
        <v>0</v>
      </c>
      <c r="AZ22">
        <v>7.0483000000000011</v>
      </c>
      <c r="BA22">
        <v>10.974499999999999</v>
      </c>
      <c r="BB22">
        <v>8.2296999999999976</v>
      </c>
      <c r="BC22">
        <v>4.1285000000000025</v>
      </c>
      <c r="BD22">
        <v>7.5090999999999966</v>
      </c>
      <c r="BE22">
        <v>6.4029999999999987</v>
      </c>
      <c r="BF22">
        <f t="shared" si="10"/>
        <v>-7.0483000000000011</v>
      </c>
      <c r="BG22">
        <f t="shared" si="11"/>
        <v>-10.974499999999999</v>
      </c>
      <c r="BH22">
        <f t="shared" si="12"/>
        <v>-8.2296999999999976</v>
      </c>
      <c r="BI22">
        <f t="shared" si="13"/>
        <v>-4.1285000000000025</v>
      </c>
      <c r="BJ22">
        <f t="shared" si="14"/>
        <v>-7.5090999999999966</v>
      </c>
      <c r="BK22">
        <f t="shared" si="15"/>
        <v>-6.4029999999999987</v>
      </c>
    </row>
    <row r="23" spans="2:63">
      <c r="B23" s="19">
        <v>265</v>
      </c>
      <c r="C23" s="27">
        <f>+AVERAGE('Data #1'!W23,'Data #2'!W23,'Data #3'!W23,'Data #4'!W23,'Data #5'!W23)</f>
        <v>37.896666666666668</v>
      </c>
      <c r="D23" s="27">
        <f>+C23+STDEV('Data #1'!R23:T23,'Data #2'!R23:T23,'Data #3'!R23:T23,'Data #4'!R23:T23,'Data #5'!R23:T23)</f>
        <v>74.967926359831864</v>
      </c>
      <c r="E23" s="27">
        <f>+C23-STDEV('Data #1'!R23:T23,'Data #2'!R23:T23,'Data #3'!R23:T23,'Data #4'!R23:T23,'Data #5'!R23:T23)</f>
        <v>0.8254069735014653</v>
      </c>
      <c r="F23" s="27">
        <f>+MIN('Data #1'!R23:T23,'Data #2'!R23:T23,'Data #3'!R23:T23,'Data #4'!R23:T23,'Data #5'!R23:T23)</f>
        <v>20</v>
      </c>
      <c r="G23" s="27">
        <f>+MAX('Data #1'!R23:T23,'Data #2'!R23:T23,'Data #3'!R23:T23,'Data #4'!R23:T23,'Data #5'!R23:T23)</f>
        <v>112.22999999999999</v>
      </c>
      <c r="I23" s="19">
        <v>265</v>
      </c>
      <c r="J23" s="27">
        <f>+AVERAGE('Data #1'!X23,'Data #2'!X23,'Data #3'!X23,'Data #4'!X23,'Data #5'!X23)</f>
        <v>26.910000000000004</v>
      </c>
      <c r="K23" s="27">
        <f t="shared" si="0"/>
        <v>36.910000000000004</v>
      </c>
      <c r="O23" s="20">
        <v>265</v>
      </c>
      <c r="P23" s="28">
        <f>+AVERAGE('Data #1'!AH23,'Data #2'!AH23,'Data #3'!AH23,'Data #4'!AH23,'Data #5'!AH23)</f>
        <v>38.847333333333339</v>
      </c>
      <c r="Q23" s="28">
        <f>+P23+STDEV('Data #1'!AC23:AE23,'Data #2'!AC23:AE23,'Data #3'!AC23:AE23,'Data #4'!AC23:AE23,'Data #5'!AC23:AE23)</f>
        <v>77.898943409280392</v>
      </c>
      <c r="R23" s="28">
        <f>+P23-STDEV('Data #1'!AC23:AE23,'Data #2'!AC23:AE23,'Data #3'!AC23:AE23,'Data #4'!AC23:AE23,'Data #5'!AC23:AE23)</f>
        <v>-0.20427674261371465</v>
      </c>
      <c r="S23" s="28">
        <f>+MIN('Data #1'!AC23:AE23,'Data #2'!AC23:AE23,'Data #3'!AC23:AE23,'Data #4'!AC23:AE23,'Data #5'!AC23:AE23)</f>
        <v>20</v>
      </c>
      <c r="T23" s="28">
        <f>+MAX('Data #1'!AC23:AE23,'Data #2'!AC23:AE23,'Data #3'!AC23:AE23,'Data #4'!AC23:AE23,'Data #5'!AC23:AE23)</f>
        <v>118.95</v>
      </c>
      <c r="V23" s="20">
        <v>265</v>
      </c>
      <c r="W23" s="28">
        <f>+AVERAGE('Data #1'!AI23,'Data #2'!AI23,'Data #3'!AI23,'Data #4'!AI23,'Data #4'!AI23)</f>
        <v>26.9</v>
      </c>
      <c r="X23" s="28">
        <f t="shared" si="1"/>
        <v>36.9</v>
      </c>
      <c r="AB23" s="21">
        <v>265</v>
      </c>
      <c r="AC23" s="10">
        <v>-10</v>
      </c>
      <c r="AD23" s="10">
        <v>10</v>
      </c>
      <c r="AH23">
        <f>MAX('Data #1'!C23,'Data #2'!C23,'Data #3'!C23,'Data #4'!C23,'Data #5'!C23)</f>
        <v>-55.92</v>
      </c>
      <c r="AI23">
        <f>MAX('Data #1'!D23,'Data #2'!D23,'Data #3'!D23,'Data #4'!D23,'Data #5'!D23)</f>
        <v>-51.2</v>
      </c>
      <c r="AJ23">
        <f>MAX('Data #1'!E23,'Data #2'!E23,'Data #3'!E23,'Data #4'!E23,'Data #5'!E23)</f>
        <v>-57.68</v>
      </c>
      <c r="AK23">
        <f>MAX('Data #1'!F23,'Data #2'!F23,'Data #3'!F23,'Data #4'!F23,'Data #5'!F23)</f>
        <v>-64.45</v>
      </c>
      <c r="AL23">
        <f>MAX('Data #1'!G23,'Data #2'!G23,'Data #3'!G23,'Data #4'!G23,'Data #5'!G23)</f>
        <v>-58.75</v>
      </c>
      <c r="AM23">
        <f>MAX('Data #1'!H23,'Data #2'!H23,'Data #3'!H23,'Data #4'!H23,'Data #5'!H23)</f>
        <v>-56.01</v>
      </c>
      <c r="AN23">
        <f>MIN('Data #1'!C23,'Data #2'!C23,'Data #3'!C23,'Data #4'!C23,'Data #5'!C23)</f>
        <v>-55.92</v>
      </c>
      <c r="AO23">
        <f>MIN('Data #1'!D23,'Data #2'!D23,'Data #3'!D23,'Data #4'!D23,'Data #5'!D23)</f>
        <v>-51.2</v>
      </c>
      <c r="AP23">
        <f>MIN('Data #1'!E23,'Data #2'!E23,'Data #3'!E23,'Data #4'!E23,'Data #5'!E23)</f>
        <v>-57.68</v>
      </c>
      <c r="AQ23">
        <f>MIN('Data #1'!F23,'Data #2'!F23,'Data #3'!F23,'Data #4'!F23,'Data #5'!F23)</f>
        <v>-64.45</v>
      </c>
      <c r="AR23">
        <f>MIN('Data #1'!G23,'Data #2'!G23,'Data #3'!G23,'Data #4'!G23,'Data #5'!G23)</f>
        <v>-58.75</v>
      </c>
      <c r="AS23">
        <f>MIN('Data #1'!H23,'Data #2'!H23,'Data #3'!H23,'Data #4'!H23,'Data #5'!H23)</f>
        <v>-56.01</v>
      </c>
      <c r="AT23">
        <f t="shared" si="4"/>
        <v>0</v>
      </c>
      <c r="AU23">
        <f t="shared" si="5"/>
        <v>0</v>
      </c>
      <c r="AV23">
        <f t="shared" si="6"/>
        <v>0</v>
      </c>
      <c r="AW23">
        <f t="shared" si="7"/>
        <v>0</v>
      </c>
      <c r="AX23">
        <f t="shared" si="8"/>
        <v>0</v>
      </c>
      <c r="AY23">
        <f t="shared" si="9"/>
        <v>0</v>
      </c>
      <c r="AZ23">
        <v>8.1972000000000023</v>
      </c>
      <c r="BA23">
        <v>10.194400000000002</v>
      </c>
      <c r="BB23">
        <v>7.075999999999997</v>
      </c>
      <c r="BC23">
        <v>2.1110000000000007</v>
      </c>
      <c r="BD23">
        <v>5.7900999999999989</v>
      </c>
      <c r="BE23">
        <v>7.3030000000000008</v>
      </c>
      <c r="BF23">
        <f t="shared" si="10"/>
        <v>-8.1972000000000023</v>
      </c>
      <c r="BG23">
        <f t="shared" si="11"/>
        <v>-10.194400000000002</v>
      </c>
      <c r="BH23">
        <f t="shared" si="12"/>
        <v>-7.075999999999997</v>
      </c>
      <c r="BI23">
        <f t="shared" si="13"/>
        <v>-2.1110000000000007</v>
      </c>
      <c r="BJ23">
        <f t="shared" si="14"/>
        <v>-5.7900999999999989</v>
      </c>
      <c r="BK23">
        <f t="shared" si="15"/>
        <v>-7.3030000000000008</v>
      </c>
    </row>
    <row r="24" spans="2:63">
      <c r="B24" s="19">
        <v>280</v>
      </c>
      <c r="C24" s="27">
        <f>+AVERAGE('Data #1'!W24,'Data #2'!W24,'Data #3'!W24,'Data #4'!W24,'Data #5'!W24)</f>
        <v>37.001333333333335</v>
      </c>
      <c r="D24" s="27">
        <f>+C24+STDEV('Data #1'!R24:T24,'Data #2'!R24:T24,'Data #3'!R24:T24,'Data #4'!R24:T24,'Data #5'!R24:T24)</f>
        <v>72.206823746592676</v>
      </c>
      <c r="E24" s="27">
        <f>+C24-STDEV('Data #1'!R24:T24,'Data #2'!R24:T24,'Data #3'!R24:T24,'Data #4'!R24:T24,'Data #5'!R24:T24)</f>
        <v>1.7958429200740014</v>
      </c>
      <c r="F24" s="27">
        <f>+MIN('Data #1'!R24:T24,'Data #2'!R24:T24,'Data #3'!R24:T24,'Data #4'!R24:T24,'Data #5'!R24:T24)</f>
        <v>20</v>
      </c>
      <c r="G24" s="27">
        <f>+MAX('Data #1'!R24:T24,'Data #2'!R24:T24,'Data #3'!R24:T24,'Data #4'!R24:T24,'Data #5'!R24:T24)</f>
        <v>107.19</v>
      </c>
      <c r="I24" s="19">
        <v>280</v>
      </c>
      <c r="J24" s="27">
        <f>+AVERAGE('Data #1'!X24,'Data #2'!X24,'Data #3'!X24,'Data #4'!X24,'Data #5'!X24)</f>
        <v>26.988</v>
      </c>
      <c r="K24" s="27">
        <f t="shared" si="0"/>
        <v>36.988</v>
      </c>
      <c r="O24" s="20">
        <v>280</v>
      </c>
      <c r="P24" s="28">
        <f>+AVERAGE('Data #1'!AH24,'Data #2'!AH24,'Data #3'!AH24,'Data #4'!AH24,'Data #5'!AH24)</f>
        <v>37.841999999999999</v>
      </c>
      <c r="Q24" s="28">
        <f>+P24+STDEV('Data #1'!AC24:AE24,'Data #2'!AC24:AE24,'Data #3'!AC24:AE24,'Data #4'!AC24:AE24,'Data #5'!AC24:AE24)</f>
        <v>74.850409507647242</v>
      </c>
      <c r="R24" s="28">
        <f>+P24-STDEV('Data #1'!AC24:AE24,'Data #2'!AC24:AE24,'Data #3'!AC24:AE24,'Data #4'!AC24:AE24,'Data #5'!AC24:AE24)</f>
        <v>0.83359049235276217</v>
      </c>
      <c r="S24" s="28">
        <f>+MIN('Data #1'!AC24:AE24,'Data #2'!AC24:AE24,'Data #3'!AC24:AE24,'Data #4'!AC24:AE24,'Data #5'!AC24:AE24)</f>
        <v>20</v>
      </c>
      <c r="T24" s="28">
        <f>+MAX('Data #1'!AC24:AE24,'Data #2'!AC24:AE24,'Data #3'!AC24:AE24,'Data #4'!AC24:AE24,'Data #5'!AC24:AE24)</f>
        <v>114.77</v>
      </c>
      <c r="V24" s="20">
        <v>280</v>
      </c>
      <c r="W24" s="28">
        <f>+AVERAGE('Data #1'!AI24,'Data #2'!AI24,'Data #3'!AI24,'Data #4'!AI24,'Data #4'!AI24)</f>
        <v>26.981999999999999</v>
      </c>
      <c r="X24" s="28">
        <f t="shared" si="1"/>
        <v>36.981999999999999</v>
      </c>
      <c r="AB24" s="21">
        <v>280</v>
      </c>
      <c r="AC24" s="10">
        <v>-10</v>
      </c>
      <c r="AD24" s="10">
        <v>10</v>
      </c>
      <c r="AH24">
        <f>MAX('Data #1'!C24,'Data #2'!C24,'Data #3'!C24,'Data #4'!C24,'Data #5'!C24)</f>
        <v>-52.25</v>
      </c>
      <c r="AI24">
        <f>MAX('Data #1'!D24,'Data #2'!D24,'Data #3'!D24,'Data #4'!D24,'Data #5'!D24)</f>
        <v>-47.95</v>
      </c>
      <c r="AJ24">
        <f>MAX('Data #1'!E24,'Data #2'!E24,'Data #3'!E24,'Data #4'!E24,'Data #5'!E24)</f>
        <v>-50</v>
      </c>
      <c r="AK24">
        <f>MAX('Data #1'!F24,'Data #2'!F24,'Data #3'!F24,'Data #4'!F24,'Data #5'!F24)</f>
        <v>-47.77</v>
      </c>
      <c r="AL24">
        <f>MAX('Data #1'!G24,'Data #2'!G24,'Data #3'!G24,'Data #4'!G24,'Data #5'!G24)</f>
        <v>-55.27</v>
      </c>
      <c r="AM24">
        <f>MAX('Data #1'!H24,'Data #2'!H24,'Data #3'!H24,'Data #4'!H24,'Data #5'!H24)</f>
        <v>-59.86</v>
      </c>
      <c r="AN24">
        <f>MIN('Data #1'!C24,'Data #2'!C24,'Data #3'!C24,'Data #4'!C24,'Data #5'!C24)</f>
        <v>-52.25</v>
      </c>
      <c r="AO24">
        <f>MIN('Data #1'!D24,'Data #2'!D24,'Data #3'!D24,'Data #4'!D24,'Data #5'!D24)</f>
        <v>-47.95</v>
      </c>
      <c r="AP24">
        <f>MIN('Data #1'!E24,'Data #2'!E24,'Data #3'!E24,'Data #4'!E24,'Data #5'!E24)</f>
        <v>-50</v>
      </c>
      <c r="AQ24">
        <f>MIN('Data #1'!F24,'Data #2'!F24,'Data #3'!F24,'Data #4'!F24,'Data #5'!F24)</f>
        <v>-47.77</v>
      </c>
      <c r="AR24">
        <f>MIN('Data #1'!G24,'Data #2'!G24,'Data #3'!G24,'Data #4'!G24,'Data #5'!G24)</f>
        <v>-55.27</v>
      </c>
      <c r="AS24">
        <f>MIN('Data #1'!H24,'Data #2'!H24,'Data #3'!H24,'Data #4'!H24,'Data #5'!H24)</f>
        <v>-59.86</v>
      </c>
      <c r="AT24">
        <f t="shared" si="4"/>
        <v>0</v>
      </c>
      <c r="AU24">
        <f t="shared" si="5"/>
        <v>0</v>
      </c>
      <c r="AV24">
        <f t="shared" si="6"/>
        <v>0</v>
      </c>
      <c r="AW24">
        <f t="shared" si="7"/>
        <v>0</v>
      </c>
      <c r="AX24">
        <f t="shared" si="8"/>
        <v>0</v>
      </c>
      <c r="AY24">
        <f t="shared" si="9"/>
        <v>0</v>
      </c>
      <c r="AZ24">
        <v>5.9455000000000027</v>
      </c>
      <c r="BA24">
        <v>13.286400000000002</v>
      </c>
      <c r="BB24">
        <v>2.014400000000002</v>
      </c>
      <c r="BC24">
        <v>2.1905999999999999</v>
      </c>
      <c r="BD24">
        <v>5.7555999999999976</v>
      </c>
      <c r="BE24">
        <v>4.6844000000000001</v>
      </c>
      <c r="BF24">
        <f t="shared" si="10"/>
        <v>-5.9455000000000027</v>
      </c>
      <c r="BG24">
        <f t="shared" si="11"/>
        <v>-13.286400000000002</v>
      </c>
      <c r="BH24">
        <f t="shared" si="12"/>
        <v>-2.014400000000002</v>
      </c>
      <c r="BI24">
        <f t="shared" si="13"/>
        <v>-2.1905999999999999</v>
      </c>
      <c r="BJ24">
        <f t="shared" si="14"/>
        <v>-5.7555999999999976</v>
      </c>
      <c r="BK24">
        <f t="shared" si="15"/>
        <v>-4.6844000000000001</v>
      </c>
    </row>
    <row r="25" spans="2:63">
      <c r="B25" s="19">
        <v>300</v>
      </c>
      <c r="C25" s="27">
        <f>+AVERAGE('Data #1'!W25,'Data #2'!W25,'Data #3'!W25,'Data #4'!W25,'Data #5'!W25)</f>
        <v>37.316666666666663</v>
      </c>
      <c r="D25" s="27">
        <f>+C25+STDEV('Data #1'!R25:T25,'Data #2'!R25:T25,'Data #3'!R25:T25,'Data #4'!R25:T25,'Data #5'!R25:T25)</f>
        <v>73.173007740988439</v>
      </c>
      <c r="E25" s="27">
        <f>+C25-STDEV('Data #1'!R25:T25,'Data #2'!R25:T25,'Data #3'!R25:T25,'Data #4'!R25:T25,'Data #5'!R25:T25)</f>
        <v>1.460325592344887</v>
      </c>
      <c r="F25" s="27">
        <f>+MIN('Data #1'!R25:T25,'Data #2'!R25:T25,'Data #3'!R25:T25,'Data #4'!R25:T25,'Data #5'!R25:T25)</f>
        <v>20</v>
      </c>
      <c r="G25" s="27">
        <f>+MAX('Data #1'!R25:T25,'Data #2'!R25:T25,'Data #3'!R25:T25,'Data #4'!R25:T25,'Data #5'!R25:T25)</f>
        <v>108.72</v>
      </c>
      <c r="I25" s="19">
        <v>300</v>
      </c>
      <c r="J25" s="27">
        <f>+AVERAGE('Data #1'!X25,'Data #2'!X25,'Data #3'!X25,'Data #4'!X25,'Data #5'!X25)</f>
        <v>27.092000000000002</v>
      </c>
      <c r="K25" s="27">
        <f t="shared" si="0"/>
        <v>37.091999999999999</v>
      </c>
      <c r="O25" s="20">
        <v>300</v>
      </c>
      <c r="P25" s="28">
        <f>+AVERAGE('Data #1'!AH25,'Data #2'!AH25,'Data #3'!AH25,'Data #4'!AH25,'Data #5'!AH25)</f>
        <v>39.049999999999997</v>
      </c>
      <c r="Q25" s="28">
        <f>+P25+STDEV('Data #1'!AC25:AE25,'Data #2'!AC25:AE25,'Data #3'!AC25:AE25,'Data #4'!AC25:AE25,'Data #5'!AC25:AE25)</f>
        <v>78.59602345911118</v>
      </c>
      <c r="R25" s="28">
        <f>+P25-STDEV('Data #1'!AC25:AE25,'Data #2'!AC25:AE25,'Data #3'!AC25:AE25,'Data #4'!AC25:AE25,'Data #5'!AC25:AE25)</f>
        <v>-0.49602345911118562</v>
      </c>
      <c r="S25" s="28">
        <f>+MIN('Data #1'!AC25:AE25,'Data #2'!AC25:AE25,'Data #3'!AC25:AE25,'Data #4'!AC25:AE25,'Data #5'!AC25:AE25)</f>
        <v>20</v>
      </c>
      <c r="T25" s="28">
        <f>+MAX('Data #1'!AC25:AE25,'Data #2'!AC25:AE25,'Data #3'!AC25:AE25,'Data #4'!AC25:AE25,'Data #5'!AC25:AE25)</f>
        <v>120.69</v>
      </c>
      <c r="V25" s="20">
        <v>300</v>
      </c>
      <c r="W25" s="28">
        <f>+AVERAGE('Data #1'!AI25,'Data #2'!AI25,'Data #3'!AI25,'Data #4'!AI25,'Data #4'!AI25)</f>
        <v>27.064</v>
      </c>
      <c r="X25" s="28">
        <f t="shared" si="1"/>
        <v>37.064</v>
      </c>
      <c r="AB25" s="21">
        <v>300</v>
      </c>
      <c r="AC25" s="10">
        <v>-10</v>
      </c>
      <c r="AD25" s="10">
        <v>10</v>
      </c>
      <c r="AH25">
        <f>MAX('Data #1'!C25,'Data #2'!C25,'Data #3'!C25,'Data #4'!C25,'Data #5'!C25)</f>
        <v>-53.26</v>
      </c>
      <c r="AI25">
        <f>MAX('Data #1'!D25,'Data #2'!D25,'Data #3'!D25,'Data #4'!D25,'Data #5'!D25)</f>
        <v>-49.5</v>
      </c>
      <c r="AJ25">
        <f>MAX('Data #1'!E25,'Data #2'!E25,'Data #3'!E25,'Data #4'!E25,'Data #5'!E25)</f>
        <v>-50.61</v>
      </c>
      <c r="AK25">
        <f>MAX('Data #1'!F25,'Data #2'!F25,'Data #3'!F25,'Data #4'!F25,'Data #5'!F25)</f>
        <v>-65.37</v>
      </c>
      <c r="AL25">
        <f>MAX('Data #1'!G25,'Data #2'!G25,'Data #3'!G25,'Data #4'!G25,'Data #5'!G25)</f>
        <v>-51.05</v>
      </c>
      <c r="AM25">
        <f>MAX('Data #1'!H25,'Data #2'!H25,'Data #3'!H25,'Data #4'!H25,'Data #5'!H25)</f>
        <v>-63.37</v>
      </c>
      <c r="AN25">
        <f>MIN('Data #1'!C25,'Data #2'!C25,'Data #3'!C25,'Data #4'!C25,'Data #5'!C25)</f>
        <v>-53.26</v>
      </c>
      <c r="AO25">
        <f>MIN('Data #1'!D25,'Data #2'!D25,'Data #3'!D25,'Data #4'!D25,'Data #5'!D25)</f>
        <v>-49.5</v>
      </c>
      <c r="AP25">
        <f>MIN('Data #1'!E25,'Data #2'!E25,'Data #3'!E25,'Data #4'!E25,'Data #5'!E25)</f>
        <v>-50.61</v>
      </c>
      <c r="AQ25">
        <f>MIN('Data #1'!F25,'Data #2'!F25,'Data #3'!F25,'Data #4'!F25,'Data #5'!F25)</f>
        <v>-65.37</v>
      </c>
      <c r="AR25">
        <f>MIN('Data #1'!G25,'Data #2'!G25,'Data #3'!G25,'Data #4'!G25,'Data #5'!G25)</f>
        <v>-51.05</v>
      </c>
      <c r="AS25">
        <f>MIN('Data #1'!H25,'Data #2'!H25,'Data #3'!H25,'Data #4'!H25,'Data #5'!H25)</f>
        <v>-63.37</v>
      </c>
      <c r="AT25">
        <f t="shared" si="4"/>
        <v>0</v>
      </c>
      <c r="AU25">
        <f t="shared" si="5"/>
        <v>0</v>
      </c>
      <c r="AV25">
        <f t="shared" si="6"/>
        <v>0</v>
      </c>
      <c r="AW25">
        <f t="shared" si="7"/>
        <v>0</v>
      </c>
      <c r="AX25">
        <f t="shared" si="8"/>
        <v>0</v>
      </c>
      <c r="AY25">
        <f t="shared" si="9"/>
        <v>0</v>
      </c>
      <c r="AZ25">
        <v>4.7711000000000006</v>
      </c>
      <c r="BA25">
        <v>5.2409999999999979</v>
      </c>
      <c r="BB25">
        <v>10.771300000000004</v>
      </c>
      <c r="BC25">
        <v>3.9144000000000005</v>
      </c>
      <c r="BD25">
        <v>2.0861000000000018</v>
      </c>
      <c r="BE25">
        <v>12.112099999999998</v>
      </c>
      <c r="BF25">
        <f t="shared" si="10"/>
        <v>-4.7711000000000006</v>
      </c>
      <c r="BG25">
        <f t="shared" si="11"/>
        <v>-5.2409999999999979</v>
      </c>
      <c r="BH25">
        <f t="shared" si="12"/>
        <v>-10.771300000000004</v>
      </c>
      <c r="BI25">
        <f t="shared" si="13"/>
        <v>-3.9144000000000005</v>
      </c>
      <c r="BJ25">
        <f t="shared" si="14"/>
        <v>-2.0861000000000018</v>
      </c>
      <c r="BK25">
        <f t="shared" si="15"/>
        <v>-12.112099999999998</v>
      </c>
    </row>
    <row r="26" spans="2:63">
      <c r="B26" s="19">
        <v>315</v>
      </c>
      <c r="C26" s="27">
        <f>+AVERAGE('Data #1'!W26,'Data #2'!W26,'Data #3'!W26,'Data #4'!W26,'Data #5'!W26)</f>
        <v>35.975999999999999</v>
      </c>
      <c r="D26" s="27">
        <f>+C26+STDEV('Data #1'!R26:T26,'Data #2'!R26:T26,'Data #3'!R26:T26,'Data #4'!R26:T26,'Data #5'!R26:T26)</f>
        <v>69.084390132153175</v>
      </c>
      <c r="E26" s="27">
        <f>+C26-STDEV('Data #1'!R26:T26,'Data #2'!R26:T26,'Data #3'!R26:T26,'Data #4'!R26:T26,'Data #5'!R26:T26)</f>
        <v>2.8676098678468307</v>
      </c>
      <c r="F26" s="27">
        <f>+MIN('Data #1'!R26:T26,'Data #2'!R26:T26,'Data #3'!R26:T26,'Data #4'!R26:T26,'Data #5'!R26:T26)</f>
        <v>20</v>
      </c>
      <c r="G26" s="27">
        <f>+MAX('Data #1'!R26:T26,'Data #2'!R26:T26,'Data #3'!R26:T26,'Data #4'!R26:T26,'Data #5'!R26:T26)</f>
        <v>102.84</v>
      </c>
      <c r="I26" s="19">
        <v>315</v>
      </c>
      <c r="J26" s="27">
        <f>+AVERAGE('Data #1'!X26,'Data #2'!X26,'Data #3'!X26,'Data #4'!X26,'Data #5'!X26)</f>
        <v>27.177999999999997</v>
      </c>
      <c r="K26" s="27">
        <f t="shared" si="0"/>
        <v>37.177999999999997</v>
      </c>
      <c r="O26" s="20">
        <v>315</v>
      </c>
      <c r="P26" s="28">
        <f>+AVERAGE('Data #1'!AH26,'Data #2'!AH26,'Data #3'!AH26,'Data #4'!AH26,'Data #5'!AH26)</f>
        <v>37.215999999999994</v>
      </c>
      <c r="Q26" s="28">
        <f>+P26+STDEV('Data #1'!AC26:AE26,'Data #2'!AC26:AE26,'Data #3'!AC26:AE26,'Data #4'!AC26:AE26,'Data #5'!AC26:AE26)</f>
        <v>72.859590848446061</v>
      </c>
      <c r="R26" s="28">
        <f>+P26-STDEV('Data #1'!AC26:AE26,'Data #2'!AC26:AE26,'Data #3'!AC26:AE26,'Data #4'!AC26:AE26,'Data #5'!AC26:AE26)</f>
        <v>1.5724091515539342</v>
      </c>
      <c r="S26" s="28">
        <f>+MIN('Data #1'!AC26:AE26,'Data #2'!AC26:AE26,'Data #3'!AC26:AE26,'Data #4'!AC26:AE26,'Data #5'!AC26:AE26)</f>
        <v>20</v>
      </c>
      <c r="T26" s="28">
        <f>+MAX('Data #1'!AC26:AE26,'Data #2'!AC26:AE26,'Data #3'!AC26:AE26,'Data #4'!AC26:AE26,'Data #5'!AC26:AE26)</f>
        <v>107.50999999999999</v>
      </c>
      <c r="V26" s="20">
        <v>315</v>
      </c>
      <c r="W26" s="28">
        <f>+AVERAGE('Data #1'!AI26,'Data #2'!AI26,'Data #3'!AI26,'Data #4'!AI26,'Data #4'!AI26)</f>
        <v>27.163999999999998</v>
      </c>
      <c r="X26" s="28">
        <f t="shared" si="1"/>
        <v>37.164000000000001</v>
      </c>
      <c r="AB26" s="21">
        <v>315</v>
      </c>
      <c r="AC26" s="10">
        <v>-10</v>
      </c>
      <c r="AD26" s="10">
        <v>10</v>
      </c>
      <c r="AH26">
        <f>MAX('Data #1'!C26,'Data #2'!C26,'Data #3'!C26,'Data #4'!C26,'Data #5'!C26)</f>
        <v>-45.61</v>
      </c>
      <c r="AI26">
        <f>MAX('Data #1'!D26,'Data #2'!D26,'Data #3'!D26,'Data #4'!D26,'Data #5'!D26)</f>
        <v>-46.95</v>
      </c>
      <c r="AJ26">
        <f>MAX('Data #1'!E26,'Data #2'!E26,'Data #3'!E26,'Data #4'!E26,'Data #5'!E26)</f>
        <v>-39.409999999999997</v>
      </c>
      <c r="AK26">
        <f>MAX('Data #1'!F26,'Data #2'!F26,'Data #3'!F26,'Data #4'!F26,'Data #5'!F26)</f>
        <v>-51.69</v>
      </c>
      <c r="AL26">
        <f>MAX('Data #1'!G26,'Data #2'!G26,'Data #3'!G26,'Data #4'!G26,'Data #5'!G26)</f>
        <v>-49.62</v>
      </c>
      <c r="AM26">
        <f>MAX('Data #1'!H26,'Data #2'!H26,'Data #3'!H26,'Data #4'!H26,'Data #5'!H26)</f>
        <v>-49.47</v>
      </c>
      <c r="AN26">
        <f>MIN('Data #1'!C26,'Data #2'!C26,'Data #3'!C26,'Data #4'!C26,'Data #5'!C26)</f>
        <v>-45.61</v>
      </c>
      <c r="AO26">
        <f>MIN('Data #1'!D26,'Data #2'!D26,'Data #3'!D26,'Data #4'!D26,'Data #5'!D26)</f>
        <v>-46.95</v>
      </c>
      <c r="AP26">
        <f>MIN('Data #1'!E26,'Data #2'!E26,'Data #3'!E26,'Data #4'!E26,'Data #5'!E26)</f>
        <v>-39.409999999999997</v>
      </c>
      <c r="AQ26">
        <f>MIN('Data #1'!F26,'Data #2'!F26,'Data #3'!F26,'Data #4'!F26,'Data #5'!F26)</f>
        <v>-51.69</v>
      </c>
      <c r="AR26">
        <f>MIN('Data #1'!G26,'Data #2'!G26,'Data #3'!G26,'Data #4'!G26,'Data #5'!G26)</f>
        <v>-49.62</v>
      </c>
      <c r="AS26">
        <f>MIN('Data #1'!H26,'Data #2'!H26,'Data #3'!H26,'Data #4'!H26,'Data #5'!H26)</f>
        <v>-49.47</v>
      </c>
      <c r="AT26">
        <f t="shared" si="4"/>
        <v>0</v>
      </c>
      <c r="AU26">
        <f t="shared" si="5"/>
        <v>0</v>
      </c>
      <c r="AV26">
        <f t="shared" si="6"/>
        <v>0</v>
      </c>
      <c r="AW26">
        <f t="shared" si="7"/>
        <v>0</v>
      </c>
      <c r="AX26">
        <f t="shared" si="8"/>
        <v>0</v>
      </c>
      <c r="AY26">
        <f t="shared" si="9"/>
        <v>0</v>
      </c>
      <c r="AZ26">
        <v>9.526600000000002</v>
      </c>
      <c r="BA26">
        <v>4.0052000000000003</v>
      </c>
      <c r="BB26">
        <v>5.1416000000000004</v>
      </c>
      <c r="BC26">
        <v>5.0999999999999979</v>
      </c>
      <c r="BD26">
        <v>7.177999999999999</v>
      </c>
      <c r="BE26">
        <v>5.8178999999999981</v>
      </c>
      <c r="BF26">
        <f t="shared" si="10"/>
        <v>-9.526600000000002</v>
      </c>
      <c r="BG26">
        <f t="shared" si="11"/>
        <v>-4.0052000000000003</v>
      </c>
      <c r="BH26">
        <f t="shared" si="12"/>
        <v>-5.1416000000000004</v>
      </c>
      <c r="BI26">
        <f t="shared" si="13"/>
        <v>-5.0999999999999979</v>
      </c>
      <c r="BJ26">
        <f t="shared" si="14"/>
        <v>-7.177999999999999</v>
      </c>
      <c r="BK26">
        <f t="shared" si="15"/>
        <v>-5.8178999999999981</v>
      </c>
    </row>
    <row r="27" spans="2:63">
      <c r="B27" s="19">
        <v>335</v>
      </c>
      <c r="C27" s="27">
        <f>+AVERAGE('Data #1'!W27,'Data #2'!W27,'Data #3'!W27,'Data #4'!W27,'Data #5'!W27)</f>
        <v>36.864666666666665</v>
      </c>
      <c r="D27" s="27">
        <f>+C27+STDEV('Data #1'!R27:T27,'Data #2'!R27:T27,'Data #3'!R27:T27,'Data #4'!R27:T27,'Data #5'!R27:T27)</f>
        <v>71.845989206940445</v>
      </c>
      <c r="E27" s="27">
        <f>+C27-STDEV('Data #1'!R27:T27,'Data #2'!R27:T27,'Data #3'!R27:T27,'Data #4'!R27:T27,'Data #5'!R27:T27)</f>
        <v>1.8833441263928847</v>
      </c>
      <c r="F27" s="27">
        <f>+MIN('Data #1'!R27:T27,'Data #2'!R27:T27,'Data #3'!R27:T27,'Data #4'!R27:T27,'Data #5'!R27:T27)</f>
        <v>20</v>
      </c>
      <c r="G27" s="27">
        <f>+MAX('Data #1'!R27:T27,'Data #2'!R27:T27,'Data #3'!R27:T27,'Data #4'!R27:T27,'Data #5'!R27:T27)</f>
        <v>110.22</v>
      </c>
      <c r="I27" s="19">
        <v>335</v>
      </c>
      <c r="J27" s="27">
        <f>+AVERAGE('Data #1'!X27,'Data #2'!X27,'Data #3'!X27,'Data #4'!X27,'Data #5'!X27)</f>
        <v>27.298000000000002</v>
      </c>
      <c r="K27" s="27">
        <f t="shared" si="0"/>
        <v>37.298000000000002</v>
      </c>
      <c r="O27" s="20">
        <v>335</v>
      </c>
      <c r="P27" s="28">
        <f>+AVERAGE('Data #1'!AH27,'Data #2'!AH27,'Data #3'!AH27,'Data #4'!AH27,'Data #5'!AH27)</f>
        <v>36.770666666666671</v>
      </c>
      <c r="Q27" s="28">
        <f>+P27+STDEV('Data #1'!AC27:AE27,'Data #2'!AC27:AE27,'Data #3'!AC27:AE27,'Data #4'!AC27:AE27,'Data #5'!AC27:AE27)</f>
        <v>71.497919749320175</v>
      </c>
      <c r="R27" s="28">
        <f>+P27-STDEV('Data #1'!AC27:AE27,'Data #2'!AC27:AE27,'Data #3'!AC27:AE27,'Data #4'!AC27:AE27,'Data #5'!AC27:AE27)</f>
        <v>2.0434135840131731</v>
      </c>
      <c r="S27" s="28">
        <f>+MIN('Data #1'!AC27:AE27,'Data #2'!AC27:AE27,'Data #3'!AC27:AE27,'Data #4'!AC27:AE27,'Data #5'!AC27:AE27)</f>
        <v>20</v>
      </c>
      <c r="T27" s="28">
        <f>+MAX('Data #1'!AC27:AE27,'Data #2'!AC27:AE27,'Data #3'!AC27:AE27,'Data #4'!AC27:AE27,'Data #5'!AC27:AE27)</f>
        <v>105.66</v>
      </c>
      <c r="V27" s="20">
        <v>335</v>
      </c>
      <c r="W27" s="28">
        <f>+AVERAGE('Data #1'!AI27,'Data #2'!AI27,'Data #3'!AI27,'Data #4'!AI27,'Data #4'!AI27)</f>
        <v>27.245999999999999</v>
      </c>
      <c r="X27" s="28">
        <f t="shared" si="1"/>
        <v>37.245999999999995</v>
      </c>
      <c r="AB27" s="21">
        <v>335</v>
      </c>
      <c r="AC27" s="10">
        <v>-10</v>
      </c>
      <c r="AD27" s="10">
        <v>10</v>
      </c>
      <c r="AH27">
        <f>MAX('Data #1'!C27,'Data #2'!C27,'Data #3'!C27,'Data #4'!C27,'Data #5'!C27)</f>
        <v>-47.58</v>
      </c>
      <c r="AI27">
        <f>MAX('Data #1'!D27,'Data #2'!D27,'Data #3'!D27,'Data #4'!D27,'Data #5'!D27)</f>
        <v>-53.73</v>
      </c>
      <c r="AJ27">
        <f>MAX('Data #1'!E27,'Data #2'!E27,'Data #3'!E27,'Data #4'!E27,'Data #5'!E27)</f>
        <v>-42.19</v>
      </c>
      <c r="AK27">
        <f>MAX('Data #1'!F27,'Data #2'!F27,'Data #3'!F27,'Data #4'!F27,'Data #5'!F27)</f>
        <v>-49.43</v>
      </c>
      <c r="AL27">
        <f>MAX('Data #1'!G27,'Data #2'!G27,'Data #3'!G27,'Data #4'!G27,'Data #5'!G27)</f>
        <v>-48.05</v>
      </c>
      <c r="AM27">
        <f>MAX('Data #1'!H27,'Data #2'!H27,'Data #3'!H27,'Data #4'!H27,'Data #5'!H27)</f>
        <v>-45.39</v>
      </c>
      <c r="AN27">
        <f>MIN('Data #1'!C27,'Data #2'!C27,'Data #3'!C27,'Data #4'!C27,'Data #5'!C27)</f>
        <v>-47.58</v>
      </c>
      <c r="AO27">
        <f>MIN('Data #1'!D27,'Data #2'!D27,'Data #3'!D27,'Data #4'!D27,'Data #5'!D27)</f>
        <v>-53.73</v>
      </c>
      <c r="AP27">
        <f>MIN('Data #1'!E27,'Data #2'!E27,'Data #3'!E27,'Data #4'!E27,'Data #5'!E27)</f>
        <v>-42.19</v>
      </c>
      <c r="AQ27">
        <f>MIN('Data #1'!F27,'Data #2'!F27,'Data #3'!F27,'Data #4'!F27,'Data #5'!F27)</f>
        <v>-49.43</v>
      </c>
      <c r="AR27">
        <f>MIN('Data #1'!G27,'Data #2'!G27,'Data #3'!G27,'Data #4'!G27,'Data #5'!G27)</f>
        <v>-48.05</v>
      </c>
      <c r="AS27">
        <f>MIN('Data #1'!H27,'Data #2'!H27,'Data #3'!H27,'Data #4'!H27,'Data #5'!H27)</f>
        <v>-45.39</v>
      </c>
      <c r="AT27">
        <f t="shared" si="4"/>
        <v>0</v>
      </c>
      <c r="AU27">
        <f t="shared" si="5"/>
        <v>0</v>
      </c>
      <c r="AV27">
        <f t="shared" si="6"/>
        <v>0</v>
      </c>
      <c r="AW27">
        <f t="shared" si="7"/>
        <v>0</v>
      </c>
      <c r="AX27">
        <f t="shared" si="8"/>
        <v>0</v>
      </c>
      <c r="AY27">
        <f t="shared" si="9"/>
        <v>0</v>
      </c>
      <c r="AZ27">
        <v>8.4114000000000004</v>
      </c>
      <c r="BA27">
        <v>4.2578999999999994</v>
      </c>
      <c r="BB27">
        <v>8.8780000000000001</v>
      </c>
      <c r="BC27">
        <v>7.3077000000000005</v>
      </c>
      <c r="BD27">
        <v>8.832399999999998</v>
      </c>
      <c r="BE27">
        <v>9.4128000000000007</v>
      </c>
      <c r="BF27">
        <f t="shared" si="10"/>
        <v>-8.4114000000000004</v>
      </c>
      <c r="BG27">
        <f t="shared" si="11"/>
        <v>-4.2578999999999994</v>
      </c>
      <c r="BH27">
        <f t="shared" si="12"/>
        <v>-8.8780000000000001</v>
      </c>
      <c r="BI27">
        <f t="shared" si="13"/>
        <v>-7.3077000000000005</v>
      </c>
      <c r="BJ27">
        <f t="shared" si="14"/>
        <v>-8.832399999999998</v>
      </c>
      <c r="BK27">
        <f t="shared" si="15"/>
        <v>-9.4128000000000007</v>
      </c>
    </row>
    <row r="28" spans="2:63">
      <c r="B28" s="19">
        <v>355</v>
      </c>
      <c r="C28" s="27">
        <f>+AVERAGE('Data #1'!W28,'Data #2'!W28,'Data #3'!W28,'Data #4'!W28,'Data #5'!W28)</f>
        <v>36.249333333333333</v>
      </c>
      <c r="D28" s="27">
        <f>+C28+STDEV('Data #1'!R28:T28,'Data #2'!R28:T28,'Data #3'!R28:T28,'Data #4'!R28:T28,'Data #5'!R28:T28)</f>
        <v>69.912533772529912</v>
      </c>
      <c r="E28" s="27">
        <f>+C28-STDEV('Data #1'!R28:T28,'Data #2'!R28:T28,'Data #3'!R28:T28,'Data #4'!R28:T28,'Data #5'!R28:T28)</f>
        <v>2.5861328941367603</v>
      </c>
      <c r="F28" s="27">
        <f>+MIN('Data #1'!R28:T28,'Data #2'!R28:T28,'Data #3'!R28:T28,'Data #4'!R28:T28,'Data #5'!R28:T28)</f>
        <v>20</v>
      </c>
      <c r="G28" s="27">
        <f>+MAX('Data #1'!R28:T28,'Data #2'!R28:T28,'Data #3'!R28:T28,'Data #4'!R28:T28,'Data #5'!R28:T28)</f>
        <v>104.79</v>
      </c>
      <c r="I28" s="19">
        <v>355</v>
      </c>
      <c r="J28" s="27">
        <f>+AVERAGE('Data #1'!X28,'Data #2'!X28,'Data #3'!X28,'Data #4'!X28,'Data #5'!X28)</f>
        <v>27.368000000000002</v>
      </c>
      <c r="K28" s="27">
        <f t="shared" si="0"/>
        <v>37.368000000000002</v>
      </c>
      <c r="O28" s="20">
        <v>355</v>
      </c>
      <c r="P28" s="28">
        <f>+AVERAGE('Data #1'!AH28,'Data #2'!AH28,'Data #3'!AH28,'Data #4'!AH28,'Data #5'!AH28)</f>
        <v>37.17</v>
      </c>
      <c r="Q28" s="28">
        <f>+P28+STDEV('Data #1'!AC28:AE28,'Data #2'!AC28:AE28,'Data #3'!AC28:AE28,'Data #4'!AC28:AE28,'Data #5'!AC28:AE28)</f>
        <v>72.719252152069657</v>
      </c>
      <c r="R28" s="28">
        <f>+P28-STDEV('Data #1'!AC28:AE28,'Data #2'!AC28:AE28,'Data #3'!AC28:AE28,'Data #4'!AC28:AE28,'Data #5'!AC28:AE28)</f>
        <v>1.6207478479303461</v>
      </c>
      <c r="S28" s="28">
        <f>+MIN('Data #1'!AC28:AE28,'Data #2'!AC28:AE28,'Data #3'!AC28:AE28,'Data #4'!AC28:AE28,'Data #5'!AC28:AE28)</f>
        <v>20</v>
      </c>
      <c r="T28" s="28">
        <f>+MAX('Data #1'!AC28:AE28,'Data #2'!AC28:AE28,'Data #3'!AC28:AE28,'Data #4'!AC28:AE28,'Data #5'!AC28:AE28)</f>
        <v>106.84</v>
      </c>
      <c r="V28" s="20">
        <v>355</v>
      </c>
      <c r="W28" s="28">
        <f>+AVERAGE('Data #1'!AI28,'Data #2'!AI28,'Data #3'!AI28,'Data #4'!AI28,'Data #4'!AI28)</f>
        <v>27.326000000000001</v>
      </c>
      <c r="X28" s="28">
        <f t="shared" si="1"/>
        <v>37.326000000000001</v>
      </c>
      <c r="AB28" s="21">
        <v>355</v>
      </c>
      <c r="AC28" s="10">
        <v>-10</v>
      </c>
      <c r="AD28" s="10">
        <v>10</v>
      </c>
      <c r="AH28">
        <f>MAX('Data #1'!C28,'Data #2'!C28,'Data #3'!C28,'Data #4'!C28,'Data #5'!C28)</f>
        <v>-43.99</v>
      </c>
      <c r="AI28">
        <f>MAX('Data #1'!D28,'Data #2'!D28,'Data #3'!D28,'Data #4'!D28,'Data #5'!D28)</f>
        <v>-47.95</v>
      </c>
      <c r="AJ28">
        <f>MAX('Data #1'!E28,'Data #2'!E28,'Data #3'!E28,'Data #4'!E28,'Data #5'!E28)</f>
        <v>-41.28</v>
      </c>
      <c r="AK28">
        <f>MAX('Data #1'!F28,'Data #2'!F28,'Data #3'!F28,'Data #4'!F28,'Data #5'!F28)</f>
        <v>-47.61</v>
      </c>
      <c r="AL28">
        <f>MAX('Data #1'!G28,'Data #2'!G28,'Data #3'!G28,'Data #4'!G28,'Data #5'!G28)</f>
        <v>-49.84</v>
      </c>
      <c r="AM28">
        <f>MAX('Data #1'!H28,'Data #2'!H28,'Data #3'!H28,'Data #4'!H28,'Data #5'!H28)</f>
        <v>-50.21</v>
      </c>
      <c r="AN28">
        <f>MIN('Data #1'!C28,'Data #2'!C28,'Data #3'!C28,'Data #4'!C28,'Data #5'!C28)</f>
        <v>-43.99</v>
      </c>
      <c r="AO28">
        <f>MIN('Data #1'!D28,'Data #2'!D28,'Data #3'!D28,'Data #4'!D28,'Data #5'!D28)</f>
        <v>-47.95</v>
      </c>
      <c r="AP28">
        <f>MIN('Data #1'!E28,'Data #2'!E28,'Data #3'!E28,'Data #4'!E28,'Data #5'!E28)</f>
        <v>-41.28</v>
      </c>
      <c r="AQ28">
        <f>MIN('Data #1'!F28,'Data #2'!F28,'Data #3'!F28,'Data #4'!F28,'Data #5'!F28)</f>
        <v>-47.61</v>
      </c>
      <c r="AR28">
        <f>MIN('Data #1'!G28,'Data #2'!G28,'Data #3'!G28,'Data #4'!G28,'Data #5'!G28)</f>
        <v>-49.84</v>
      </c>
      <c r="AS28">
        <f>MIN('Data #1'!H28,'Data #2'!H28,'Data #3'!H28,'Data #4'!H28,'Data #5'!H28)</f>
        <v>-50.21</v>
      </c>
      <c r="AT28">
        <f t="shared" si="4"/>
        <v>0</v>
      </c>
      <c r="AU28">
        <f t="shared" si="5"/>
        <v>0</v>
      </c>
      <c r="AV28">
        <f t="shared" si="6"/>
        <v>0</v>
      </c>
      <c r="AW28">
        <f t="shared" si="7"/>
        <v>0</v>
      </c>
      <c r="AX28">
        <f t="shared" si="8"/>
        <v>0</v>
      </c>
      <c r="AY28">
        <f t="shared" si="9"/>
        <v>0</v>
      </c>
      <c r="AZ28">
        <v>12.505699999999999</v>
      </c>
      <c r="BA28">
        <v>3.8866999999999994</v>
      </c>
      <c r="BB28">
        <v>7.3814999999999991</v>
      </c>
      <c r="BC28">
        <v>9.2187000000000001</v>
      </c>
      <c r="BD28">
        <v>8.3853999999999989</v>
      </c>
      <c r="BE28">
        <v>8.9803999999999995</v>
      </c>
      <c r="BF28">
        <f t="shared" si="10"/>
        <v>-12.505699999999999</v>
      </c>
      <c r="BG28">
        <f t="shared" si="11"/>
        <v>-3.8866999999999994</v>
      </c>
      <c r="BH28">
        <f t="shared" si="12"/>
        <v>-7.3814999999999991</v>
      </c>
      <c r="BI28">
        <f t="shared" si="13"/>
        <v>-9.2187000000000001</v>
      </c>
      <c r="BJ28">
        <f t="shared" si="14"/>
        <v>-8.3853999999999989</v>
      </c>
      <c r="BK28">
        <f t="shared" si="15"/>
        <v>-8.9803999999999995</v>
      </c>
    </row>
    <row r="29" spans="2:63">
      <c r="B29" s="19">
        <v>375</v>
      </c>
      <c r="C29" s="27">
        <f>+AVERAGE('Data #1'!W29,'Data #2'!W29,'Data #3'!W29,'Data #4'!W29,'Data #5'!W29)</f>
        <v>36.190666666666665</v>
      </c>
      <c r="D29" s="27">
        <f>+C29+STDEV('Data #1'!R29:T29,'Data #2'!R29:T29,'Data #3'!R29:T29,'Data #4'!R29:T29,'Data #5'!R29:T29)</f>
        <v>69.753211365581649</v>
      </c>
      <c r="E29" s="27">
        <f>+C29-STDEV('Data #1'!R29:T29,'Data #2'!R29:T29,'Data #3'!R29:T29,'Data #4'!R29:T29,'Data #5'!R29:T29)</f>
        <v>2.6281219677516745</v>
      </c>
      <c r="F29" s="27">
        <f>+MIN('Data #1'!R29:T29,'Data #2'!R29:T29,'Data #3'!R29:T29,'Data #4'!R29:T29,'Data #5'!R29:T29)</f>
        <v>20</v>
      </c>
      <c r="G29" s="27">
        <f>+MAX('Data #1'!R29:T29,'Data #2'!R29:T29,'Data #3'!R29:T29,'Data #4'!R29:T29,'Data #5'!R29:T29)</f>
        <v>104.94</v>
      </c>
      <c r="I29" s="19">
        <v>375</v>
      </c>
      <c r="J29" s="27">
        <f>+AVERAGE('Data #1'!X29,'Data #2'!X29,'Data #3'!X29,'Data #4'!X29,'Data #5'!X29)</f>
        <v>27.427999999999997</v>
      </c>
      <c r="K29" s="27">
        <f t="shared" si="0"/>
        <v>37.427999999999997</v>
      </c>
      <c r="O29" s="20">
        <v>375</v>
      </c>
      <c r="P29" s="28">
        <f>+AVERAGE('Data #1'!AH29,'Data #2'!AH29,'Data #3'!AH29,'Data #4'!AH29,'Data #5'!AH29)</f>
        <v>35.934000000000005</v>
      </c>
      <c r="Q29" s="28">
        <f>+P29+STDEV('Data #1'!AC29:AE29,'Data #2'!AC29:AE29,'Data #3'!AC29:AE29,'Data #4'!AC29:AE29,'Data #5'!AC29:AE29)</f>
        <v>68.926244499925389</v>
      </c>
      <c r="R29" s="28">
        <f>+P29-STDEV('Data #1'!AC29:AE29,'Data #2'!AC29:AE29,'Data #3'!AC29:AE29,'Data #4'!AC29:AE29,'Data #5'!AC29:AE29)</f>
        <v>2.9417555000746134</v>
      </c>
      <c r="S29" s="28">
        <f>+MIN('Data #1'!AC29:AE29,'Data #2'!AC29:AE29,'Data #3'!AC29:AE29,'Data #4'!AC29:AE29,'Data #5'!AC29:AE29)</f>
        <v>20</v>
      </c>
      <c r="T29" s="28">
        <f>+MAX('Data #1'!AC29:AE29,'Data #2'!AC29:AE29,'Data #3'!AC29:AE29,'Data #4'!AC29:AE29,'Data #5'!AC29:AE29)</f>
        <v>101.44</v>
      </c>
      <c r="V29" s="20">
        <v>375</v>
      </c>
      <c r="W29" s="28">
        <f>+AVERAGE('Data #1'!AI29,'Data #2'!AI29,'Data #3'!AI29,'Data #4'!AI29,'Data #4'!AI29)</f>
        <v>27.401999999999997</v>
      </c>
      <c r="X29" s="28">
        <f t="shared" si="1"/>
        <v>37.402000000000001</v>
      </c>
      <c r="AB29" s="21">
        <v>375</v>
      </c>
      <c r="AC29" s="10">
        <v>-10</v>
      </c>
      <c r="AD29" s="10">
        <v>10</v>
      </c>
      <c r="AH29">
        <f>MAX('Data #1'!C29,'Data #2'!C29,'Data #3'!C29,'Data #4'!C29,'Data #5'!C29)</f>
        <v>-44.83</v>
      </c>
      <c r="AI29">
        <f>MAX('Data #1'!D29,'Data #2'!D29,'Data #3'!D29,'Data #4'!D29,'Data #5'!D29)</f>
        <v>-47.8</v>
      </c>
      <c r="AJ29">
        <f>MAX('Data #1'!E29,'Data #2'!E29,'Data #3'!E29,'Data #4'!E29,'Data #5'!E29)</f>
        <v>-38.81</v>
      </c>
      <c r="AK29">
        <f>MAX('Data #1'!F29,'Data #2'!F29,'Data #3'!F29,'Data #4'!F29,'Data #5'!F29)</f>
        <v>-42.32</v>
      </c>
      <c r="AL29">
        <f>MAX('Data #1'!G29,'Data #2'!G29,'Data #3'!G29,'Data #4'!G29,'Data #5'!G29)</f>
        <v>-44.43</v>
      </c>
      <c r="AM29">
        <f>MAX('Data #1'!H29,'Data #2'!H29,'Data #3'!H29,'Data #4'!H29,'Data #5'!H29)</f>
        <v>-41.23</v>
      </c>
      <c r="AN29">
        <f>MIN('Data #1'!C29,'Data #2'!C29,'Data #3'!C29,'Data #4'!C29,'Data #5'!C29)</f>
        <v>-44.83</v>
      </c>
      <c r="AO29">
        <f>MIN('Data #1'!D29,'Data #2'!D29,'Data #3'!D29,'Data #4'!D29,'Data #5'!D29)</f>
        <v>-47.8</v>
      </c>
      <c r="AP29">
        <f>MIN('Data #1'!E29,'Data #2'!E29,'Data #3'!E29,'Data #4'!E29,'Data #5'!E29)</f>
        <v>-38.81</v>
      </c>
      <c r="AQ29">
        <f>MIN('Data #1'!F29,'Data #2'!F29,'Data #3'!F29,'Data #4'!F29,'Data #5'!F29)</f>
        <v>-42.32</v>
      </c>
      <c r="AR29">
        <f>MIN('Data #1'!G29,'Data #2'!G29,'Data #3'!G29,'Data #4'!G29,'Data #5'!G29)</f>
        <v>-44.43</v>
      </c>
      <c r="AS29">
        <f>MIN('Data #1'!H29,'Data #2'!H29,'Data #3'!H29,'Data #4'!H29,'Data #5'!H29)</f>
        <v>-41.23</v>
      </c>
      <c r="AT29">
        <f t="shared" si="4"/>
        <v>0</v>
      </c>
      <c r="AU29">
        <f t="shared" si="5"/>
        <v>0</v>
      </c>
      <c r="AV29">
        <f t="shared" si="6"/>
        <v>0</v>
      </c>
      <c r="AW29">
        <f t="shared" si="7"/>
        <v>0</v>
      </c>
      <c r="AX29">
        <f t="shared" si="8"/>
        <v>0</v>
      </c>
      <c r="AY29">
        <f t="shared" si="9"/>
        <v>0</v>
      </c>
      <c r="AZ29">
        <v>5.8805000000000014</v>
      </c>
      <c r="BA29">
        <v>2.9875999999999987</v>
      </c>
      <c r="BB29">
        <v>5.9343000000000004</v>
      </c>
      <c r="BC29">
        <v>7.1968999999999976</v>
      </c>
      <c r="BD29">
        <v>4.1166999999999998</v>
      </c>
      <c r="BE29">
        <v>6.6195999999999984</v>
      </c>
      <c r="BF29">
        <f t="shared" si="10"/>
        <v>-5.8805000000000014</v>
      </c>
      <c r="BG29">
        <f t="shared" si="11"/>
        <v>-2.9875999999999987</v>
      </c>
      <c r="BH29">
        <f t="shared" si="12"/>
        <v>-5.9343000000000004</v>
      </c>
      <c r="BI29">
        <f t="shared" si="13"/>
        <v>-7.1968999999999976</v>
      </c>
      <c r="BJ29">
        <f t="shared" si="14"/>
        <v>-4.1166999999999998</v>
      </c>
      <c r="BK29">
        <f t="shared" si="15"/>
        <v>-6.6195999999999984</v>
      </c>
    </row>
    <row r="30" spans="2:63">
      <c r="B30" s="19">
        <v>400</v>
      </c>
      <c r="C30" s="27">
        <f>+AVERAGE('Data #1'!W30,'Data #2'!W30,'Data #3'!W30,'Data #4'!W30,'Data #5'!W30)</f>
        <v>36.340666666666664</v>
      </c>
      <c r="D30" s="27">
        <f>+C30+STDEV('Data #1'!R30:T30,'Data #2'!R30:T30,'Data #3'!R30:T30,'Data #4'!R30:T30,'Data #5'!R30:T30)</f>
        <v>70.181858486836404</v>
      </c>
      <c r="E30" s="27">
        <f>+C30-STDEV('Data #1'!R30:T30,'Data #2'!R30:T30,'Data #3'!R30:T30,'Data #4'!R30:T30,'Data #5'!R30:T30)</f>
        <v>2.4994748464969163</v>
      </c>
      <c r="F30" s="27">
        <f>+MIN('Data #1'!R30:T30,'Data #2'!R30:T30,'Data #3'!R30:T30,'Data #4'!R30:T30,'Data #5'!R30:T30)</f>
        <v>20</v>
      </c>
      <c r="G30" s="27">
        <f>+MAX('Data #1'!R30:T30,'Data #2'!R30:T30,'Data #3'!R30:T30,'Data #4'!R30:T30,'Data #5'!R30:T30)</f>
        <v>104.05</v>
      </c>
      <c r="I30" s="19">
        <v>400</v>
      </c>
      <c r="J30" s="27">
        <f>+AVERAGE('Data #1'!X30,'Data #2'!X30,'Data #3'!X30,'Data #4'!X30,'Data #5'!X30)</f>
        <v>27.507999999999999</v>
      </c>
      <c r="K30" s="27">
        <f t="shared" si="0"/>
        <v>37.507999999999996</v>
      </c>
      <c r="O30" s="20">
        <v>400</v>
      </c>
      <c r="P30" s="28">
        <f>+AVERAGE('Data #1'!AH30,'Data #2'!AH30,'Data #3'!AH30,'Data #4'!AH30,'Data #5'!AH30)</f>
        <v>35.629333333333328</v>
      </c>
      <c r="Q30" s="28">
        <f>+P30+STDEV('Data #1'!AC30:AE30,'Data #2'!AC30:AE30,'Data #3'!AC30:AE30,'Data #4'!AC30:AE30,'Data #5'!AC30:AE30)</f>
        <v>67.989902034557758</v>
      </c>
      <c r="R30" s="28">
        <f>+P30-STDEV('Data #1'!AC30:AE30,'Data #2'!AC30:AE30,'Data #3'!AC30:AE30,'Data #4'!AC30:AE30,'Data #5'!AC30:AE30)</f>
        <v>3.2687646321088906</v>
      </c>
      <c r="S30" s="28">
        <f>+MIN('Data #1'!AC30:AE30,'Data #2'!AC30:AE30,'Data #3'!AC30:AE30,'Data #4'!AC30:AE30,'Data #5'!AC30:AE30)</f>
        <v>20</v>
      </c>
      <c r="T30" s="28">
        <f>+MAX('Data #1'!AC30:AE30,'Data #2'!AC30:AE30,'Data #3'!AC30:AE30,'Data #4'!AC30:AE30,'Data #5'!AC30:AE30)</f>
        <v>99.59</v>
      </c>
      <c r="V30" s="20">
        <v>400</v>
      </c>
      <c r="W30" s="28">
        <f>+AVERAGE('Data #1'!AI30,'Data #2'!AI30,'Data #3'!AI30,'Data #4'!AI30,'Data #4'!AI30)</f>
        <v>27.462</v>
      </c>
      <c r="X30" s="28">
        <f t="shared" si="1"/>
        <v>37.462000000000003</v>
      </c>
      <c r="AB30" s="21">
        <v>400</v>
      </c>
      <c r="AC30" s="10">
        <v>-10</v>
      </c>
      <c r="AD30" s="10">
        <v>10</v>
      </c>
      <c r="AH30">
        <f>MAX('Data #1'!C30,'Data #2'!C30,'Data #3'!C30,'Data #4'!C30,'Data #5'!C30)</f>
        <v>-41.6</v>
      </c>
      <c r="AI30">
        <f>MAX('Data #1'!D30,'Data #2'!D30,'Data #3'!D30,'Data #4'!D30,'Data #5'!D30)</f>
        <v>-44.38</v>
      </c>
      <c r="AJ30">
        <f>MAX('Data #1'!E30,'Data #2'!E30,'Data #3'!E30,'Data #4'!E30,'Data #5'!E30)</f>
        <v>-46.51</v>
      </c>
      <c r="AK30">
        <f>MAX('Data #1'!F30,'Data #2'!F30,'Data #3'!F30,'Data #4'!F30,'Data #5'!F30)</f>
        <v>-39.340000000000003</v>
      </c>
      <c r="AL30">
        <f>MAX('Data #1'!G30,'Data #2'!G30,'Data #3'!G30,'Data #4'!G30,'Data #5'!G30)</f>
        <v>-42.28</v>
      </c>
      <c r="AM30">
        <f>MAX('Data #1'!H30,'Data #2'!H30,'Data #3'!H30,'Data #4'!H30,'Data #5'!H30)</f>
        <v>-40.89</v>
      </c>
      <c r="AN30">
        <f>MIN('Data #1'!C30,'Data #2'!C30,'Data #3'!C30,'Data #4'!C30,'Data #5'!C30)</f>
        <v>-41.6</v>
      </c>
      <c r="AO30">
        <f>MIN('Data #1'!D30,'Data #2'!D30,'Data #3'!D30,'Data #4'!D30,'Data #5'!D30)</f>
        <v>-44.38</v>
      </c>
      <c r="AP30">
        <f>MIN('Data #1'!E30,'Data #2'!E30,'Data #3'!E30,'Data #4'!E30,'Data #5'!E30)</f>
        <v>-46.51</v>
      </c>
      <c r="AQ30">
        <f>MIN('Data #1'!F30,'Data #2'!F30,'Data #3'!F30,'Data #4'!F30,'Data #5'!F30)</f>
        <v>-39.340000000000003</v>
      </c>
      <c r="AR30">
        <f>MIN('Data #1'!G30,'Data #2'!G30,'Data #3'!G30,'Data #4'!G30,'Data #5'!G30)</f>
        <v>-42.28</v>
      </c>
      <c r="AS30">
        <f>MIN('Data #1'!H30,'Data #2'!H30,'Data #3'!H30,'Data #4'!H30,'Data #5'!H30)</f>
        <v>-40.89</v>
      </c>
      <c r="AT30">
        <f t="shared" si="4"/>
        <v>0</v>
      </c>
      <c r="AU30">
        <f t="shared" si="5"/>
        <v>0</v>
      </c>
      <c r="AV30">
        <f t="shared" si="6"/>
        <v>0</v>
      </c>
      <c r="AW30">
        <f t="shared" si="7"/>
        <v>0</v>
      </c>
      <c r="AX30">
        <f t="shared" si="8"/>
        <v>0</v>
      </c>
      <c r="AY30">
        <f t="shared" si="9"/>
        <v>0</v>
      </c>
      <c r="AZ30">
        <v>5.2405000000000008</v>
      </c>
      <c r="BA30">
        <v>2.8152999999999988</v>
      </c>
      <c r="BB30">
        <v>5.9625999999999983</v>
      </c>
      <c r="BC30">
        <v>5.7034000000000002</v>
      </c>
      <c r="BD30">
        <v>5.2676999999999996</v>
      </c>
      <c r="BE30">
        <v>8.3582999999999998</v>
      </c>
      <c r="BF30">
        <f t="shared" si="10"/>
        <v>-5.2405000000000008</v>
      </c>
      <c r="BG30">
        <f t="shared" si="11"/>
        <v>-2.8152999999999988</v>
      </c>
      <c r="BH30">
        <f t="shared" si="12"/>
        <v>-5.9625999999999983</v>
      </c>
      <c r="BI30">
        <f t="shared" si="13"/>
        <v>-5.7034000000000002</v>
      </c>
      <c r="BJ30">
        <f t="shared" si="14"/>
        <v>-5.2676999999999996</v>
      </c>
      <c r="BK30">
        <f t="shared" si="15"/>
        <v>-8.3582999999999998</v>
      </c>
    </row>
    <row r="31" spans="2:63">
      <c r="B31" s="19">
        <v>425</v>
      </c>
      <c r="C31" s="27">
        <f>+AVERAGE('Data #1'!W31,'Data #2'!W31,'Data #3'!W31,'Data #4'!W31,'Data #5'!W31)</f>
        <v>36.034000000000006</v>
      </c>
      <c r="D31" s="27">
        <f>+C31+STDEV('Data #1'!R31:T31,'Data #2'!R31:T31,'Data #3'!R31:T31,'Data #4'!R31:T31,'Data #5'!R31:T31)</f>
        <v>69.232727987680505</v>
      </c>
      <c r="E31" s="27">
        <f>+C31-STDEV('Data #1'!R31:T31,'Data #2'!R31:T31,'Data #3'!R31:T31,'Data #4'!R31:T31,'Data #5'!R31:T31)</f>
        <v>2.8352720123195141</v>
      </c>
      <c r="F31" s="27">
        <f>+MIN('Data #1'!R31:T31,'Data #2'!R31:T31,'Data #3'!R31:T31,'Data #4'!R31:T31,'Data #5'!R31:T31)</f>
        <v>20</v>
      </c>
      <c r="G31" s="27">
        <f>+MAX('Data #1'!R31:T31,'Data #2'!R31:T31,'Data #3'!R31:T31,'Data #4'!R31:T31,'Data #5'!R31:T31)</f>
        <v>101.96000000000001</v>
      </c>
      <c r="I31" s="19">
        <v>425</v>
      </c>
      <c r="J31" s="27">
        <f>+AVERAGE('Data #1'!X31,'Data #2'!X31,'Data #3'!X31,'Data #4'!X31,'Data #5'!X31)</f>
        <v>27.552</v>
      </c>
      <c r="K31" s="27">
        <f t="shared" si="0"/>
        <v>37.552</v>
      </c>
      <c r="O31" s="20">
        <v>425</v>
      </c>
      <c r="P31" s="28">
        <f>+AVERAGE('Data #1'!AH31,'Data #2'!AH31,'Data #3'!AH31,'Data #4'!AH31,'Data #5'!AH31)</f>
        <v>35.884666666666668</v>
      </c>
      <c r="Q31" s="28">
        <f>+P31+STDEV('Data #1'!AC31:AE31,'Data #2'!AC31:AE31,'Data #3'!AC31:AE31,'Data #4'!AC31:AE31,'Data #5'!AC31:AE31)</f>
        <v>68.795944557094316</v>
      </c>
      <c r="R31" s="28">
        <f>+P31-STDEV('Data #1'!AC31:AE31,'Data #2'!AC31:AE31,'Data #3'!AC31:AE31,'Data #4'!AC31:AE31,'Data #5'!AC31:AE31)</f>
        <v>2.9733887762390125</v>
      </c>
      <c r="S31" s="28">
        <f>+MIN('Data #1'!AC31:AE31,'Data #2'!AC31:AE31,'Data #3'!AC31:AE31,'Data #4'!AC31:AE31,'Data #5'!AC31:AE31)</f>
        <v>20</v>
      </c>
      <c r="T31" s="28">
        <f>+MAX('Data #1'!AC31:AE31,'Data #2'!AC31:AE31,'Data #3'!AC31:AE31,'Data #4'!AC31:AE31,'Data #5'!AC31:AE31)</f>
        <v>103.44</v>
      </c>
      <c r="V31" s="20">
        <v>425</v>
      </c>
      <c r="W31" s="28">
        <f>+AVERAGE('Data #1'!AI31,'Data #2'!AI31,'Data #3'!AI31,'Data #4'!AI31,'Data #4'!AI31)</f>
        <v>27.52</v>
      </c>
      <c r="X31" s="28">
        <f t="shared" si="1"/>
        <v>37.519999999999996</v>
      </c>
      <c r="AB31" s="21">
        <v>425</v>
      </c>
      <c r="AC31" s="10">
        <v>-10</v>
      </c>
      <c r="AD31" s="10">
        <v>10</v>
      </c>
      <c r="AH31">
        <f>MAX('Data #1'!C31,'Data #2'!C31,'Data #3'!C31,'Data #4'!C31,'Data #5'!C31)</f>
        <v>-44.2</v>
      </c>
      <c r="AI31">
        <f>MAX('Data #1'!D31,'Data #2'!D31,'Data #3'!D31,'Data #4'!D31,'Data #5'!D31)</f>
        <v>-41.62</v>
      </c>
      <c r="AJ31">
        <f>MAX('Data #1'!E31,'Data #2'!E31,'Data #3'!E31,'Data #4'!E31,'Data #5'!E31)</f>
        <v>-41.41</v>
      </c>
      <c r="AK31">
        <f>MAX('Data #1'!F31,'Data #2'!F31,'Data #3'!F31,'Data #4'!F31,'Data #5'!F31)</f>
        <v>-39.28</v>
      </c>
      <c r="AL31">
        <f>MAX('Data #1'!G31,'Data #2'!G31,'Data #3'!G31,'Data #4'!G31,'Data #5'!G31)</f>
        <v>-40.35</v>
      </c>
      <c r="AM31">
        <f>MAX('Data #1'!H31,'Data #2'!H31,'Data #3'!H31,'Data #4'!H31,'Data #5'!H31)</f>
        <v>-45.84</v>
      </c>
      <c r="AN31">
        <f>MIN('Data #1'!C31,'Data #2'!C31,'Data #3'!C31,'Data #4'!C31,'Data #5'!C31)</f>
        <v>-44.2</v>
      </c>
      <c r="AO31">
        <f>MIN('Data #1'!D31,'Data #2'!D31,'Data #3'!D31,'Data #4'!D31,'Data #5'!D31)</f>
        <v>-41.62</v>
      </c>
      <c r="AP31">
        <f>MIN('Data #1'!E31,'Data #2'!E31,'Data #3'!E31,'Data #4'!E31,'Data #5'!E31)</f>
        <v>-41.41</v>
      </c>
      <c r="AQ31">
        <f>MIN('Data #1'!F31,'Data #2'!F31,'Data #3'!F31,'Data #4'!F31,'Data #5'!F31)</f>
        <v>-39.28</v>
      </c>
      <c r="AR31">
        <f>MIN('Data #1'!G31,'Data #2'!G31,'Data #3'!G31,'Data #4'!G31,'Data #5'!G31)</f>
        <v>-40.35</v>
      </c>
      <c r="AS31">
        <f>MIN('Data #1'!H31,'Data #2'!H31,'Data #3'!H31,'Data #4'!H31,'Data #5'!H31)</f>
        <v>-45.84</v>
      </c>
      <c r="AT31">
        <f t="shared" si="4"/>
        <v>0</v>
      </c>
      <c r="AU31">
        <f t="shared" si="5"/>
        <v>0</v>
      </c>
      <c r="AV31">
        <f t="shared" si="6"/>
        <v>0</v>
      </c>
      <c r="AW31">
        <f t="shared" si="7"/>
        <v>0</v>
      </c>
      <c r="AX31">
        <f t="shared" si="8"/>
        <v>0</v>
      </c>
      <c r="AY31">
        <f t="shared" si="9"/>
        <v>0</v>
      </c>
      <c r="AZ31">
        <v>5.6597000000000008</v>
      </c>
      <c r="BA31">
        <v>1.9747000000000003</v>
      </c>
      <c r="BB31">
        <v>4.555299999999999</v>
      </c>
      <c r="BC31">
        <v>6.9035999999999991</v>
      </c>
      <c r="BD31">
        <v>2.6907999999999994</v>
      </c>
      <c r="BE31">
        <v>6.0393999999999988</v>
      </c>
      <c r="BF31">
        <f t="shared" si="10"/>
        <v>-5.6597000000000008</v>
      </c>
      <c r="BG31">
        <f t="shared" si="11"/>
        <v>-1.9747000000000003</v>
      </c>
      <c r="BH31">
        <f t="shared" si="12"/>
        <v>-4.555299999999999</v>
      </c>
      <c r="BI31">
        <f t="shared" si="13"/>
        <v>-6.9035999999999991</v>
      </c>
      <c r="BJ31">
        <f t="shared" si="14"/>
        <v>-2.6907999999999994</v>
      </c>
      <c r="BK31">
        <f t="shared" si="15"/>
        <v>-6.0393999999999988</v>
      </c>
    </row>
    <row r="32" spans="2:63">
      <c r="B32" s="19">
        <v>450</v>
      </c>
      <c r="C32" s="27">
        <f>+AVERAGE('Data #1'!W32,'Data #2'!W32,'Data #3'!W32,'Data #4'!W32,'Data #5'!W32)</f>
        <v>36.375999999999998</v>
      </c>
      <c r="D32" s="27">
        <f>+C32+STDEV('Data #1'!R32:T32,'Data #2'!R32:T32,'Data #3'!R32:T32,'Data #4'!R32:T32,'Data #5'!R32:T32)</f>
        <v>70.278441083623633</v>
      </c>
      <c r="E32" s="27">
        <f>+C32-STDEV('Data #1'!R32:T32,'Data #2'!R32:T32,'Data #3'!R32:T32,'Data #4'!R32:T32,'Data #5'!R32:T32)</f>
        <v>2.473558916376362</v>
      </c>
      <c r="F32" s="27">
        <f>+MIN('Data #1'!R32:T32,'Data #2'!R32:T32,'Data #3'!R32:T32,'Data #4'!R32:T32,'Data #5'!R32:T32)</f>
        <v>20</v>
      </c>
      <c r="G32" s="27">
        <f>+MAX('Data #1'!R32:T32,'Data #2'!R32:T32,'Data #3'!R32:T32,'Data #4'!R32:T32,'Data #5'!R32:T32)</f>
        <v>102.57</v>
      </c>
      <c r="I32" s="19">
        <v>450</v>
      </c>
      <c r="J32" s="27">
        <f>+AVERAGE('Data #1'!X32,'Data #2'!X32,'Data #3'!X32,'Data #4'!X32,'Data #5'!X32)</f>
        <v>27.6</v>
      </c>
      <c r="K32" s="27">
        <f t="shared" si="0"/>
        <v>37.6</v>
      </c>
      <c r="O32" s="20">
        <v>450</v>
      </c>
      <c r="P32" s="28">
        <f>+AVERAGE('Data #1'!AH32,'Data #2'!AH32,'Data #3'!AH32,'Data #4'!AH32,'Data #5'!AH32)</f>
        <v>35.255999999999993</v>
      </c>
      <c r="Q32" s="28">
        <f>+P32+STDEV('Data #1'!AC32:AE32,'Data #2'!AC32:AE32,'Data #3'!AC32:AE32,'Data #4'!AC32:AE32,'Data #5'!AC32:AE32)</f>
        <v>66.847329913669128</v>
      </c>
      <c r="R32" s="28">
        <f>+P32-STDEV('Data #1'!AC32:AE32,'Data #2'!AC32:AE32,'Data #3'!AC32:AE32,'Data #4'!AC32:AE32,'Data #5'!AC32:AE32)</f>
        <v>3.6646700863308617</v>
      </c>
      <c r="S32" s="28">
        <f>+MIN('Data #1'!AC32:AE32,'Data #2'!AC32:AE32,'Data #3'!AC32:AE32,'Data #4'!AC32:AE32,'Data #5'!AC32:AE32)</f>
        <v>20</v>
      </c>
      <c r="T32" s="28">
        <f>+MAX('Data #1'!AC32:AE32,'Data #2'!AC32:AE32,'Data #3'!AC32:AE32,'Data #4'!AC32:AE32,'Data #5'!AC32:AE32)</f>
        <v>98.5</v>
      </c>
      <c r="V32" s="20">
        <v>450</v>
      </c>
      <c r="W32" s="28">
        <f>+AVERAGE('Data #1'!AI32,'Data #2'!AI32,'Data #3'!AI32,'Data #4'!AI32,'Data #4'!AI32)</f>
        <v>27.572000000000003</v>
      </c>
      <c r="X32" s="28">
        <f t="shared" si="1"/>
        <v>37.572000000000003</v>
      </c>
      <c r="AB32" s="21">
        <v>450</v>
      </c>
      <c r="AC32" s="10">
        <v>-10</v>
      </c>
      <c r="AD32" s="10">
        <v>10</v>
      </c>
      <c r="AH32">
        <f>MAX('Data #1'!C32,'Data #2'!C32,'Data #3'!C32,'Data #4'!C32,'Data #5'!C32)</f>
        <v>-43.8</v>
      </c>
      <c r="AI32">
        <f>MAX('Data #1'!D32,'Data #2'!D32,'Data #3'!D32,'Data #4'!D32,'Data #5'!D32)</f>
        <v>-43.27</v>
      </c>
      <c r="AJ32">
        <f>MAX('Data #1'!E32,'Data #2'!E32,'Data #3'!E32,'Data #4'!E32,'Data #5'!E32)</f>
        <v>-44.57</v>
      </c>
      <c r="AK32">
        <f>MAX('Data #1'!F32,'Data #2'!F32,'Data #3'!F32,'Data #4'!F32,'Data #5'!F32)</f>
        <v>-37.159999999999997</v>
      </c>
      <c r="AL32">
        <f>MAX('Data #1'!G32,'Data #2'!G32,'Data #3'!G32,'Data #4'!G32,'Data #5'!G32)</f>
        <v>-37.46</v>
      </c>
      <c r="AM32">
        <f>MAX('Data #1'!H32,'Data #2'!H32,'Data #3'!H32,'Data #4'!H32,'Data #5'!H32)</f>
        <v>-40.64</v>
      </c>
      <c r="AN32">
        <f>MIN('Data #1'!C32,'Data #2'!C32,'Data #3'!C32,'Data #4'!C32,'Data #5'!C32)</f>
        <v>-43.8</v>
      </c>
      <c r="AO32">
        <f>MIN('Data #1'!D32,'Data #2'!D32,'Data #3'!D32,'Data #4'!D32,'Data #5'!D32)</f>
        <v>-43.27</v>
      </c>
      <c r="AP32">
        <f>MIN('Data #1'!E32,'Data #2'!E32,'Data #3'!E32,'Data #4'!E32,'Data #5'!E32)</f>
        <v>-44.57</v>
      </c>
      <c r="AQ32">
        <f>MIN('Data #1'!F32,'Data #2'!F32,'Data #3'!F32,'Data #4'!F32,'Data #5'!F32)</f>
        <v>-37.159999999999997</v>
      </c>
      <c r="AR32">
        <f>MIN('Data #1'!G32,'Data #2'!G32,'Data #3'!G32,'Data #4'!G32,'Data #5'!G32)</f>
        <v>-37.46</v>
      </c>
      <c r="AS32">
        <f>MIN('Data #1'!H32,'Data #2'!H32,'Data #3'!H32,'Data #4'!H32,'Data #5'!H32)</f>
        <v>-40.64</v>
      </c>
      <c r="AT32">
        <f t="shared" si="4"/>
        <v>0</v>
      </c>
      <c r="AU32">
        <f t="shared" si="5"/>
        <v>0</v>
      </c>
      <c r="AV32">
        <f t="shared" si="6"/>
        <v>0</v>
      </c>
      <c r="AW32">
        <f t="shared" si="7"/>
        <v>0</v>
      </c>
      <c r="AX32">
        <f t="shared" si="8"/>
        <v>0</v>
      </c>
      <c r="AY32">
        <f t="shared" si="9"/>
        <v>0</v>
      </c>
      <c r="AZ32">
        <v>12.946999999999999</v>
      </c>
      <c r="BA32">
        <v>1.3969999999999994</v>
      </c>
      <c r="BB32">
        <v>4.9741</v>
      </c>
      <c r="BC32">
        <v>8.3392999999999979</v>
      </c>
      <c r="BD32">
        <v>2.8815999999999988</v>
      </c>
      <c r="BE32">
        <v>8.3577000000000012</v>
      </c>
      <c r="BF32">
        <f t="shared" si="10"/>
        <v>-12.946999999999999</v>
      </c>
      <c r="BG32">
        <f t="shared" si="11"/>
        <v>-1.3969999999999994</v>
      </c>
      <c r="BH32">
        <f t="shared" si="12"/>
        <v>-4.9741</v>
      </c>
      <c r="BI32">
        <f t="shared" si="13"/>
        <v>-8.3392999999999979</v>
      </c>
      <c r="BJ32">
        <f t="shared" si="14"/>
        <v>-2.8815999999999988</v>
      </c>
      <c r="BK32">
        <f t="shared" si="15"/>
        <v>-8.3577000000000012</v>
      </c>
    </row>
    <row r="33" spans="2:63">
      <c r="B33" s="19">
        <v>475</v>
      </c>
      <c r="C33" s="27">
        <f>+AVERAGE('Data #1'!W33,'Data #2'!W33,'Data #3'!W33,'Data #4'!W33,'Data #5'!W33)</f>
        <v>36.249333333333333</v>
      </c>
      <c r="D33" s="27">
        <f>+C33+STDEV('Data #1'!R33:T33,'Data #2'!R33:T33,'Data #3'!R33:T33,'Data #4'!R33:T33,'Data #5'!R33:T33)</f>
        <v>69.904467619345681</v>
      </c>
      <c r="E33" s="27">
        <f>+C33-STDEV('Data #1'!R33:T33,'Data #2'!R33:T33,'Data #3'!R33:T33,'Data #4'!R33:T33,'Data #5'!R33:T33)</f>
        <v>2.5941990473209842</v>
      </c>
      <c r="F33" s="27">
        <f>+MIN('Data #1'!R33:T33,'Data #2'!R33:T33,'Data #3'!R33:T33,'Data #4'!R33:T33,'Data #5'!R33:T33)</f>
        <v>20</v>
      </c>
      <c r="G33" s="27">
        <f>+MAX('Data #1'!R33:T33,'Data #2'!R33:T33,'Data #3'!R33:T33,'Data #4'!R33:T33,'Data #5'!R33:T33)</f>
        <v>103.74000000000001</v>
      </c>
      <c r="I33" s="19">
        <v>475</v>
      </c>
      <c r="J33" s="27">
        <f>+AVERAGE('Data #1'!X33,'Data #2'!X33,'Data #3'!X33,'Data #4'!X33,'Data #5'!X33)</f>
        <v>27.692</v>
      </c>
      <c r="K33" s="27">
        <f t="shared" si="0"/>
        <v>37.692</v>
      </c>
      <c r="O33" s="20">
        <v>475</v>
      </c>
      <c r="P33" s="28">
        <f>+AVERAGE('Data #1'!AH33,'Data #2'!AH33,'Data #3'!AH33,'Data #4'!AH33,'Data #5'!AH33)</f>
        <v>35.12866666666666</v>
      </c>
      <c r="Q33" s="28">
        <f>+P33+STDEV('Data #1'!AC33:AE33,'Data #2'!AC33:AE33,'Data #3'!AC33:AE33,'Data #4'!AC33:AE33,'Data #5'!AC33:AE33)</f>
        <v>66.451623302031592</v>
      </c>
      <c r="R33" s="28">
        <f>+P33-STDEV('Data #1'!AC33:AE33,'Data #2'!AC33:AE33,'Data #3'!AC33:AE33,'Data #4'!AC33:AE33,'Data #5'!AC33:AE33)</f>
        <v>3.8057100313017287</v>
      </c>
      <c r="S33" s="28">
        <f>+MIN('Data #1'!AC33:AE33,'Data #2'!AC33:AE33,'Data #3'!AC33:AE33,'Data #4'!AC33:AE33,'Data #5'!AC33:AE33)</f>
        <v>20</v>
      </c>
      <c r="T33" s="28">
        <f>+MAX('Data #1'!AC33:AE33,'Data #2'!AC33:AE33,'Data #3'!AC33:AE33,'Data #4'!AC33:AE33,'Data #5'!AC33:AE33)</f>
        <v>97</v>
      </c>
      <c r="V33" s="20">
        <v>475</v>
      </c>
      <c r="W33" s="28">
        <f>+AVERAGE('Data #1'!AI33,'Data #2'!AI33,'Data #3'!AI33,'Data #4'!AI33,'Data #4'!AI33)</f>
        <v>27.618000000000002</v>
      </c>
      <c r="X33" s="28">
        <f t="shared" si="1"/>
        <v>37.618000000000002</v>
      </c>
      <c r="AB33" s="21">
        <v>475</v>
      </c>
      <c r="AC33" s="10">
        <v>-10</v>
      </c>
      <c r="AD33" s="10">
        <v>10</v>
      </c>
      <c r="AH33">
        <f>MAX('Data #1'!C33,'Data #2'!C33,'Data #3'!C33,'Data #4'!C33,'Data #5'!C33)</f>
        <v>-43.21</v>
      </c>
      <c r="AI33">
        <f>MAX('Data #1'!D33,'Data #2'!D33,'Data #3'!D33,'Data #4'!D33,'Data #5'!D33)</f>
        <v>-45.28</v>
      </c>
      <c r="AJ33">
        <f>MAX('Data #1'!E33,'Data #2'!E33,'Data #3'!E33,'Data #4'!E33,'Data #5'!E33)</f>
        <v>-39.869999999999997</v>
      </c>
      <c r="AK33">
        <f>MAX('Data #1'!F33,'Data #2'!F33,'Data #3'!F33,'Data #4'!F33,'Data #5'!F33)</f>
        <v>-37.340000000000003</v>
      </c>
      <c r="AL33">
        <f>MAX('Data #1'!G33,'Data #2'!G33,'Data #3'!G33,'Data #4'!G33,'Data #5'!G33)</f>
        <v>-36.409999999999997</v>
      </c>
      <c r="AM33">
        <f>MAX('Data #1'!H33,'Data #2'!H33,'Data #3'!H33,'Data #4'!H33,'Data #5'!H33)</f>
        <v>-38.909999999999997</v>
      </c>
      <c r="AN33">
        <f>MIN('Data #1'!C33,'Data #2'!C33,'Data #3'!C33,'Data #4'!C33,'Data #5'!C33)</f>
        <v>-43.21</v>
      </c>
      <c r="AO33">
        <f>MIN('Data #1'!D33,'Data #2'!D33,'Data #3'!D33,'Data #4'!D33,'Data #5'!D33)</f>
        <v>-45.28</v>
      </c>
      <c r="AP33">
        <f>MIN('Data #1'!E33,'Data #2'!E33,'Data #3'!E33,'Data #4'!E33,'Data #5'!E33)</f>
        <v>-39.869999999999997</v>
      </c>
      <c r="AQ33">
        <f>MIN('Data #1'!F33,'Data #2'!F33,'Data #3'!F33,'Data #4'!F33,'Data #5'!F33)</f>
        <v>-37.340000000000003</v>
      </c>
      <c r="AR33">
        <f>MIN('Data #1'!G33,'Data #2'!G33,'Data #3'!G33,'Data #4'!G33,'Data #5'!G33)</f>
        <v>-36.409999999999997</v>
      </c>
      <c r="AS33">
        <f>MIN('Data #1'!H33,'Data #2'!H33,'Data #3'!H33,'Data #4'!H33,'Data #5'!H33)</f>
        <v>-38.909999999999997</v>
      </c>
      <c r="AT33">
        <f t="shared" si="4"/>
        <v>0</v>
      </c>
      <c r="AU33">
        <f t="shared" si="5"/>
        <v>0</v>
      </c>
      <c r="AV33">
        <f t="shared" si="6"/>
        <v>0</v>
      </c>
      <c r="AW33">
        <f t="shared" si="7"/>
        <v>0</v>
      </c>
      <c r="AX33">
        <f t="shared" si="8"/>
        <v>0</v>
      </c>
      <c r="AY33">
        <f t="shared" si="9"/>
        <v>0</v>
      </c>
      <c r="AZ33">
        <v>7.7090000000000014</v>
      </c>
      <c r="BA33">
        <v>1.0821000000000005</v>
      </c>
      <c r="BB33">
        <v>3.4076000000000004</v>
      </c>
      <c r="BC33">
        <v>3.6753</v>
      </c>
      <c r="BD33">
        <v>2.4494000000000007</v>
      </c>
      <c r="BE33">
        <v>7.9681000000000015</v>
      </c>
      <c r="BF33">
        <f t="shared" si="10"/>
        <v>-7.7090000000000014</v>
      </c>
      <c r="BG33">
        <f t="shared" si="11"/>
        <v>-1.0821000000000005</v>
      </c>
      <c r="BH33">
        <f t="shared" si="12"/>
        <v>-3.4076000000000004</v>
      </c>
      <c r="BI33">
        <f t="shared" si="13"/>
        <v>-3.6753</v>
      </c>
      <c r="BJ33">
        <f t="shared" si="14"/>
        <v>-2.4494000000000007</v>
      </c>
      <c r="BK33">
        <f t="shared" si="15"/>
        <v>-7.9681000000000015</v>
      </c>
    </row>
    <row r="34" spans="2:63">
      <c r="B34" s="19">
        <v>500</v>
      </c>
      <c r="C34" s="27">
        <f>+AVERAGE('Data #1'!W34,'Data #2'!W34,'Data #3'!W34,'Data #4'!W34,'Data #5'!W34)</f>
        <v>36.234000000000002</v>
      </c>
      <c r="D34" s="27">
        <f>+C34+STDEV('Data #1'!R34:T34,'Data #2'!R34:T34,'Data #3'!R34:T34,'Data #4'!R34:T34,'Data #5'!R34:T34)</f>
        <v>69.855452292929215</v>
      </c>
      <c r="E34" s="27">
        <f>+C34-STDEV('Data #1'!R34:T34,'Data #2'!R34:T34,'Data #3'!R34:T34,'Data #4'!R34:T34,'Data #5'!R34:T34)</f>
        <v>2.6125477070707959</v>
      </c>
      <c r="F34" s="27">
        <f>+MIN('Data #1'!R34:T34,'Data #2'!R34:T34,'Data #3'!R34:T34,'Data #4'!R34:T34,'Data #5'!R34:T34)</f>
        <v>20</v>
      </c>
      <c r="G34" s="27">
        <f>+MAX('Data #1'!R34:T34,'Data #2'!R34:T34,'Data #3'!R34:T34,'Data #4'!R34:T34,'Data #5'!R34:T34)</f>
        <v>104.09</v>
      </c>
      <c r="I34" s="19">
        <v>500</v>
      </c>
      <c r="J34" s="27">
        <f>+AVERAGE('Data #1'!X34,'Data #2'!X34,'Data #3'!X34,'Data #4'!X34,'Data #5'!X34)</f>
        <v>27.738</v>
      </c>
      <c r="K34" s="27">
        <f t="shared" si="0"/>
        <v>37.738</v>
      </c>
      <c r="O34" s="20">
        <v>500</v>
      </c>
      <c r="P34" s="28">
        <f>+AVERAGE('Data #1'!AH34,'Data #2'!AH34,'Data #3'!AH34,'Data #4'!AH34,'Data #5'!AH34)</f>
        <v>34.913333333333334</v>
      </c>
      <c r="Q34" s="28">
        <f>+P34+STDEV('Data #1'!AC34:AE34,'Data #2'!AC34:AE34,'Data #3'!AC34:AE34,'Data #4'!AC34:AE34,'Data #5'!AC34:AE34)</f>
        <v>65.788575302695563</v>
      </c>
      <c r="R34" s="28">
        <f>+P34-STDEV('Data #1'!AC34:AE34,'Data #2'!AC34:AE34,'Data #3'!AC34:AE34,'Data #4'!AC34:AE34,'Data #5'!AC34:AE34)</f>
        <v>4.0380913639711125</v>
      </c>
      <c r="S34" s="28">
        <f>+MIN('Data #1'!AC34:AE34,'Data #2'!AC34:AE34,'Data #3'!AC34:AE34,'Data #4'!AC34:AE34,'Data #5'!AC34:AE34)</f>
        <v>20</v>
      </c>
      <c r="T34" s="28">
        <f>+MAX('Data #1'!AC34:AE34,'Data #2'!AC34:AE34,'Data #3'!AC34:AE34,'Data #4'!AC34:AE34,'Data #5'!AC34:AE34)</f>
        <v>95.49</v>
      </c>
      <c r="V34" s="20">
        <v>500</v>
      </c>
      <c r="W34" s="28">
        <f>+AVERAGE('Data #1'!AI34,'Data #2'!AI34,'Data #3'!AI34,'Data #4'!AI34,'Data #4'!AI34)</f>
        <v>27.687999999999999</v>
      </c>
      <c r="X34" s="28">
        <f t="shared" si="1"/>
        <v>37.688000000000002</v>
      </c>
      <c r="AB34" s="21">
        <v>500</v>
      </c>
      <c r="AC34" s="10">
        <v>-10</v>
      </c>
      <c r="AD34" s="10">
        <v>10</v>
      </c>
      <c r="AH34">
        <f>MAX('Data #1'!C34,'Data #2'!C34,'Data #3'!C34,'Data #4'!C34,'Data #5'!C34)</f>
        <v>-41.39</v>
      </c>
      <c r="AI34">
        <f>MAX('Data #1'!D34,'Data #2'!D34,'Data #3'!D34,'Data #4'!D34,'Data #5'!D34)</f>
        <v>-45.4</v>
      </c>
      <c r="AJ34">
        <f>MAX('Data #1'!E34,'Data #2'!E34,'Data #3'!E34,'Data #4'!E34,'Data #5'!E34)</f>
        <v>-40.65</v>
      </c>
      <c r="AK34">
        <f>MAX('Data #1'!F34,'Data #2'!F34,'Data #3'!F34,'Data #4'!F34,'Data #5'!F34)</f>
        <v>-35.979999999999997</v>
      </c>
      <c r="AL34">
        <f>MAX('Data #1'!G34,'Data #2'!G34,'Data #3'!G34,'Data #4'!G34,'Data #5'!G34)</f>
        <v>-37.049999999999997</v>
      </c>
      <c r="AM34">
        <f>MAX('Data #1'!H34,'Data #2'!H34,'Data #3'!H34,'Data #4'!H34,'Data #5'!H34)</f>
        <v>-35.35</v>
      </c>
      <c r="AN34">
        <f>MIN('Data #1'!C34,'Data #2'!C34,'Data #3'!C34,'Data #4'!C34,'Data #5'!C34)</f>
        <v>-41.39</v>
      </c>
      <c r="AO34">
        <f>MIN('Data #1'!D34,'Data #2'!D34,'Data #3'!D34,'Data #4'!D34,'Data #5'!D34)</f>
        <v>-45.4</v>
      </c>
      <c r="AP34">
        <f>MIN('Data #1'!E34,'Data #2'!E34,'Data #3'!E34,'Data #4'!E34,'Data #5'!E34)</f>
        <v>-40.65</v>
      </c>
      <c r="AQ34">
        <f>MIN('Data #1'!F34,'Data #2'!F34,'Data #3'!F34,'Data #4'!F34,'Data #5'!F34)</f>
        <v>-35.979999999999997</v>
      </c>
      <c r="AR34">
        <f>MIN('Data #1'!G34,'Data #2'!G34,'Data #3'!G34,'Data #4'!G34,'Data #5'!G34)</f>
        <v>-37.049999999999997</v>
      </c>
      <c r="AS34">
        <f>MIN('Data #1'!H34,'Data #2'!H34,'Data #3'!H34,'Data #4'!H34,'Data #5'!H34)</f>
        <v>-35.35</v>
      </c>
      <c r="AT34">
        <f t="shared" si="4"/>
        <v>0</v>
      </c>
      <c r="AU34">
        <f t="shared" si="5"/>
        <v>0</v>
      </c>
      <c r="AV34">
        <f t="shared" si="6"/>
        <v>0</v>
      </c>
      <c r="AW34">
        <f t="shared" si="7"/>
        <v>0</v>
      </c>
      <c r="AX34">
        <f t="shared" si="8"/>
        <v>0</v>
      </c>
      <c r="AY34">
        <f t="shared" si="9"/>
        <v>0</v>
      </c>
      <c r="AZ34">
        <v>6.8842999999999996</v>
      </c>
      <c r="BA34">
        <v>1.277099999999999</v>
      </c>
      <c r="BB34">
        <v>2.6569000000000003</v>
      </c>
      <c r="BC34">
        <v>9.5237000000000016</v>
      </c>
      <c r="BD34">
        <v>4.4420999999999999</v>
      </c>
      <c r="BE34">
        <v>9.3978999999999999</v>
      </c>
      <c r="BF34">
        <f t="shared" si="10"/>
        <v>-6.8842999999999996</v>
      </c>
      <c r="BG34">
        <f t="shared" si="11"/>
        <v>-1.277099999999999</v>
      </c>
      <c r="BH34">
        <f t="shared" si="12"/>
        <v>-2.6569000000000003</v>
      </c>
      <c r="BI34">
        <f t="shared" si="13"/>
        <v>-9.5237000000000016</v>
      </c>
      <c r="BJ34">
        <f t="shared" si="14"/>
        <v>-4.4420999999999999</v>
      </c>
      <c r="BK34">
        <f t="shared" si="15"/>
        <v>-9.3978999999999999</v>
      </c>
    </row>
    <row r="35" spans="2:63">
      <c r="B35" s="19">
        <v>530</v>
      </c>
      <c r="C35" s="27">
        <f>+AVERAGE('Data #1'!W35,'Data #2'!W35,'Data #3'!W35,'Data #4'!W35,'Data #5'!W35)</f>
        <v>36.075333333333333</v>
      </c>
      <c r="D35" s="27">
        <f>+C35+STDEV('Data #1'!R35:T35,'Data #2'!R35:T35,'Data #3'!R35:T35,'Data #4'!R35:T35,'Data #5'!R35:T35)</f>
        <v>69.362425397604113</v>
      </c>
      <c r="E35" s="27">
        <f>+C35-STDEV('Data #1'!R35:T35,'Data #2'!R35:T35,'Data #3'!R35:T35,'Data #4'!R35:T35,'Data #5'!R35:T35)</f>
        <v>2.78824126906256</v>
      </c>
      <c r="F35" s="27">
        <f>+MIN('Data #1'!R35:T35,'Data #2'!R35:T35,'Data #3'!R35:T35,'Data #4'!R35:T35,'Data #5'!R35:T35)</f>
        <v>20</v>
      </c>
      <c r="G35" s="27">
        <f>+MAX('Data #1'!R35:T35,'Data #2'!R35:T35,'Data #3'!R35:T35,'Data #4'!R35:T35,'Data #5'!R35:T35)</f>
        <v>101.68</v>
      </c>
      <c r="I35" s="19">
        <v>530</v>
      </c>
      <c r="J35" s="27">
        <f>+AVERAGE('Data #1'!X35,'Data #2'!X35,'Data #3'!X35,'Data #4'!X35,'Data #5'!X35)</f>
        <v>27.74</v>
      </c>
      <c r="K35" s="27">
        <f t="shared" si="0"/>
        <v>37.739999999999995</v>
      </c>
      <c r="O35" s="20">
        <v>530</v>
      </c>
      <c r="P35" s="28">
        <f>+AVERAGE('Data #1'!AH35,'Data #2'!AH35,'Data #3'!AH35,'Data #4'!AH35,'Data #5'!AH35)</f>
        <v>34.995333333333335</v>
      </c>
      <c r="Q35" s="28">
        <f>+P35+STDEV('Data #1'!AC35:AE35,'Data #2'!AC35:AE35,'Data #3'!AC35:AE35,'Data #4'!AC35:AE35,'Data #5'!AC35:AE35)</f>
        <v>66.041294852775223</v>
      </c>
      <c r="R35" s="28">
        <f>+P35-STDEV('Data #1'!AC35:AE35,'Data #2'!AC35:AE35,'Data #3'!AC35:AE35,'Data #4'!AC35:AE35,'Data #5'!AC35:AE35)</f>
        <v>3.949371813891446</v>
      </c>
      <c r="S35" s="28">
        <f>+MIN('Data #1'!AC35:AE35,'Data #2'!AC35:AE35,'Data #3'!AC35:AE35,'Data #4'!AC35:AE35,'Data #5'!AC35:AE35)</f>
        <v>20</v>
      </c>
      <c r="T35" s="28">
        <f>+MAX('Data #1'!AC35:AE35,'Data #2'!AC35:AE35,'Data #3'!AC35:AE35,'Data #4'!AC35:AE35,'Data #5'!AC35:AE35)</f>
        <v>96.22</v>
      </c>
      <c r="V35" s="20">
        <v>530</v>
      </c>
      <c r="W35" s="28">
        <f>+AVERAGE('Data #1'!AI35,'Data #2'!AI35,'Data #3'!AI35,'Data #4'!AI35,'Data #4'!AI35)</f>
        <v>27.727999999999998</v>
      </c>
      <c r="X35" s="28">
        <f t="shared" si="1"/>
        <v>37.727999999999994</v>
      </c>
      <c r="AB35" s="21">
        <v>530</v>
      </c>
      <c r="AC35" s="10">
        <v>-10</v>
      </c>
      <c r="AD35" s="10">
        <v>10</v>
      </c>
      <c r="AH35">
        <f>MAX('Data #1'!C35,'Data #2'!C35,'Data #3'!C35,'Data #4'!C35,'Data #5'!C35)</f>
        <v>-42.98</v>
      </c>
      <c r="AI35">
        <f>MAX('Data #1'!D35,'Data #2'!D35,'Data #3'!D35,'Data #4'!D35,'Data #5'!D35)</f>
        <v>-42.59</v>
      </c>
      <c r="AJ35">
        <f>MAX('Data #1'!E35,'Data #2'!E35,'Data #3'!E35,'Data #4'!E35,'Data #5'!E35)</f>
        <v>-39.46</v>
      </c>
      <c r="AK35">
        <f>MAX('Data #1'!F35,'Data #2'!F35,'Data #3'!F35,'Data #4'!F35,'Data #5'!F35)</f>
        <v>-37.58</v>
      </c>
      <c r="AL35">
        <f>MAX('Data #1'!G35,'Data #2'!G35,'Data #3'!G35,'Data #4'!G35,'Data #5'!G35)</f>
        <v>-35.76</v>
      </c>
      <c r="AM35">
        <f>MAX('Data #1'!H35,'Data #2'!H35,'Data #3'!H35,'Data #4'!H35,'Data #5'!H35)</f>
        <v>-35.67</v>
      </c>
      <c r="AN35">
        <f>MIN('Data #1'!C35,'Data #2'!C35,'Data #3'!C35,'Data #4'!C35,'Data #5'!C35)</f>
        <v>-42.98</v>
      </c>
      <c r="AO35">
        <f>MIN('Data #1'!D35,'Data #2'!D35,'Data #3'!D35,'Data #4'!D35,'Data #5'!D35)</f>
        <v>-42.59</v>
      </c>
      <c r="AP35">
        <f>MIN('Data #1'!E35,'Data #2'!E35,'Data #3'!E35,'Data #4'!E35,'Data #5'!E35)</f>
        <v>-39.46</v>
      </c>
      <c r="AQ35">
        <f>MIN('Data #1'!F35,'Data #2'!F35,'Data #3'!F35,'Data #4'!F35,'Data #5'!F35)</f>
        <v>-37.58</v>
      </c>
      <c r="AR35">
        <f>MIN('Data #1'!G35,'Data #2'!G35,'Data #3'!G35,'Data #4'!G35,'Data #5'!G35)</f>
        <v>-35.76</v>
      </c>
      <c r="AS35">
        <f>MIN('Data #1'!H35,'Data #2'!H35,'Data #3'!H35,'Data #4'!H35,'Data #5'!H35)</f>
        <v>-35.67</v>
      </c>
      <c r="AT35">
        <f t="shared" si="4"/>
        <v>0</v>
      </c>
      <c r="AU35">
        <f t="shared" si="5"/>
        <v>0</v>
      </c>
      <c r="AV35">
        <f t="shared" si="6"/>
        <v>0</v>
      </c>
      <c r="AW35">
        <f t="shared" si="7"/>
        <v>0</v>
      </c>
      <c r="AX35">
        <f t="shared" si="8"/>
        <v>0</v>
      </c>
      <c r="AY35">
        <f t="shared" si="9"/>
        <v>0</v>
      </c>
      <c r="AZ35">
        <v>5.8393999999999995</v>
      </c>
      <c r="BA35">
        <v>1.3780000000000001</v>
      </c>
      <c r="BB35">
        <v>1.5462000000000007</v>
      </c>
      <c r="BC35">
        <v>1.1481999999999992</v>
      </c>
      <c r="BD35">
        <v>3.3205</v>
      </c>
      <c r="BE35">
        <v>6.8976000000000006</v>
      </c>
      <c r="BF35">
        <f t="shared" si="10"/>
        <v>-5.8393999999999995</v>
      </c>
      <c r="BG35">
        <f t="shared" si="11"/>
        <v>-1.3780000000000001</v>
      </c>
      <c r="BH35">
        <f t="shared" si="12"/>
        <v>-1.5462000000000007</v>
      </c>
      <c r="BI35">
        <f t="shared" si="13"/>
        <v>-1.1481999999999992</v>
      </c>
      <c r="BJ35">
        <f t="shared" si="14"/>
        <v>-3.3205</v>
      </c>
      <c r="BK35">
        <f t="shared" si="15"/>
        <v>-6.8976000000000006</v>
      </c>
    </row>
    <row r="36" spans="2:63">
      <c r="B36" s="19">
        <v>560</v>
      </c>
      <c r="C36" s="27">
        <f>+AVERAGE('Data #1'!W36,'Data #2'!W36,'Data #3'!W36,'Data #4'!W36,'Data #5'!W36)</f>
        <v>36.288666666666664</v>
      </c>
      <c r="D36" s="27">
        <f>+C36+STDEV('Data #1'!R36:T36,'Data #2'!R36:T36,'Data #3'!R36:T36,'Data #4'!R36:T36,'Data #5'!R36:T36)</f>
        <v>70.037078029630251</v>
      </c>
      <c r="E36" s="27">
        <f>+C36-STDEV('Data #1'!R36:T36,'Data #2'!R36:T36,'Data #3'!R36:T36,'Data #4'!R36:T36,'Data #5'!R36:T36)</f>
        <v>2.5402553037030771</v>
      </c>
      <c r="F36" s="27">
        <f>+MIN('Data #1'!R36:T36,'Data #2'!R36:T36,'Data #3'!R36:T36,'Data #4'!R36:T36,'Data #5'!R36:T36)</f>
        <v>20</v>
      </c>
      <c r="G36" s="27">
        <f>+MAX('Data #1'!R36:T36,'Data #2'!R36:T36,'Data #3'!R36:T36,'Data #4'!R36:T36,'Data #5'!R36:T36)</f>
        <v>104.82</v>
      </c>
      <c r="I36" s="19">
        <v>560</v>
      </c>
      <c r="J36" s="27">
        <f>+AVERAGE('Data #1'!X36,'Data #2'!X36,'Data #3'!X36,'Data #4'!X36,'Data #5'!X36)</f>
        <v>27.795999999999999</v>
      </c>
      <c r="K36" s="27">
        <f t="shared" si="0"/>
        <v>37.795999999999999</v>
      </c>
      <c r="O36" s="20">
        <v>560</v>
      </c>
      <c r="P36" s="28">
        <f>+AVERAGE('Data #1'!AH36,'Data #2'!AH36,'Data #3'!AH36,'Data #4'!AH36,'Data #5'!AH36)</f>
        <v>35.134</v>
      </c>
      <c r="Q36" s="28">
        <f>+P36+STDEV('Data #1'!AC36:AE36,'Data #2'!AC36:AE36,'Data #3'!AC36:AE36,'Data #4'!AC36:AE36,'Data #5'!AC36:AE36)</f>
        <v>66.465886040536134</v>
      </c>
      <c r="R36" s="28">
        <f>+P36-STDEV('Data #1'!AC36:AE36,'Data #2'!AC36:AE36,'Data #3'!AC36:AE36,'Data #4'!AC36:AE36,'Data #5'!AC36:AE36)</f>
        <v>3.8021139594638704</v>
      </c>
      <c r="S36" s="28">
        <f>+MIN('Data #1'!AC36:AE36,'Data #2'!AC36:AE36,'Data #3'!AC36:AE36,'Data #4'!AC36:AE36,'Data #5'!AC36:AE36)</f>
        <v>20</v>
      </c>
      <c r="T36" s="28">
        <f>+MAX('Data #1'!AC36:AE36,'Data #2'!AC36:AE36,'Data #3'!AC36:AE36,'Data #4'!AC36:AE36,'Data #5'!AC36:AE36)</f>
        <v>96.32</v>
      </c>
      <c r="V36" s="20">
        <v>560</v>
      </c>
      <c r="W36" s="28">
        <f>+AVERAGE('Data #1'!AI36,'Data #2'!AI36,'Data #3'!AI36,'Data #4'!AI36,'Data #4'!AI36)</f>
        <v>27.74</v>
      </c>
      <c r="X36" s="28">
        <f t="shared" si="1"/>
        <v>37.739999999999995</v>
      </c>
      <c r="AB36" s="21">
        <v>560</v>
      </c>
      <c r="AC36" s="10">
        <v>-10</v>
      </c>
      <c r="AD36" s="10">
        <v>10</v>
      </c>
      <c r="AH36">
        <f>MAX('Data #1'!C36,'Data #2'!C36,'Data #3'!C36,'Data #4'!C36,'Data #5'!C36)</f>
        <v>-45.84</v>
      </c>
      <c r="AI36">
        <f>MAX('Data #1'!D36,'Data #2'!D36,'Data #3'!D36,'Data #4'!D36,'Data #5'!D36)</f>
        <v>-42.9</v>
      </c>
      <c r="AJ36">
        <f>MAX('Data #1'!E36,'Data #2'!E36,'Data #3'!E36,'Data #4'!E36,'Data #5'!E36)</f>
        <v>-38.65</v>
      </c>
      <c r="AK36">
        <f>MAX('Data #1'!F36,'Data #2'!F36,'Data #3'!F36,'Data #4'!F36,'Data #5'!F36)</f>
        <v>-37.24</v>
      </c>
      <c r="AL36">
        <f>MAX('Data #1'!G36,'Data #2'!G36,'Data #3'!G36,'Data #4'!G36,'Data #5'!G36)</f>
        <v>-37.619999999999997</v>
      </c>
      <c r="AM36">
        <f>MAX('Data #1'!H36,'Data #2'!H36,'Data #3'!H36,'Data #4'!H36,'Data #5'!H36)</f>
        <v>-36.049999999999997</v>
      </c>
      <c r="AN36">
        <f>MIN('Data #1'!C36,'Data #2'!C36,'Data #3'!C36,'Data #4'!C36,'Data #5'!C36)</f>
        <v>-45.84</v>
      </c>
      <c r="AO36">
        <f>MIN('Data #1'!D36,'Data #2'!D36,'Data #3'!D36,'Data #4'!D36,'Data #5'!D36)</f>
        <v>-42.9</v>
      </c>
      <c r="AP36">
        <f>MIN('Data #1'!E36,'Data #2'!E36,'Data #3'!E36,'Data #4'!E36,'Data #5'!E36)</f>
        <v>-38.65</v>
      </c>
      <c r="AQ36">
        <f>MIN('Data #1'!F36,'Data #2'!F36,'Data #3'!F36,'Data #4'!F36,'Data #5'!F36)</f>
        <v>-37.24</v>
      </c>
      <c r="AR36">
        <f>MIN('Data #1'!G36,'Data #2'!G36,'Data #3'!G36,'Data #4'!G36,'Data #5'!G36)</f>
        <v>-37.619999999999997</v>
      </c>
      <c r="AS36">
        <f>MIN('Data #1'!H36,'Data #2'!H36,'Data #3'!H36,'Data #4'!H36,'Data #5'!H36)</f>
        <v>-36.049999999999997</v>
      </c>
      <c r="AT36">
        <f t="shared" si="4"/>
        <v>0</v>
      </c>
      <c r="AU36">
        <f t="shared" si="5"/>
        <v>0</v>
      </c>
      <c r="AV36">
        <f t="shared" si="6"/>
        <v>0</v>
      </c>
      <c r="AW36">
        <f t="shared" si="7"/>
        <v>0</v>
      </c>
      <c r="AX36">
        <f t="shared" si="8"/>
        <v>0</v>
      </c>
      <c r="AY36">
        <f t="shared" si="9"/>
        <v>0</v>
      </c>
      <c r="AZ36">
        <v>5.1283999999999992</v>
      </c>
      <c r="BA36">
        <v>1.7739000000000003</v>
      </c>
      <c r="BB36">
        <v>1.1021000000000001</v>
      </c>
      <c r="BC36">
        <v>4.668099999999999</v>
      </c>
      <c r="BD36">
        <v>3.4101000000000008</v>
      </c>
      <c r="BE36">
        <v>5.3445999999999998</v>
      </c>
      <c r="BF36">
        <f t="shared" si="10"/>
        <v>-5.1283999999999992</v>
      </c>
      <c r="BG36">
        <f t="shared" si="11"/>
        <v>-1.7739000000000003</v>
      </c>
      <c r="BH36">
        <f t="shared" si="12"/>
        <v>-1.1021000000000001</v>
      </c>
      <c r="BI36">
        <f t="shared" si="13"/>
        <v>-4.668099999999999</v>
      </c>
      <c r="BJ36">
        <f t="shared" si="14"/>
        <v>-3.4101000000000008</v>
      </c>
      <c r="BK36">
        <f t="shared" si="15"/>
        <v>-5.3445999999999998</v>
      </c>
    </row>
    <row r="37" spans="2:63">
      <c r="B37" s="19">
        <v>600</v>
      </c>
      <c r="C37" s="27">
        <f>+AVERAGE('Data #1'!W37,'Data #2'!W37,'Data #3'!W37,'Data #4'!W37,'Data #5'!W37)</f>
        <v>36.547333333333334</v>
      </c>
      <c r="D37" s="27">
        <f>+C37+STDEV('Data #1'!R37:T37,'Data #2'!R37:T37,'Data #3'!R37:T37,'Data #4'!R37:T37,'Data #5'!R37:T37)</f>
        <v>70.817923904481034</v>
      </c>
      <c r="E37" s="27">
        <f>+C37-STDEV('Data #1'!R37:T37,'Data #2'!R37:T37,'Data #3'!R37:T37,'Data #4'!R37:T37,'Data #5'!R37:T37)</f>
        <v>2.2767427621856271</v>
      </c>
      <c r="F37" s="27">
        <f>+MIN('Data #1'!R37:T37,'Data #2'!R37:T37,'Data #3'!R37:T37,'Data #4'!R37:T37,'Data #5'!R37:T37)</f>
        <v>20</v>
      </c>
      <c r="G37" s="27">
        <f>+MAX('Data #1'!R37:T37,'Data #2'!R37:T37,'Data #3'!R37:T37,'Data #4'!R37:T37,'Data #5'!R37:T37)</f>
        <v>104.88</v>
      </c>
      <c r="I37" s="19">
        <v>600</v>
      </c>
      <c r="J37" s="27">
        <f>+AVERAGE('Data #1'!X37,'Data #2'!X37,'Data #3'!X37,'Data #4'!X37,'Data #5'!X37)</f>
        <v>27.842000000000002</v>
      </c>
      <c r="K37" s="27">
        <f t="shared" si="0"/>
        <v>37.841999999999999</v>
      </c>
      <c r="O37" s="20">
        <v>600</v>
      </c>
      <c r="P37" s="28">
        <f>+AVERAGE('Data #1'!AH37,'Data #2'!AH37,'Data #3'!AH37,'Data #4'!AH37,'Data #5'!AH37)</f>
        <v>35.334666666666671</v>
      </c>
      <c r="Q37" s="28">
        <f>+P37+STDEV('Data #1'!AC37:AE37,'Data #2'!AC37:AE37,'Data #3'!AC37:AE37,'Data #4'!AC37:AE37,'Data #5'!AC37:AE37)</f>
        <v>67.092588707961383</v>
      </c>
      <c r="R37" s="28">
        <f>+P37-STDEV('Data #1'!AC37:AE37,'Data #2'!AC37:AE37,'Data #3'!AC37:AE37,'Data #4'!AC37:AE37,'Data #5'!AC37:AE37)</f>
        <v>3.5767446253719619</v>
      </c>
      <c r="S37" s="28">
        <f>+MIN('Data #1'!AC37:AE37,'Data #2'!AC37:AE37,'Data #3'!AC37:AE37,'Data #4'!AC37:AE37,'Data #5'!AC37:AE37)</f>
        <v>20</v>
      </c>
      <c r="T37" s="28">
        <f>+MAX('Data #1'!AC37:AE37,'Data #2'!AC37:AE37,'Data #3'!AC37:AE37,'Data #4'!AC37:AE37,'Data #5'!AC37:AE37)</f>
        <v>99.27</v>
      </c>
      <c r="V37" s="20">
        <v>600</v>
      </c>
      <c r="W37" s="28">
        <f>+AVERAGE('Data #1'!AI37,'Data #2'!AI37,'Data #3'!AI37,'Data #4'!AI37,'Data #4'!AI37)</f>
        <v>27.772000000000002</v>
      </c>
      <c r="X37" s="28">
        <f t="shared" si="1"/>
        <v>37.772000000000006</v>
      </c>
      <c r="AB37" s="21">
        <v>600</v>
      </c>
      <c r="AC37" s="10">
        <v>-10</v>
      </c>
      <c r="AD37" s="10">
        <v>10</v>
      </c>
      <c r="AH37">
        <f>MAX('Data #1'!C37,'Data #2'!C37,'Data #3'!C37,'Data #4'!C37,'Data #5'!C37)</f>
        <v>-45.67</v>
      </c>
      <c r="AI37">
        <f>MAX('Data #1'!D37,'Data #2'!D37,'Data #3'!D37,'Data #4'!D37,'Data #5'!D37)</f>
        <v>-44.31</v>
      </c>
      <c r="AJ37">
        <f>MAX('Data #1'!E37,'Data #2'!E37,'Data #3'!E37,'Data #4'!E37,'Data #5'!E37)</f>
        <v>-40.6</v>
      </c>
      <c r="AK37">
        <f>MAX('Data #1'!F37,'Data #2'!F37,'Data #3'!F37,'Data #4'!F37,'Data #5'!F37)</f>
        <v>-40.409999999999997</v>
      </c>
      <c r="AL37">
        <f>MAX('Data #1'!G37,'Data #2'!G37,'Data #3'!G37,'Data #4'!G37,'Data #5'!G37)</f>
        <v>-35.93</v>
      </c>
      <c r="AM37">
        <f>MAX('Data #1'!H37,'Data #2'!H37,'Data #3'!H37,'Data #4'!H37,'Data #5'!H37)</f>
        <v>-37.1</v>
      </c>
      <c r="AN37">
        <f>MIN('Data #1'!C37,'Data #2'!C37,'Data #3'!C37,'Data #4'!C37,'Data #5'!C37)</f>
        <v>-45.67</v>
      </c>
      <c r="AO37">
        <f>MIN('Data #1'!D37,'Data #2'!D37,'Data #3'!D37,'Data #4'!D37,'Data #5'!D37)</f>
        <v>-44.31</v>
      </c>
      <c r="AP37">
        <f>MIN('Data #1'!E37,'Data #2'!E37,'Data #3'!E37,'Data #4'!E37,'Data #5'!E37)</f>
        <v>-40.6</v>
      </c>
      <c r="AQ37">
        <f>MIN('Data #1'!F37,'Data #2'!F37,'Data #3'!F37,'Data #4'!F37,'Data #5'!F37)</f>
        <v>-40.409999999999997</v>
      </c>
      <c r="AR37">
        <f>MIN('Data #1'!G37,'Data #2'!G37,'Data #3'!G37,'Data #4'!G37,'Data #5'!G37)</f>
        <v>-35.93</v>
      </c>
      <c r="AS37">
        <f>MIN('Data #1'!H37,'Data #2'!H37,'Data #3'!H37,'Data #4'!H37,'Data #5'!H37)</f>
        <v>-37.1</v>
      </c>
      <c r="AT37">
        <f t="shared" si="4"/>
        <v>0</v>
      </c>
      <c r="AU37">
        <f t="shared" si="5"/>
        <v>0</v>
      </c>
      <c r="AV37">
        <f t="shared" si="6"/>
        <v>0</v>
      </c>
      <c r="AW37">
        <f t="shared" si="7"/>
        <v>0</v>
      </c>
      <c r="AX37">
        <f t="shared" si="8"/>
        <v>0</v>
      </c>
      <c r="AY37">
        <f t="shared" si="9"/>
        <v>0</v>
      </c>
      <c r="AZ37">
        <v>4.4573999999999998</v>
      </c>
      <c r="BA37">
        <v>1.5111999999999997</v>
      </c>
      <c r="BB37">
        <v>1.416599999999999</v>
      </c>
      <c r="BC37">
        <v>4.2387999999999995</v>
      </c>
      <c r="BD37">
        <v>3.0519999999999996</v>
      </c>
      <c r="BE37">
        <v>3.0208999999999993</v>
      </c>
      <c r="BF37">
        <f t="shared" si="10"/>
        <v>-4.4573999999999998</v>
      </c>
      <c r="BG37">
        <f t="shared" si="11"/>
        <v>-1.5111999999999997</v>
      </c>
      <c r="BH37">
        <f t="shared" si="12"/>
        <v>-1.416599999999999</v>
      </c>
      <c r="BI37">
        <f t="shared" si="13"/>
        <v>-4.2387999999999995</v>
      </c>
      <c r="BJ37">
        <f t="shared" si="14"/>
        <v>-3.0519999999999996</v>
      </c>
      <c r="BK37">
        <f t="shared" si="15"/>
        <v>-3.0208999999999993</v>
      </c>
    </row>
    <row r="38" spans="2:63">
      <c r="B38" s="19">
        <v>630</v>
      </c>
      <c r="C38" s="27">
        <f>+AVERAGE('Data #1'!W38,'Data #2'!W38,'Data #3'!W38,'Data #4'!W38,'Data #5'!W38)</f>
        <v>36.784000000000006</v>
      </c>
      <c r="D38" s="27">
        <f>+C38+STDEV('Data #1'!R38:T38,'Data #2'!R38:T38,'Data #3'!R38:T38,'Data #4'!R38:T38,'Data #5'!R38:T38)</f>
        <v>71.545614256450847</v>
      </c>
      <c r="E38" s="27">
        <f>+C38-STDEV('Data #1'!R38:T38,'Data #2'!R38:T38,'Data #3'!R38:T38,'Data #4'!R38:T38,'Data #5'!R38:T38)</f>
        <v>2.0223857435491723</v>
      </c>
      <c r="F38" s="27">
        <f>+MIN('Data #1'!R38:T38,'Data #2'!R38:T38,'Data #3'!R38:T38,'Data #4'!R38:T38,'Data #5'!R38:T38)</f>
        <v>20</v>
      </c>
      <c r="G38" s="27">
        <f>+MAX('Data #1'!R38:T38,'Data #2'!R38:T38,'Data #3'!R38:T38,'Data #4'!R38:T38,'Data #5'!R38:T38)</f>
        <v>107.03</v>
      </c>
      <c r="I38" s="19">
        <v>630</v>
      </c>
      <c r="J38" s="27">
        <f>+AVERAGE('Data #1'!X38,'Data #2'!X38,'Data #3'!X38,'Data #4'!X38,'Data #5'!X38)</f>
        <v>27.880000000000003</v>
      </c>
      <c r="K38" s="27">
        <f t="shared" si="0"/>
        <v>37.880000000000003</v>
      </c>
      <c r="O38" s="20">
        <v>630</v>
      </c>
      <c r="P38" s="28">
        <f>+AVERAGE('Data #1'!AH38,'Data #2'!AH38,'Data #3'!AH38,'Data #4'!AH38,'Data #5'!AH38)</f>
        <v>35.503999999999998</v>
      </c>
      <c r="Q38" s="28">
        <f>+P38+STDEV('Data #1'!AC38:AE38,'Data #2'!AC38:AE38,'Data #3'!AC38:AE38,'Data #4'!AC38:AE38,'Data #5'!AC38:AE38)</f>
        <v>67.602264706099874</v>
      </c>
      <c r="R38" s="28">
        <f>+P38-STDEV('Data #1'!AC38:AE38,'Data #2'!AC38:AE38,'Data #3'!AC38:AE38,'Data #4'!AC38:AE38,'Data #5'!AC38:AE38)</f>
        <v>3.4057352939001149</v>
      </c>
      <c r="S38" s="28">
        <f>+MIN('Data #1'!AC38:AE38,'Data #2'!AC38:AE38,'Data #3'!AC38:AE38,'Data #4'!AC38:AE38,'Data #5'!AC38:AE38)</f>
        <v>20</v>
      </c>
      <c r="T38" s="28">
        <f>+MAX('Data #1'!AC38:AE38,'Data #2'!AC38:AE38,'Data #3'!AC38:AE38,'Data #4'!AC38:AE38,'Data #5'!AC38:AE38)</f>
        <v>98.59</v>
      </c>
      <c r="V38" s="20">
        <v>630</v>
      </c>
      <c r="W38" s="28">
        <f>+AVERAGE('Data #1'!AI38,'Data #2'!AI38,'Data #3'!AI38,'Data #4'!AI38,'Data #4'!AI38)</f>
        <v>27.815999999999995</v>
      </c>
      <c r="X38" s="28">
        <f t="shared" si="1"/>
        <v>37.815999999999995</v>
      </c>
      <c r="AB38" s="21">
        <v>630</v>
      </c>
      <c r="AC38" s="10">
        <v>-10</v>
      </c>
      <c r="AD38" s="10">
        <v>10</v>
      </c>
      <c r="AH38">
        <f>MAX('Data #1'!C38,'Data #2'!C38,'Data #3'!C38,'Data #4'!C38,'Data #5'!C38)</f>
        <v>-43.47</v>
      </c>
      <c r="AI38">
        <f>MAX('Data #1'!D38,'Data #2'!D38,'Data #3'!D38,'Data #4'!D38,'Data #5'!D38)</f>
        <v>-47.63</v>
      </c>
      <c r="AJ38">
        <f>MAX('Data #1'!E38,'Data #2'!E38,'Data #3'!E38,'Data #4'!E38,'Data #5'!E38)</f>
        <v>-42.46</v>
      </c>
      <c r="AK38">
        <f>MAX('Data #1'!F38,'Data #2'!F38,'Data #3'!F38,'Data #4'!F38,'Data #5'!F38)</f>
        <v>-39.51</v>
      </c>
      <c r="AL38">
        <f>MAX('Data #1'!G38,'Data #2'!G38,'Data #3'!G38,'Data #4'!G38,'Data #5'!G38)</f>
        <v>-38.01</v>
      </c>
      <c r="AM38">
        <f>MAX('Data #1'!H38,'Data #2'!H38,'Data #3'!H38,'Data #4'!H38,'Data #5'!H38)</f>
        <v>-37.799999999999997</v>
      </c>
      <c r="AN38">
        <f>MIN('Data #1'!C38,'Data #2'!C38,'Data #3'!C38,'Data #4'!C38,'Data #5'!C38)</f>
        <v>-43.47</v>
      </c>
      <c r="AO38">
        <f>MIN('Data #1'!D38,'Data #2'!D38,'Data #3'!D38,'Data #4'!D38,'Data #5'!D38)</f>
        <v>-47.63</v>
      </c>
      <c r="AP38">
        <f>MIN('Data #1'!E38,'Data #2'!E38,'Data #3'!E38,'Data #4'!E38,'Data #5'!E38)</f>
        <v>-42.46</v>
      </c>
      <c r="AQ38">
        <f>MIN('Data #1'!F38,'Data #2'!F38,'Data #3'!F38,'Data #4'!F38,'Data #5'!F38)</f>
        <v>-39.51</v>
      </c>
      <c r="AR38">
        <f>MIN('Data #1'!G38,'Data #2'!G38,'Data #3'!G38,'Data #4'!G38,'Data #5'!G38)</f>
        <v>-38.01</v>
      </c>
      <c r="AS38">
        <f>MIN('Data #1'!H38,'Data #2'!H38,'Data #3'!H38,'Data #4'!H38,'Data #5'!H38)</f>
        <v>-37.799999999999997</v>
      </c>
      <c r="AT38">
        <f t="shared" si="4"/>
        <v>0</v>
      </c>
      <c r="AU38">
        <f t="shared" si="5"/>
        <v>0</v>
      </c>
      <c r="AV38">
        <f t="shared" si="6"/>
        <v>0</v>
      </c>
      <c r="AW38">
        <f t="shared" si="7"/>
        <v>0</v>
      </c>
      <c r="AX38">
        <f t="shared" si="8"/>
        <v>0</v>
      </c>
      <c r="AY38">
        <f t="shared" si="9"/>
        <v>0</v>
      </c>
      <c r="AZ38">
        <v>3.3505000000000003</v>
      </c>
      <c r="BA38">
        <v>0.66800000000000015</v>
      </c>
      <c r="BB38">
        <v>1.4002999999999997</v>
      </c>
      <c r="BC38">
        <v>4.3094000000000001</v>
      </c>
      <c r="BD38">
        <v>4.0592999999999995</v>
      </c>
      <c r="BE38">
        <v>4.0931999999999995</v>
      </c>
      <c r="BF38">
        <f t="shared" si="10"/>
        <v>-3.3505000000000003</v>
      </c>
      <c r="BG38">
        <f t="shared" si="11"/>
        <v>-0.66800000000000015</v>
      </c>
      <c r="BH38">
        <f t="shared" si="12"/>
        <v>-1.4002999999999997</v>
      </c>
      <c r="BI38">
        <f t="shared" si="13"/>
        <v>-4.3094000000000001</v>
      </c>
      <c r="BJ38">
        <f t="shared" si="14"/>
        <v>-4.0592999999999995</v>
      </c>
      <c r="BK38">
        <f t="shared" si="15"/>
        <v>-4.0931999999999995</v>
      </c>
    </row>
    <row r="39" spans="2:63">
      <c r="B39" s="19">
        <v>670</v>
      </c>
      <c r="C39" s="27">
        <f>+AVERAGE('Data #1'!W39,'Data #2'!W39,'Data #3'!W39,'Data #4'!W39,'Data #5'!W39)</f>
        <v>37.082666666666668</v>
      </c>
      <c r="D39" s="27">
        <f>+C39+STDEV('Data #1'!R39:T39,'Data #2'!R39:T39,'Data #3'!R39:T39,'Data #4'!R39:T39,'Data #5'!R39:T39)</f>
        <v>72.452697254857043</v>
      </c>
      <c r="E39" s="27">
        <f>+C39-STDEV('Data #1'!R39:T39,'Data #2'!R39:T39,'Data #3'!R39:T39,'Data #4'!R39:T39,'Data #5'!R39:T39)</f>
        <v>1.7126360784762866</v>
      </c>
      <c r="F39" s="27">
        <f>+MIN('Data #1'!R39:T39,'Data #2'!R39:T39,'Data #3'!R39:T39,'Data #4'!R39:T39,'Data #5'!R39:T39)</f>
        <v>20</v>
      </c>
      <c r="G39" s="27">
        <f>+MAX('Data #1'!R39:T39,'Data #2'!R39:T39,'Data #3'!R39:T39,'Data #4'!R39:T39,'Data #5'!R39:T39)</f>
        <v>106.83</v>
      </c>
      <c r="I39" s="19">
        <v>670</v>
      </c>
      <c r="J39" s="27">
        <f>+AVERAGE('Data #1'!X39,'Data #2'!X39,'Data #3'!X39,'Data #4'!X39,'Data #5'!X39)</f>
        <v>27.988</v>
      </c>
      <c r="K39" s="27">
        <f t="shared" si="0"/>
        <v>37.988</v>
      </c>
      <c r="O39" s="20">
        <v>670</v>
      </c>
      <c r="P39" s="28">
        <f>+AVERAGE('Data #1'!AH39,'Data #2'!AH39,'Data #3'!AH39,'Data #4'!AH39,'Data #5'!AH39)</f>
        <v>35.438000000000002</v>
      </c>
      <c r="Q39" s="28">
        <f>+P39+STDEV('Data #1'!AC39:AE39,'Data #2'!AC39:AE39,'Data #3'!AC39:AE39,'Data #4'!AC39:AE39,'Data #5'!AC39:AE39)</f>
        <v>67.398235382648323</v>
      </c>
      <c r="R39" s="28">
        <f>+P39-STDEV('Data #1'!AC39:AE39,'Data #2'!AC39:AE39,'Data #3'!AC39:AE39,'Data #4'!AC39:AE39,'Data #5'!AC39:AE39)</f>
        <v>3.4777646173516814</v>
      </c>
      <c r="S39" s="28">
        <f>+MIN('Data #1'!AC39:AE39,'Data #2'!AC39:AE39,'Data #3'!AC39:AE39,'Data #4'!AC39:AE39,'Data #5'!AC39:AE39)</f>
        <v>20</v>
      </c>
      <c r="T39" s="28">
        <f>+MAX('Data #1'!AC39:AE39,'Data #2'!AC39:AE39,'Data #3'!AC39:AE39,'Data #4'!AC39:AE39,'Data #5'!AC39:AE39)</f>
        <v>97.61</v>
      </c>
      <c r="V39" s="20">
        <v>670</v>
      </c>
      <c r="W39" s="28">
        <f>+AVERAGE('Data #1'!AI39,'Data #2'!AI39,'Data #3'!AI39,'Data #4'!AI39,'Data #4'!AI39)</f>
        <v>27.939999999999998</v>
      </c>
      <c r="X39" s="28">
        <f t="shared" si="1"/>
        <v>37.94</v>
      </c>
      <c r="AB39" s="21">
        <v>670</v>
      </c>
      <c r="AC39" s="10">
        <v>-10</v>
      </c>
      <c r="AD39" s="10">
        <v>10</v>
      </c>
      <c r="AH39">
        <f>MAX('Data #1'!C39,'Data #2'!C39,'Data #3'!C39,'Data #4'!C39,'Data #5'!C39)</f>
        <v>-46.89</v>
      </c>
      <c r="AI39">
        <f>MAX('Data #1'!D39,'Data #2'!D39,'Data #3'!D39,'Data #4'!D39,'Data #5'!D39)</f>
        <v>-43.65</v>
      </c>
      <c r="AJ39">
        <f>MAX('Data #1'!E39,'Data #2'!E39,'Data #3'!E39,'Data #4'!E39,'Data #5'!E39)</f>
        <v>-45.88</v>
      </c>
      <c r="AK39">
        <f>MAX('Data #1'!F39,'Data #2'!F39,'Data #3'!F39,'Data #4'!F39,'Data #5'!F39)</f>
        <v>-37.909999999999997</v>
      </c>
      <c r="AL39">
        <f>MAX('Data #1'!G39,'Data #2'!G39,'Data #3'!G39,'Data #4'!G39,'Data #5'!G39)</f>
        <v>-37.61</v>
      </c>
      <c r="AM39">
        <f>MAX('Data #1'!H39,'Data #2'!H39,'Data #3'!H39,'Data #4'!H39,'Data #5'!H39)</f>
        <v>-36.950000000000003</v>
      </c>
      <c r="AN39">
        <f>MIN('Data #1'!C39,'Data #2'!C39,'Data #3'!C39,'Data #4'!C39,'Data #5'!C39)</f>
        <v>-46.89</v>
      </c>
      <c r="AO39">
        <f>MIN('Data #1'!D39,'Data #2'!D39,'Data #3'!D39,'Data #4'!D39,'Data #5'!D39)</f>
        <v>-43.65</v>
      </c>
      <c r="AP39">
        <f>MIN('Data #1'!E39,'Data #2'!E39,'Data #3'!E39,'Data #4'!E39,'Data #5'!E39)</f>
        <v>-45.88</v>
      </c>
      <c r="AQ39">
        <f>MIN('Data #1'!F39,'Data #2'!F39,'Data #3'!F39,'Data #4'!F39,'Data #5'!F39)</f>
        <v>-37.909999999999997</v>
      </c>
      <c r="AR39">
        <f>MIN('Data #1'!G39,'Data #2'!G39,'Data #3'!G39,'Data #4'!G39,'Data #5'!G39)</f>
        <v>-37.61</v>
      </c>
      <c r="AS39">
        <f>MIN('Data #1'!H39,'Data #2'!H39,'Data #3'!H39,'Data #4'!H39,'Data #5'!H39)</f>
        <v>-36.950000000000003</v>
      </c>
      <c r="AT39">
        <f t="shared" si="4"/>
        <v>0</v>
      </c>
      <c r="AU39">
        <f t="shared" si="5"/>
        <v>0</v>
      </c>
      <c r="AV39">
        <f t="shared" si="6"/>
        <v>0</v>
      </c>
      <c r="AW39">
        <f t="shared" si="7"/>
        <v>0</v>
      </c>
      <c r="AX39">
        <f t="shared" si="8"/>
        <v>0</v>
      </c>
      <c r="AY39">
        <f t="shared" si="9"/>
        <v>0</v>
      </c>
      <c r="AZ39">
        <v>3.724400000000001</v>
      </c>
      <c r="BA39">
        <v>1.1535999999999991</v>
      </c>
      <c r="BB39">
        <v>1.9735999999999994</v>
      </c>
      <c r="BC39">
        <v>4.0042999999999997</v>
      </c>
      <c r="BD39">
        <v>4.1548999999999996</v>
      </c>
      <c r="BE39">
        <v>3.3061000000000007</v>
      </c>
      <c r="BF39">
        <f t="shared" si="10"/>
        <v>-3.724400000000001</v>
      </c>
      <c r="BG39">
        <f t="shared" si="11"/>
        <v>-1.1535999999999991</v>
      </c>
      <c r="BH39">
        <f t="shared" si="12"/>
        <v>-1.9735999999999994</v>
      </c>
      <c r="BI39">
        <f t="shared" si="13"/>
        <v>-4.0042999999999997</v>
      </c>
      <c r="BJ39">
        <f t="shared" si="14"/>
        <v>-4.1548999999999996</v>
      </c>
      <c r="BK39">
        <f t="shared" si="15"/>
        <v>-3.3061000000000007</v>
      </c>
    </row>
    <row r="40" spans="2:63">
      <c r="B40" s="19">
        <v>710</v>
      </c>
      <c r="C40" s="27">
        <f>+AVERAGE('Data #1'!W40,'Data #2'!W40,'Data #3'!W40,'Data #4'!W40,'Data #5'!W40)</f>
        <v>36.762</v>
      </c>
      <c r="D40" s="27">
        <f>+C40+STDEV('Data #1'!R40:T40,'Data #2'!R40:T40,'Data #3'!R40:T40,'Data #4'!R40:T40,'Data #5'!R40:T40)</f>
        <v>71.472109725307064</v>
      </c>
      <c r="E40" s="27">
        <f>+C40-STDEV('Data #1'!R40:T40,'Data #2'!R40:T40,'Data #3'!R40:T40,'Data #4'!R40:T40,'Data #5'!R40:T40)</f>
        <v>2.0518902746929299</v>
      </c>
      <c r="F40" s="27">
        <f>+MIN('Data #1'!R40:T40,'Data #2'!R40:T40,'Data #3'!R40:T40,'Data #4'!R40:T40,'Data #5'!R40:T40)</f>
        <v>20</v>
      </c>
      <c r="G40" s="27">
        <f>+MAX('Data #1'!R40:T40,'Data #2'!R40:T40,'Data #3'!R40:T40,'Data #4'!R40:T40,'Data #5'!R40:T40)</f>
        <v>106.12</v>
      </c>
      <c r="I40" s="19">
        <v>710</v>
      </c>
      <c r="J40" s="27">
        <f>+AVERAGE('Data #1'!X40,'Data #2'!X40,'Data #3'!X40,'Data #4'!X40,'Data #5'!X40)</f>
        <v>28.077999999999996</v>
      </c>
      <c r="K40" s="27">
        <f t="shared" si="0"/>
        <v>38.077999999999996</v>
      </c>
      <c r="O40" s="20">
        <v>710</v>
      </c>
      <c r="P40" s="28">
        <f>+AVERAGE('Data #1'!AH40,'Data #2'!AH40,'Data #3'!AH40,'Data #4'!AH40,'Data #5'!AH40)</f>
        <v>35.303333333333327</v>
      </c>
      <c r="Q40" s="28">
        <f>+P40+STDEV('Data #1'!AC40:AE40,'Data #2'!AC40:AE40,'Data #3'!AC40:AE40,'Data #4'!AC40:AE40,'Data #5'!AC40:AE40)</f>
        <v>66.984988608150985</v>
      </c>
      <c r="R40" s="28">
        <f>+P40-STDEV('Data #1'!AC40:AE40,'Data #2'!AC40:AE40,'Data #3'!AC40:AE40,'Data #4'!AC40:AE40,'Data #5'!AC40:AE40)</f>
        <v>3.6216780585156698</v>
      </c>
      <c r="S40" s="28">
        <f>+MIN('Data #1'!AC40:AE40,'Data #2'!AC40:AE40,'Data #3'!AC40:AE40,'Data #4'!AC40:AE40,'Data #5'!AC40:AE40)</f>
        <v>20</v>
      </c>
      <c r="T40" s="28">
        <f>+MAX('Data #1'!AC40:AE40,'Data #2'!AC40:AE40,'Data #3'!AC40:AE40,'Data #4'!AC40:AE40,'Data #5'!AC40:AE40)</f>
        <v>97.02</v>
      </c>
      <c r="V40" s="20">
        <v>710</v>
      </c>
      <c r="W40" s="28">
        <f>+AVERAGE('Data #1'!AI40,'Data #2'!AI40,'Data #3'!AI40,'Data #4'!AI40,'Data #4'!AI40)</f>
        <v>27.994</v>
      </c>
      <c r="X40" s="28">
        <f t="shared" si="1"/>
        <v>37.994</v>
      </c>
      <c r="AB40" s="21">
        <v>710</v>
      </c>
      <c r="AC40" s="10">
        <v>-10</v>
      </c>
      <c r="AD40" s="10">
        <v>10</v>
      </c>
      <c r="AH40">
        <f>MAX('Data #1'!C40,'Data #2'!C40,'Data #3'!C40,'Data #4'!C40,'Data #5'!C40)</f>
        <v>-43.04</v>
      </c>
      <c r="AI40">
        <f>MAX('Data #1'!D40,'Data #2'!D40,'Data #3'!D40,'Data #4'!D40,'Data #5'!D40)</f>
        <v>-41.49</v>
      </c>
      <c r="AJ40">
        <f>MAX('Data #1'!E40,'Data #2'!E40,'Data #3'!E40,'Data #4'!E40,'Data #5'!E40)</f>
        <v>-45.73</v>
      </c>
      <c r="AK40">
        <f>MAX('Data #1'!F40,'Data #2'!F40,'Data #3'!F40,'Data #4'!F40,'Data #5'!F40)</f>
        <v>-36.67</v>
      </c>
      <c r="AL40">
        <f>MAX('Data #1'!G40,'Data #2'!G40,'Data #3'!G40,'Data #4'!G40,'Data #5'!G40)</f>
        <v>-35.92</v>
      </c>
      <c r="AM40">
        <f>MAX('Data #1'!H40,'Data #2'!H40,'Data #3'!H40,'Data #4'!H40,'Data #5'!H40)</f>
        <v>-37.049999999999997</v>
      </c>
      <c r="AN40">
        <f>MIN('Data #1'!C40,'Data #2'!C40,'Data #3'!C40,'Data #4'!C40,'Data #5'!C40)</f>
        <v>-43.04</v>
      </c>
      <c r="AO40">
        <f>MIN('Data #1'!D40,'Data #2'!D40,'Data #3'!D40,'Data #4'!D40,'Data #5'!D40)</f>
        <v>-41.49</v>
      </c>
      <c r="AP40">
        <f>MIN('Data #1'!E40,'Data #2'!E40,'Data #3'!E40,'Data #4'!E40,'Data #5'!E40)</f>
        <v>-45.73</v>
      </c>
      <c r="AQ40">
        <f>MIN('Data #1'!F40,'Data #2'!F40,'Data #3'!F40,'Data #4'!F40,'Data #5'!F40)</f>
        <v>-36.67</v>
      </c>
      <c r="AR40">
        <f>MIN('Data #1'!G40,'Data #2'!G40,'Data #3'!G40,'Data #4'!G40,'Data #5'!G40)</f>
        <v>-35.92</v>
      </c>
      <c r="AS40">
        <f>MIN('Data #1'!H40,'Data #2'!H40,'Data #3'!H40,'Data #4'!H40,'Data #5'!H40)</f>
        <v>-37.049999999999997</v>
      </c>
      <c r="AT40">
        <f t="shared" si="4"/>
        <v>0</v>
      </c>
      <c r="AU40">
        <f t="shared" si="5"/>
        <v>0</v>
      </c>
      <c r="AV40">
        <f t="shared" si="6"/>
        <v>0</v>
      </c>
      <c r="AW40">
        <f t="shared" si="7"/>
        <v>0</v>
      </c>
      <c r="AX40">
        <f t="shared" si="8"/>
        <v>0</v>
      </c>
      <c r="AY40">
        <f t="shared" si="9"/>
        <v>0</v>
      </c>
      <c r="AZ40">
        <v>2.8567</v>
      </c>
      <c r="BA40">
        <v>1.307900000000001</v>
      </c>
      <c r="BB40">
        <v>1.3887999999999998</v>
      </c>
      <c r="BC40">
        <v>4.4283999999999999</v>
      </c>
      <c r="BD40">
        <v>4.4357999999999995</v>
      </c>
      <c r="BE40">
        <v>3.7885999999999997</v>
      </c>
      <c r="BF40">
        <f t="shared" si="10"/>
        <v>-2.8567</v>
      </c>
      <c r="BG40">
        <f t="shared" si="11"/>
        <v>-1.307900000000001</v>
      </c>
      <c r="BH40">
        <f t="shared" si="12"/>
        <v>-1.3887999999999998</v>
      </c>
      <c r="BI40">
        <f t="shared" si="13"/>
        <v>-4.4283999999999999</v>
      </c>
      <c r="BJ40">
        <f t="shared" si="14"/>
        <v>-4.4357999999999995</v>
      </c>
      <c r="BK40">
        <f t="shared" si="15"/>
        <v>-3.7885999999999997</v>
      </c>
    </row>
    <row r="41" spans="2:63">
      <c r="B41" s="19">
        <v>750</v>
      </c>
      <c r="C41" s="27">
        <f>+AVERAGE('Data #1'!W41,'Data #2'!W41,'Data #3'!W41,'Data #4'!W41,'Data #5'!W41)</f>
        <v>36.738</v>
      </c>
      <c r="D41" s="27">
        <f>+C41+STDEV('Data #1'!R41:T41,'Data #2'!R41:T41,'Data #3'!R41:T41,'Data #4'!R41:T41,'Data #5'!R41:T41)</f>
        <v>71.401122685149346</v>
      </c>
      <c r="E41" s="27">
        <f>+C41-STDEV('Data #1'!R41:T41,'Data #2'!R41:T41,'Data #3'!R41:T41,'Data #4'!R41:T41,'Data #5'!R41:T41)</f>
        <v>2.0748773148506601</v>
      </c>
      <c r="F41" s="27">
        <f>+MIN('Data #1'!R41:T41,'Data #2'!R41:T41,'Data #3'!R41:T41,'Data #4'!R41:T41,'Data #5'!R41:T41)</f>
        <v>20</v>
      </c>
      <c r="G41" s="27">
        <f>+MAX('Data #1'!R41:T41,'Data #2'!R41:T41,'Data #3'!R41:T41,'Data #4'!R41:T41,'Data #5'!R41:T41)</f>
        <v>106.11</v>
      </c>
      <c r="I41" s="19">
        <v>750</v>
      </c>
      <c r="J41" s="27">
        <f>+AVERAGE('Data #1'!X41,'Data #2'!X41,'Data #3'!X41,'Data #4'!X41,'Data #5'!X41)</f>
        <v>28.160000000000004</v>
      </c>
      <c r="K41" s="27">
        <f t="shared" si="0"/>
        <v>38.160000000000004</v>
      </c>
      <c r="O41" s="20">
        <v>750</v>
      </c>
      <c r="P41" s="28">
        <f>+AVERAGE('Data #1'!AH41,'Data #2'!AH41,'Data #3'!AH41,'Data #4'!AH41,'Data #5'!AH41)</f>
        <v>34.870666666666672</v>
      </c>
      <c r="Q41" s="28">
        <f>+P41+STDEV('Data #1'!AC41:AE41,'Data #2'!AC41:AE41,'Data #3'!AC41:AE41,'Data #4'!AC41:AE41,'Data #5'!AC41:AE41)</f>
        <v>65.657267292511008</v>
      </c>
      <c r="R41" s="28">
        <f>+P41-STDEV('Data #1'!AC41:AE41,'Data #2'!AC41:AE41,'Data #3'!AC41:AE41,'Data #4'!AC41:AE41,'Data #5'!AC41:AE41)</f>
        <v>4.0840660408223357</v>
      </c>
      <c r="S41" s="28">
        <f>+MIN('Data #1'!AC41:AE41,'Data #2'!AC41:AE41,'Data #3'!AC41:AE41,'Data #4'!AC41:AE41,'Data #5'!AC41:AE41)</f>
        <v>20</v>
      </c>
      <c r="T41" s="28">
        <f>+MAX('Data #1'!AC41:AE41,'Data #2'!AC41:AE41,'Data #3'!AC41:AE41,'Data #4'!AC41:AE41,'Data #5'!AC41:AE41)</f>
        <v>95.11</v>
      </c>
      <c r="V41" s="20">
        <v>750</v>
      </c>
      <c r="W41" s="28">
        <f>+AVERAGE('Data #1'!AI41,'Data #2'!AI41,'Data #3'!AI41,'Data #4'!AI41,'Data #4'!AI41)</f>
        <v>28.072000000000003</v>
      </c>
      <c r="X41" s="28">
        <f t="shared" si="1"/>
        <v>38.072000000000003</v>
      </c>
      <c r="AB41" s="21">
        <v>750</v>
      </c>
      <c r="AC41" s="10">
        <v>-10</v>
      </c>
      <c r="AD41" s="10">
        <v>10</v>
      </c>
      <c r="AH41">
        <f>MAX('Data #1'!C41,'Data #2'!C41,'Data #3'!C41,'Data #4'!C41,'Data #5'!C41)</f>
        <v>-45.31</v>
      </c>
      <c r="AI41">
        <f>MAX('Data #1'!D41,'Data #2'!D41,'Data #3'!D41,'Data #4'!D41,'Data #5'!D41)</f>
        <v>-40.450000000000003</v>
      </c>
      <c r="AJ41">
        <f>MAX('Data #1'!E41,'Data #2'!E41,'Data #3'!E41,'Data #4'!E41,'Data #5'!E41)</f>
        <v>-42.91</v>
      </c>
      <c r="AK41">
        <f>MAX('Data #1'!F41,'Data #2'!F41,'Data #3'!F41,'Data #4'!F41,'Data #5'!F41)</f>
        <v>-34.03</v>
      </c>
      <c r="AL41">
        <f>MAX('Data #1'!G41,'Data #2'!G41,'Data #3'!G41,'Data #4'!G41,'Data #5'!G41)</f>
        <v>-33.200000000000003</v>
      </c>
      <c r="AM41">
        <f>MAX('Data #1'!H41,'Data #2'!H41,'Data #3'!H41,'Data #4'!H41,'Data #5'!H41)</f>
        <v>-34.75</v>
      </c>
      <c r="AN41">
        <f>MIN('Data #1'!C41,'Data #2'!C41,'Data #3'!C41,'Data #4'!C41,'Data #5'!C41)</f>
        <v>-45.31</v>
      </c>
      <c r="AO41">
        <f>MIN('Data #1'!D41,'Data #2'!D41,'Data #3'!D41,'Data #4'!D41,'Data #5'!D41)</f>
        <v>-40.450000000000003</v>
      </c>
      <c r="AP41">
        <f>MIN('Data #1'!E41,'Data #2'!E41,'Data #3'!E41,'Data #4'!E41,'Data #5'!E41)</f>
        <v>-42.91</v>
      </c>
      <c r="AQ41">
        <f>MIN('Data #1'!F41,'Data #2'!F41,'Data #3'!F41,'Data #4'!F41,'Data #5'!F41)</f>
        <v>-34.03</v>
      </c>
      <c r="AR41">
        <f>MIN('Data #1'!G41,'Data #2'!G41,'Data #3'!G41,'Data #4'!G41,'Data #5'!G41)</f>
        <v>-33.200000000000003</v>
      </c>
      <c r="AS41">
        <f>MIN('Data #1'!H41,'Data #2'!H41,'Data #3'!H41,'Data #4'!H41,'Data #5'!H41)</f>
        <v>-34.75</v>
      </c>
      <c r="AT41">
        <f t="shared" si="4"/>
        <v>0</v>
      </c>
      <c r="AU41">
        <f t="shared" si="5"/>
        <v>0</v>
      </c>
      <c r="AV41">
        <f t="shared" si="6"/>
        <v>0</v>
      </c>
      <c r="AW41">
        <f t="shared" si="7"/>
        <v>0</v>
      </c>
      <c r="AX41">
        <f t="shared" si="8"/>
        <v>0</v>
      </c>
      <c r="AY41">
        <f t="shared" si="9"/>
        <v>0</v>
      </c>
      <c r="AZ41">
        <v>5.3790999999999993</v>
      </c>
      <c r="BA41">
        <v>1.7031999999999998</v>
      </c>
      <c r="BB41">
        <v>0.85010000000000119</v>
      </c>
      <c r="BC41">
        <v>3.4558999999999997</v>
      </c>
      <c r="BD41">
        <v>3.0864000000000011</v>
      </c>
      <c r="BE41">
        <v>3.4353999999999996</v>
      </c>
      <c r="BF41">
        <f t="shared" si="10"/>
        <v>-5.3790999999999993</v>
      </c>
      <c r="BG41">
        <f t="shared" si="11"/>
        <v>-1.7031999999999998</v>
      </c>
      <c r="BH41">
        <f t="shared" si="12"/>
        <v>-0.85010000000000119</v>
      </c>
      <c r="BI41">
        <f t="shared" si="13"/>
        <v>-3.4558999999999997</v>
      </c>
      <c r="BJ41">
        <f t="shared" si="14"/>
        <v>-3.0864000000000011</v>
      </c>
      <c r="BK41">
        <f t="shared" si="15"/>
        <v>-3.4353999999999996</v>
      </c>
    </row>
    <row r="42" spans="2:63">
      <c r="B42" s="19">
        <v>800</v>
      </c>
      <c r="C42" s="27">
        <f>+AVERAGE('Data #1'!W42,'Data #2'!W42,'Data #3'!W42,'Data #4'!W42,'Data #5'!W42)</f>
        <v>36.585999999999999</v>
      </c>
      <c r="D42" s="27">
        <f>+C42+STDEV('Data #1'!R42:T42,'Data #2'!R42:T42,'Data #3'!R42:T42,'Data #4'!R42:T42,'Data #5'!R42:T42)</f>
        <v>70.946728788213193</v>
      </c>
      <c r="E42" s="27">
        <f>+C42-STDEV('Data #1'!R42:T42,'Data #2'!R42:T42,'Data #3'!R42:T42,'Data #4'!R42:T42,'Data #5'!R42:T42)</f>
        <v>2.2252712117868114</v>
      </c>
      <c r="F42" s="27">
        <f>+MIN('Data #1'!R42:T42,'Data #2'!R42:T42,'Data #3'!R42:T42,'Data #4'!R42:T42,'Data #5'!R42:T42)</f>
        <v>20</v>
      </c>
      <c r="G42" s="27">
        <f>+MAX('Data #1'!R42:T42,'Data #2'!R42:T42,'Data #3'!R42:T42,'Data #4'!R42:T42,'Data #5'!R42:T42)</f>
        <v>106.63</v>
      </c>
      <c r="I42" s="19">
        <v>800</v>
      </c>
      <c r="J42" s="27">
        <f>+AVERAGE('Data #1'!X42,'Data #2'!X42,'Data #3'!X42,'Data #4'!X42,'Data #5'!X42)</f>
        <v>28.393999999999998</v>
      </c>
      <c r="K42" s="27">
        <f t="shared" si="0"/>
        <v>38.393999999999998</v>
      </c>
      <c r="O42" s="20">
        <v>800</v>
      </c>
      <c r="P42" s="28">
        <f>+AVERAGE('Data #1'!AH42,'Data #2'!AH42,'Data #3'!AH42,'Data #4'!AH42,'Data #5'!AH42)</f>
        <v>34.767999999999994</v>
      </c>
      <c r="Q42" s="28">
        <f>+P42+STDEV('Data #1'!AC42:AE42,'Data #2'!AC42:AE42,'Data #3'!AC42:AE42,'Data #4'!AC42:AE42,'Data #5'!AC42:AE42)</f>
        <v>65.34252118536422</v>
      </c>
      <c r="R42" s="28">
        <f>+P42-STDEV('Data #1'!AC42:AE42,'Data #2'!AC42:AE42,'Data #3'!AC42:AE42,'Data #4'!AC42:AE42,'Data #5'!AC42:AE42)</f>
        <v>4.1934788146357675</v>
      </c>
      <c r="S42" s="28">
        <f>+MIN('Data #1'!AC42:AE42,'Data #2'!AC42:AE42,'Data #3'!AC42:AE42,'Data #4'!AC42:AE42,'Data #5'!AC42:AE42)</f>
        <v>20</v>
      </c>
      <c r="T42" s="28">
        <f>+MAX('Data #1'!AC42:AE42,'Data #2'!AC42:AE42,'Data #3'!AC42:AE42,'Data #4'!AC42:AE42,'Data #5'!AC42:AE42)</f>
        <v>94.47</v>
      </c>
      <c r="V42" s="20">
        <v>800</v>
      </c>
      <c r="W42" s="28">
        <f>+AVERAGE('Data #1'!AI42,'Data #2'!AI42,'Data #3'!AI42,'Data #4'!AI42,'Data #4'!AI42)</f>
        <v>28.312000000000001</v>
      </c>
      <c r="X42" s="28">
        <f t="shared" si="1"/>
        <v>38.311999999999998</v>
      </c>
      <c r="AB42" s="21">
        <v>800</v>
      </c>
      <c r="AC42" s="10">
        <v>-10</v>
      </c>
      <c r="AD42" s="10">
        <v>10</v>
      </c>
      <c r="AH42">
        <f>MAX('Data #1'!C42,'Data #2'!C42,'Data #3'!C42,'Data #4'!C42,'Data #5'!C42)</f>
        <v>-44.66</v>
      </c>
      <c r="AI42">
        <f>MAX('Data #1'!D42,'Data #2'!D42,'Data #3'!D42,'Data #4'!D42,'Data #5'!D42)</f>
        <v>-40.33</v>
      </c>
      <c r="AJ42">
        <f>MAX('Data #1'!E42,'Data #2'!E42,'Data #3'!E42,'Data #4'!E42,'Data #5'!E42)</f>
        <v>-37.89</v>
      </c>
      <c r="AK42">
        <f>MAX('Data #1'!F42,'Data #2'!F42,'Data #3'!F42,'Data #4'!F42,'Data #5'!F42)</f>
        <v>-32.67</v>
      </c>
      <c r="AL42">
        <f>MAX('Data #1'!G42,'Data #2'!G42,'Data #3'!G42,'Data #4'!G42,'Data #5'!G42)</f>
        <v>-32.909999999999997</v>
      </c>
      <c r="AM42">
        <f>MAX('Data #1'!H42,'Data #2'!H42,'Data #3'!H42,'Data #4'!H42,'Data #5'!H42)</f>
        <v>-31.26</v>
      </c>
      <c r="AN42">
        <f>MIN('Data #1'!C42,'Data #2'!C42,'Data #3'!C42,'Data #4'!C42,'Data #5'!C42)</f>
        <v>-44.66</v>
      </c>
      <c r="AO42">
        <f>MIN('Data #1'!D42,'Data #2'!D42,'Data #3'!D42,'Data #4'!D42,'Data #5'!D42)</f>
        <v>-40.33</v>
      </c>
      <c r="AP42">
        <f>MIN('Data #1'!E42,'Data #2'!E42,'Data #3'!E42,'Data #4'!E42,'Data #5'!E42)</f>
        <v>-37.89</v>
      </c>
      <c r="AQ42">
        <f>MIN('Data #1'!F42,'Data #2'!F42,'Data #3'!F42,'Data #4'!F42,'Data #5'!F42)</f>
        <v>-32.67</v>
      </c>
      <c r="AR42">
        <f>MIN('Data #1'!G42,'Data #2'!G42,'Data #3'!G42,'Data #4'!G42,'Data #5'!G42)</f>
        <v>-32.909999999999997</v>
      </c>
      <c r="AS42">
        <f>MIN('Data #1'!H42,'Data #2'!H42,'Data #3'!H42,'Data #4'!H42,'Data #5'!H42)</f>
        <v>-31.26</v>
      </c>
      <c r="AT42">
        <f t="shared" si="4"/>
        <v>0</v>
      </c>
      <c r="AU42">
        <f t="shared" si="5"/>
        <v>0</v>
      </c>
      <c r="AV42">
        <f t="shared" si="6"/>
        <v>0</v>
      </c>
      <c r="AW42">
        <f t="shared" si="7"/>
        <v>0</v>
      </c>
      <c r="AX42">
        <f t="shared" si="8"/>
        <v>0</v>
      </c>
      <c r="AY42">
        <f t="shared" si="9"/>
        <v>0</v>
      </c>
      <c r="AZ42">
        <v>4.9423000000000012</v>
      </c>
      <c r="BA42">
        <v>1.3182999999999998</v>
      </c>
      <c r="BB42">
        <v>0.67620000000000147</v>
      </c>
      <c r="BC42">
        <v>3.1228000000000007</v>
      </c>
      <c r="BD42">
        <v>3.1878000000000011</v>
      </c>
      <c r="BE42">
        <v>2.7846999999999991</v>
      </c>
      <c r="BF42">
        <f t="shared" si="10"/>
        <v>-4.9423000000000012</v>
      </c>
      <c r="BG42">
        <f t="shared" si="11"/>
        <v>-1.3182999999999998</v>
      </c>
      <c r="BH42">
        <f t="shared" si="12"/>
        <v>-0.67620000000000147</v>
      </c>
      <c r="BI42">
        <f t="shared" si="13"/>
        <v>-3.1228000000000007</v>
      </c>
      <c r="BJ42">
        <f t="shared" si="14"/>
        <v>-3.1878000000000011</v>
      </c>
      <c r="BK42">
        <f t="shared" si="15"/>
        <v>-2.7846999999999991</v>
      </c>
    </row>
    <row r="43" spans="2:63">
      <c r="B43" s="19">
        <v>850</v>
      </c>
      <c r="C43" s="27">
        <f>+AVERAGE('Data #1'!W43,'Data #2'!W43,'Data #3'!W43,'Data #4'!W43,'Data #5'!W43)</f>
        <v>36.736666666666665</v>
      </c>
      <c r="D43" s="27">
        <f>+C43+STDEV('Data #1'!R43:T43,'Data #2'!R43:T43,'Data #3'!R43:T43,'Data #4'!R43:T43,'Data #5'!R43:T43)</f>
        <v>71.39105778539107</v>
      </c>
      <c r="E43" s="27">
        <f>+C43-STDEV('Data #1'!R43:T43,'Data #2'!R43:T43,'Data #3'!R43:T43,'Data #4'!R43:T43,'Data #5'!R43:T43)</f>
        <v>2.0822755479422668</v>
      </c>
      <c r="F43" s="27">
        <f>+MIN('Data #1'!R43:T43,'Data #2'!R43:T43,'Data #3'!R43:T43,'Data #4'!R43:T43,'Data #5'!R43:T43)</f>
        <v>20</v>
      </c>
      <c r="G43" s="27">
        <f>+MAX('Data #1'!R43:T43,'Data #2'!R43:T43,'Data #3'!R43:T43,'Data #4'!R43:T43,'Data #5'!R43:T43)</f>
        <v>105.56</v>
      </c>
      <c r="I43" s="19">
        <v>850</v>
      </c>
      <c r="J43" s="27">
        <f>+AVERAGE('Data #1'!X43,'Data #2'!X43,'Data #3'!X43,'Data #4'!X43,'Data #5'!X43)</f>
        <v>28.71</v>
      </c>
      <c r="K43" s="27">
        <f t="shared" si="0"/>
        <v>38.71</v>
      </c>
      <c r="O43" s="20">
        <v>850</v>
      </c>
      <c r="P43" s="28">
        <f>+AVERAGE('Data #1'!AH43,'Data #2'!AH43,'Data #3'!AH43,'Data #4'!AH43,'Data #5'!AH43)</f>
        <v>34.783333333333339</v>
      </c>
      <c r="Q43" s="28">
        <f>+P43+STDEV('Data #1'!AC43:AE43,'Data #2'!AC43:AE43,'Data #3'!AC43:AE43,'Data #4'!AC43:AE43,'Data #5'!AC43:AE43)</f>
        <v>65.393496833775629</v>
      </c>
      <c r="R43" s="28">
        <f>+P43-STDEV('Data #1'!AC43:AE43,'Data #2'!AC43:AE43,'Data #3'!AC43:AE43,'Data #4'!AC43:AE43,'Data #5'!AC43:AE43)</f>
        <v>4.1731698328910447</v>
      </c>
      <c r="S43" s="28">
        <f>+MIN('Data #1'!AC43:AE43,'Data #2'!AC43:AE43,'Data #3'!AC43:AE43,'Data #4'!AC43:AE43,'Data #5'!AC43:AE43)</f>
        <v>20</v>
      </c>
      <c r="T43" s="28">
        <f>+MAX('Data #1'!AC43:AE43,'Data #2'!AC43:AE43,'Data #3'!AC43:AE43,'Data #4'!AC43:AE43,'Data #5'!AC43:AE43)</f>
        <v>95.26</v>
      </c>
      <c r="V43" s="20">
        <v>850</v>
      </c>
      <c r="W43" s="28">
        <f>+AVERAGE('Data #1'!AI43,'Data #2'!AI43,'Data #3'!AI43,'Data #4'!AI43,'Data #4'!AI43)</f>
        <v>28.618000000000002</v>
      </c>
      <c r="X43" s="28">
        <f t="shared" si="1"/>
        <v>38.618000000000002</v>
      </c>
      <c r="AB43" s="21">
        <v>850</v>
      </c>
      <c r="AC43" s="10">
        <v>-10</v>
      </c>
      <c r="AD43" s="10">
        <v>10</v>
      </c>
      <c r="AH43">
        <f>MAX('Data #1'!C43,'Data #2'!C43,'Data #3'!C43,'Data #4'!C43,'Data #5'!C43)</f>
        <v>-42.01</v>
      </c>
      <c r="AI43">
        <f>MAX('Data #1'!D43,'Data #2'!D43,'Data #3'!D43,'Data #4'!D43,'Data #5'!D43)</f>
        <v>-39.799999999999997</v>
      </c>
      <c r="AJ43">
        <f>MAX('Data #1'!E43,'Data #2'!E43,'Data #3'!E43,'Data #4'!E43,'Data #5'!E43)</f>
        <v>-38.590000000000003</v>
      </c>
      <c r="AK43">
        <f>MAX('Data #1'!F43,'Data #2'!F43,'Data #3'!F43,'Data #4'!F43,'Data #5'!F43)</f>
        <v>-31.21</v>
      </c>
      <c r="AL43">
        <f>MAX('Data #1'!G43,'Data #2'!G43,'Data #3'!G43,'Data #4'!G43,'Data #5'!G43)</f>
        <v>-32.17</v>
      </c>
      <c r="AM43">
        <f>MAX('Data #1'!H43,'Data #2'!H43,'Data #3'!H43,'Data #4'!H43,'Data #5'!H43)</f>
        <v>-29.1</v>
      </c>
      <c r="AN43">
        <f>MIN('Data #1'!C43,'Data #2'!C43,'Data #3'!C43,'Data #4'!C43,'Data #5'!C43)</f>
        <v>-42.01</v>
      </c>
      <c r="AO43">
        <f>MIN('Data #1'!D43,'Data #2'!D43,'Data #3'!D43,'Data #4'!D43,'Data #5'!D43)</f>
        <v>-39.799999999999997</v>
      </c>
      <c r="AP43">
        <f>MIN('Data #1'!E43,'Data #2'!E43,'Data #3'!E43,'Data #4'!E43,'Data #5'!E43)</f>
        <v>-38.590000000000003</v>
      </c>
      <c r="AQ43">
        <f>MIN('Data #1'!F43,'Data #2'!F43,'Data #3'!F43,'Data #4'!F43,'Data #5'!F43)</f>
        <v>-31.21</v>
      </c>
      <c r="AR43">
        <f>MIN('Data #1'!G43,'Data #2'!G43,'Data #3'!G43,'Data #4'!G43,'Data #5'!G43)</f>
        <v>-32.17</v>
      </c>
      <c r="AS43">
        <f>MIN('Data #1'!H43,'Data #2'!H43,'Data #3'!H43,'Data #4'!H43,'Data #5'!H43)</f>
        <v>-29.1</v>
      </c>
      <c r="AT43">
        <f t="shared" si="4"/>
        <v>0</v>
      </c>
      <c r="AU43">
        <f t="shared" si="5"/>
        <v>0</v>
      </c>
      <c r="AV43">
        <f t="shared" si="6"/>
        <v>0</v>
      </c>
      <c r="AW43">
        <f t="shared" si="7"/>
        <v>0</v>
      </c>
      <c r="AX43">
        <f t="shared" si="8"/>
        <v>0</v>
      </c>
      <c r="AY43">
        <f t="shared" si="9"/>
        <v>0</v>
      </c>
      <c r="AZ43">
        <v>6.4190000000000005</v>
      </c>
      <c r="BA43">
        <v>1.6810999999999998</v>
      </c>
      <c r="BB43">
        <v>0.91019999999999968</v>
      </c>
      <c r="BC43">
        <v>2.8228999999999997</v>
      </c>
      <c r="BD43">
        <v>2.0720999999999998</v>
      </c>
      <c r="BE43">
        <v>2.7727999999999993</v>
      </c>
      <c r="BF43">
        <f t="shared" si="10"/>
        <v>-6.4190000000000005</v>
      </c>
      <c r="BG43">
        <f t="shared" si="11"/>
        <v>-1.6810999999999998</v>
      </c>
      <c r="BH43">
        <f t="shared" si="12"/>
        <v>-0.91019999999999968</v>
      </c>
      <c r="BI43">
        <f t="shared" si="13"/>
        <v>-2.8228999999999997</v>
      </c>
      <c r="BJ43">
        <f t="shared" si="14"/>
        <v>-2.0720999999999998</v>
      </c>
      <c r="BK43">
        <f t="shared" si="15"/>
        <v>-2.7727999999999993</v>
      </c>
    </row>
    <row r="44" spans="2:63">
      <c r="B44" s="19">
        <v>900</v>
      </c>
      <c r="C44" s="27">
        <f>+AVERAGE('Data #1'!W44,'Data #2'!W44,'Data #3'!W44,'Data #4'!W44,'Data #5'!W44)</f>
        <v>37.258000000000003</v>
      </c>
      <c r="D44" s="27">
        <f>+C44+STDEV('Data #1'!R44:T44,'Data #2'!R44:T44,'Data #3'!R44:T44,'Data #4'!R44:T44,'Data #5'!R44:T44)</f>
        <v>73.02364157320342</v>
      </c>
      <c r="E44" s="27">
        <f>+C44-STDEV('Data #1'!R44:T44,'Data #2'!R44:T44,'Data #3'!R44:T44,'Data #4'!R44:T44,'Data #5'!R44:T44)</f>
        <v>1.492358426796585</v>
      </c>
      <c r="F44" s="27">
        <f>+MIN('Data #1'!R44:T44,'Data #2'!R44:T44,'Data #3'!R44:T44,'Data #4'!R44:T44,'Data #5'!R44:T44)</f>
        <v>20</v>
      </c>
      <c r="G44" s="27">
        <f>+MAX('Data #1'!R44:T44,'Data #2'!R44:T44,'Data #3'!R44:T44,'Data #4'!R44:T44,'Data #5'!R44:T44)</f>
        <v>111.25999999999999</v>
      </c>
      <c r="I44" s="19">
        <v>900</v>
      </c>
      <c r="J44" s="27">
        <f>+AVERAGE('Data #1'!X44,'Data #2'!X44,'Data #3'!X44,'Data #4'!X44,'Data #5'!X44)</f>
        <v>29.02</v>
      </c>
      <c r="K44" s="27">
        <f t="shared" si="0"/>
        <v>39.019999999999996</v>
      </c>
      <c r="O44" s="20">
        <v>900</v>
      </c>
      <c r="P44" s="28">
        <f>+AVERAGE('Data #1'!AH44,'Data #2'!AH44,'Data #3'!AH44,'Data #4'!AH44,'Data #5'!AH44)</f>
        <v>34.761333333333333</v>
      </c>
      <c r="Q44" s="28">
        <f>+P44+STDEV('Data #1'!AC44:AE44,'Data #2'!AC44:AE44,'Data #3'!AC44:AE44,'Data #4'!AC44:AE44,'Data #5'!AC44:AE44)</f>
        <v>65.328112888611187</v>
      </c>
      <c r="R44" s="28">
        <f>+P44-STDEV('Data #1'!AC44:AE44,'Data #2'!AC44:AE44,'Data #3'!AC44:AE44,'Data #4'!AC44:AE44,'Data #5'!AC44:AE44)</f>
        <v>4.1945537780554751</v>
      </c>
      <c r="S44" s="28">
        <f>+MIN('Data #1'!AC44:AE44,'Data #2'!AC44:AE44,'Data #3'!AC44:AE44,'Data #4'!AC44:AE44,'Data #5'!AC44:AE44)</f>
        <v>20</v>
      </c>
      <c r="T44" s="28">
        <f>+MAX('Data #1'!AC44:AE44,'Data #2'!AC44:AE44,'Data #3'!AC44:AE44,'Data #4'!AC44:AE44,'Data #5'!AC44:AE44)</f>
        <v>95.56</v>
      </c>
      <c r="V44" s="20">
        <v>900</v>
      </c>
      <c r="W44" s="28">
        <f>+AVERAGE('Data #1'!AI44,'Data #2'!AI44,'Data #3'!AI44,'Data #4'!AI44,'Data #4'!AI44)</f>
        <v>28.948</v>
      </c>
      <c r="X44" s="28">
        <f t="shared" si="1"/>
        <v>38.948</v>
      </c>
      <c r="AB44" s="21">
        <v>900</v>
      </c>
      <c r="AC44" s="10">
        <v>-10</v>
      </c>
      <c r="AD44" s="10">
        <v>10</v>
      </c>
      <c r="AH44">
        <f>MAX('Data #1'!C44,'Data #2'!C44,'Data #3'!C44,'Data #4'!C44,'Data #5'!C44)</f>
        <v>-46.16</v>
      </c>
      <c r="AI44">
        <f>MAX('Data #1'!D44,'Data #2'!D44,'Data #3'!D44,'Data #4'!D44,'Data #5'!D44)</f>
        <v>-39.47</v>
      </c>
      <c r="AJ44">
        <f>MAX('Data #1'!E44,'Data #2'!E44,'Data #3'!E44,'Data #4'!E44,'Data #5'!E44)</f>
        <v>-37.94</v>
      </c>
      <c r="AK44">
        <f>MAX('Data #1'!F44,'Data #2'!F44,'Data #3'!F44,'Data #4'!F44,'Data #5'!F44)</f>
        <v>-29.23</v>
      </c>
      <c r="AL44">
        <f>MAX('Data #1'!G44,'Data #2'!G44,'Data #3'!G44,'Data #4'!G44,'Data #5'!G44)</f>
        <v>-30.82</v>
      </c>
      <c r="AM44">
        <f>MAX('Data #1'!H44,'Data #2'!H44,'Data #3'!H44,'Data #4'!H44,'Data #5'!H44)</f>
        <v>-27.15</v>
      </c>
      <c r="AN44">
        <f>MIN('Data #1'!C44,'Data #2'!C44,'Data #3'!C44,'Data #4'!C44,'Data #5'!C44)</f>
        <v>-46.16</v>
      </c>
      <c r="AO44">
        <f>MIN('Data #1'!D44,'Data #2'!D44,'Data #3'!D44,'Data #4'!D44,'Data #5'!D44)</f>
        <v>-39.47</v>
      </c>
      <c r="AP44">
        <f>MIN('Data #1'!E44,'Data #2'!E44,'Data #3'!E44,'Data #4'!E44,'Data #5'!E44)</f>
        <v>-37.94</v>
      </c>
      <c r="AQ44">
        <f>MIN('Data #1'!F44,'Data #2'!F44,'Data #3'!F44,'Data #4'!F44,'Data #5'!F44)</f>
        <v>-29.23</v>
      </c>
      <c r="AR44">
        <f>MIN('Data #1'!G44,'Data #2'!G44,'Data #3'!G44,'Data #4'!G44,'Data #5'!G44)</f>
        <v>-30.82</v>
      </c>
      <c r="AS44">
        <f>MIN('Data #1'!H44,'Data #2'!H44,'Data #3'!H44,'Data #4'!H44,'Data #5'!H44)</f>
        <v>-27.15</v>
      </c>
      <c r="AT44">
        <f t="shared" si="4"/>
        <v>0</v>
      </c>
      <c r="AU44">
        <f t="shared" si="5"/>
        <v>0</v>
      </c>
      <c r="AV44">
        <f t="shared" si="6"/>
        <v>0</v>
      </c>
      <c r="AW44">
        <f t="shared" si="7"/>
        <v>0</v>
      </c>
      <c r="AX44">
        <f t="shared" si="8"/>
        <v>0</v>
      </c>
      <c r="AY44">
        <f t="shared" si="9"/>
        <v>0</v>
      </c>
      <c r="AZ44">
        <v>2.5581999999999994</v>
      </c>
      <c r="BA44">
        <v>1.2772000000000006</v>
      </c>
      <c r="BB44">
        <v>1.3766999999999996</v>
      </c>
      <c r="BC44">
        <v>2.3382000000000005</v>
      </c>
      <c r="BD44">
        <v>1.6258999999999988</v>
      </c>
      <c r="BE44">
        <v>1.7378</v>
      </c>
      <c r="BF44">
        <f t="shared" si="10"/>
        <v>-2.5581999999999994</v>
      </c>
      <c r="BG44">
        <f t="shared" si="11"/>
        <v>-1.2772000000000006</v>
      </c>
      <c r="BH44">
        <f t="shared" si="12"/>
        <v>-1.3766999999999996</v>
      </c>
      <c r="BI44">
        <f t="shared" si="13"/>
        <v>-2.3382000000000005</v>
      </c>
      <c r="BJ44">
        <f t="shared" si="14"/>
        <v>-1.6258999999999988</v>
      </c>
      <c r="BK44">
        <f t="shared" si="15"/>
        <v>-1.7378</v>
      </c>
    </row>
    <row r="45" spans="2:63">
      <c r="B45" s="19">
        <v>950</v>
      </c>
      <c r="C45" s="27">
        <f>+AVERAGE('Data #1'!W45,'Data #2'!W45,'Data #3'!W45,'Data #4'!W45,'Data #5'!W45)</f>
        <v>37.784666666666666</v>
      </c>
      <c r="D45" s="27">
        <f>+C45+STDEV('Data #1'!R45:T45,'Data #2'!R45:T45,'Data #3'!R45:T45,'Data #4'!R45:T45,'Data #5'!R45:T45)</f>
        <v>74.676892109098816</v>
      </c>
      <c r="E45" s="27">
        <f>+C45-STDEV('Data #1'!R45:T45,'Data #2'!R45:T45,'Data #3'!R45:T45,'Data #4'!R45:T45,'Data #5'!R45:T45)</f>
        <v>0.89244122423451699</v>
      </c>
      <c r="F45" s="27">
        <f>+MIN('Data #1'!R45:T45,'Data #2'!R45:T45,'Data #3'!R45:T45,'Data #4'!R45:T45,'Data #5'!R45:T45)</f>
        <v>20</v>
      </c>
      <c r="G45" s="27">
        <f>+MAX('Data #1'!R45:T45,'Data #2'!R45:T45,'Data #3'!R45:T45,'Data #4'!R45:T45,'Data #5'!R45:T45)</f>
        <v>115.67</v>
      </c>
      <c r="I45" s="19">
        <v>950</v>
      </c>
      <c r="J45" s="27">
        <f>+AVERAGE('Data #1'!X45,'Data #2'!X45,'Data #3'!X45,'Data #4'!X45,'Data #5'!X45)</f>
        <v>29.324000000000002</v>
      </c>
      <c r="K45" s="27">
        <f t="shared" si="0"/>
        <v>39.323999999999998</v>
      </c>
      <c r="O45" s="20">
        <v>950</v>
      </c>
      <c r="P45" s="28">
        <f>+AVERAGE('Data #1'!AH45,'Data #2'!AH45,'Data #3'!AH45,'Data #4'!AH45,'Data #5'!AH45)</f>
        <v>34.654000000000011</v>
      </c>
      <c r="Q45" s="28">
        <f>+P45+STDEV('Data #1'!AC45:AE45,'Data #2'!AC45:AE45,'Data #3'!AC45:AE45,'Data #4'!AC45:AE45,'Data #5'!AC45:AE45)</f>
        <v>64.996405922122563</v>
      </c>
      <c r="R45" s="28">
        <f>+P45-STDEV('Data #1'!AC45:AE45,'Data #2'!AC45:AE45,'Data #3'!AC45:AE45,'Data #4'!AC45:AE45,'Data #5'!AC45:AE45)</f>
        <v>4.3115940778774622</v>
      </c>
      <c r="S45" s="28">
        <f>+MIN('Data #1'!AC45:AE45,'Data #2'!AC45:AE45,'Data #3'!AC45:AE45,'Data #4'!AC45:AE45,'Data #5'!AC45:AE45)</f>
        <v>20</v>
      </c>
      <c r="T45" s="28">
        <f>+MAX('Data #1'!AC45:AE45,'Data #2'!AC45:AE45,'Data #3'!AC45:AE45,'Data #4'!AC45:AE45,'Data #5'!AC45:AE45)</f>
        <v>94.600000000000009</v>
      </c>
      <c r="V45" s="20">
        <v>950</v>
      </c>
      <c r="W45" s="28">
        <f>+AVERAGE('Data #1'!AI45,'Data #2'!AI45,'Data #3'!AI45,'Data #4'!AI45,'Data #4'!AI45)</f>
        <v>29.236000000000001</v>
      </c>
      <c r="X45" s="28">
        <f t="shared" si="1"/>
        <v>39.236000000000004</v>
      </c>
      <c r="AB45" s="21">
        <v>950</v>
      </c>
      <c r="AC45" s="10">
        <v>-10</v>
      </c>
      <c r="AD45" s="10">
        <v>10</v>
      </c>
      <c r="AH45">
        <f>MAX('Data #1'!C45,'Data #2'!C45,'Data #3'!C45,'Data #4'!C45,'Data #5'!C45)</f>
        <v>-49.05</v>
      </c>
      <c r="AI45">
        <f>MAX('Data #1'!D45,'Data #2'!D45,'Data #3'!D45,'Data #4'!D45,'Data #5'!D45)</f>
        <v>-41</v>
      </c>
      <c r="AJ45">
        <f>MAX('Data #1'!E45,'Data #2'!E45,'Data #3'!E45,'Data #4'!E45,'Data #5'!E45)</f>
        <v>-36.86</v>
      </c>
      <c r="AK45">
        <f>MAX('Data #1'!F45,'Data #2'!F45,'Data #3'!F45,'Data #4'!F45,'Data #5'!F45)</f>
        <v>-27.48</v>
      </c>
      <c r="AL45">
        <f>MAX('Data #1'!G45,'Data #2'!G45,'Data #3'!G45,'Data #4'!G45,'Data #5'!G45)</f>
        <v>-28.42</v>
      </c>
      <c r="AM45">
        <f>MAX('Data #1'!H45,'Data #2'!H45,'Data #3'!H45,'Data #4'!H45,'Data #5'!H45)</f>
        <v>-25.37</v>
      </c>
      <c r="AN45">
        <f>MIN('Data #1'!C45,'Data #2'!C45,'Data #3'!C45,'Data #4'!C45,'Data #5'!C45)</f>
        <v>-49.05</v>
      </c>
      <c r="AO45">
        <f>MIN('Data #1'!D45,'Data #2'!D45,'Data #3'!D45,'Data #4'!D45,'Data #5'!D45)</f>
        <v>-41</v>
      </c>
      <c r="AP45">
        <f>MIN('Data #1'!E45,'Data #2'!E45,'Data #3'!E45,'Data #4'!E45,'Data #5'!E45)</f>
        <v>-36.86</v>
      </c>
      <c r="AQ45">
        <f>MIN('Data #1'!F45,'Data #2'!F45,'Data #3'!F45,'Data #4'!F45,'Data #5'!F45)</f>
        <v>-27.48</v>
      </c>
      <c r="AR45">
        <f>MIN('Data #1'!G45,'Data #2'!G45,'Data #3'!G45,'Data #4'!G45,'Data #5'!G45)</f>
        <v>-28.42</v>
      </c>
      <c r="AS45">
        <f>MIN('Data #1'!H45,'Data #2'!H45,'Data #3'!H45,'Data #4'!H45,'Data #5'!H45)</f>
        <v>-25.37</v>
      </c>
      <c r="AT45">
        <f t="shared" si="4"/>
        <v>0</v>
      </c>
      <c r="AU45">
        <f t="shared" si="5"/>
        <v>0</v>
      </c>
      <c r="AV45">
        <f t="shared" si="6"/>
        <v>0</v>
      </c>
      <c r="AW45">
        <f t="shared" si="7"/>
        <v>0</v>
      </c>
      <c r="AX45">
        <f t="shared" si="8"/>
        <v>0</v>
      </c>
      <c r="AY45">
        <f t="shared" si="9"/>
        <v>0</v>
      </c>
      <c r="AZ45">
        <v>4.6812999999999985</v>
      </c>
      <c r="BA45">
        <v>1.0507</v>
      </c>
      <c r="BB45">
        <v>0.70160000000000089</v>
      </c>
      <c r="BC45">
        <v>2.0689999999999991</v>
      </c>
      <c r="BD45">
        <v>1.0686</v>
      </c>
      <c r="BE45">
        <v>1.1292999999999997</v>
      </c>
      <c r="BF45">
        <f t="shared" si="10"/>
        <v>-4.6812999999999985</v>
      </c>
      <c r="BG45">
        <f t="shared" si="11"/>
        <v>-1.0507</v>
      </c>
      <c r="BH45">
        <f t="shared" si="12"/>
        <v>-0.70160000000000089</v>
      </c>
      <c r="BI45">
        <f t="shared" si="13"/>
        <v>-2.0689999999999991</v>
      </c>
      <c r="BJ45">
        <f t="shared" si="14"/>
        <v>-1.0686</v>
      </c>
      <c r="BK45">
        <f t="shared" si="15"/>
        <v>-1.1292999999999997</v>
      </c>
    </row>
    <row r="46" spans="2:63">
      <c r="B46" s="19">
        <v>1000</v>
      </c>
      <c r="C46" s="27">
        <f>+AVERAGE('Data #1'!W46,'Data #2'!W46,'Data #3'!W46,'Data #4'!W46,'Data #5'!W46)</f>
        <v>37.872666666666667</v>
      </c>
      <c r="D46" s="27">
        <f>+C46+STDEV('Data #1'!R46:T46,'Data #2'!R46:T46,'Data #3'!R46:T46,'Data #4'!R46:T46,'Data #5'!R46:T46)</f>
        <v>74.989887249699592</v>
      </c>
      <c r="E46" s="27">
        <f>+C46-STDEV('Data #1'!R46:T46,'Data #2'!R46:T46,'Data #3'!R46:T46,'Data #4'!R46:T46,'Data #5'!R46:T46)</f>
        <v>0.75544608363373555</v>
      </c>
      <c r="F46" s="27">
        <f>+MIN('Data #1'!R46:T46,'Data #2'!R46:T46,'Data #3'!R46:T46,'Data #4'!R46:T46,'Data #5'!R46:T46)</f>
        <v>20</v>
      </c>
      <c r="G46" s="27">
        <f>+MAX('Data #1'!R46:T46,'Data #2'!R46:T46,'Data #3'!R46:T46,'Data #4'!R46:T46,'Data #5'!R46:T46)</f>
        <v>115.61</v>
      </c>
      <c r="I46" s="19">
        <v>1000</v>
      </c>
      <c r="J46" s="27">
        <f>+AVERAGE('Data #1'!X46,'Data #2'!X46,'Data #3'!X46,'Data #4'!X46,'Data #5'!X46)</f>
        <v>29.484000000000002</v>
      </c>
      <c r="K46" s="27">
        <f t="shared" si="0"/>
        <v>39.484000000000002</v>
      </c>
      <c r="O46" s="20">
        <v>1000</v>
      </c>
      <c r="P46" s="28">
        <f>+AVERAGE('Data #1'!AH46,'Data #2'!AH46,'Data #3'!AH46,'Data #4'!AH46,'Data #5'!AH46)</f>
        <v>34.490666666666662</v>
      </c>
      <c r="Q46" s="28">
        <f>+P46+STDEV('Data #1'!AC46:AE46,'Data #2'!AC46:AE46,'Data #3'!AC46:AE46,'Data #4'!AC46:AE46,'Data #5'!AC46:AE46)</f>
        <v>64.497098469262085</v>
      </c>
      <c r="R46" s="28">
        <f>+P46-STDEV('Data #1'!AC46:AE46,'Data #2'!AC46:AE46,'Data #3'!AC46:AE46,'Data #4'!AC46:AE46,'Data #5'!AC46:AE46)</f>
        <v>4.4842348640712473</v>
      </c>
      <c r="S46" s="28">
        <f>+MIN('Data #1'!AC46:AE46,'Data #2'!AC46:AE46,'Data #3'!AC46:AE46,'Data #4'!AC46:AE46,'Data #5'!AC46:AE46)</f>
        <v>20</v>
      </c>
      <c r="T46" s="28">
        <f>+MAX('Data #1'!AC46:AE46,'Data #2'!AC46:AE46,'Data #3'!AC46:AE46,'Data #4'!AC46:AE46,'Data #5'!AC46:AE46)</f>
        <v>93.84</v>
      </c>
      <c r="V46" s="20">
        <v>1000</v>
      </c>
      <c r="W46" s="28">
        <f>+AVERAGE('Data #1'!AI46,'Data #2'!AI46,'Data #3'!AI46,'Data #4'!AI46,'Data #4'!AI46)</f>
        <v>29.384000000000004</v>
      </c>
      <c r="X46" s="28">
        <f t="shared" si="1"/>
        <v>39.384</v>
      </c>
      <c r="AB46" s="21">
        <v>1000</v>
      </c>
      <c r="AC46" s="10">
        <v>-10</v>
      </c>
      <c r="AD46" s="10">
        <v>10</v>
      </c>
      <c r="AH46">
        <f>MAX('Data #1'!C46,'Data #2'!C46,'Data #3'!C46,'Data #4'!C46,'Data #5'!C46)</f>
        <v>-48.19</v>
      </c>
      <c r="AI46">
        <f>MAX('Data #1'!D46,'Data #2'!D46,'Data #3'!D46,'Data #4'!D46,'Data #5'!D46)</f>
        <v>-44.44</v>
      </c>
      <c r="AJ46">
        <f>MAX('Data #1'!E46,'Data #2'!E46,'Data #3'!E46,'Data #4'!E46,'Data #5'!E46)</f>
        <v>-33.200000000000003</v>
      </c>
      <c r="AK46">
        <f>MAX('Data #1'!F46,'Data #2'!F46,'Data #3'!F46,'Data #4'!F46,'Data #5'!F46)</f>
        <v>-26.21</v>
      </c>
      <c r="AL46">
        <f>MAX('Data #1'!G46,'Data #2'!G46,'Data #3'!G46,'Data #4'!G46,'Data #5'!G46)</f>
        <v>-26.92</v>
      </c>
      <c r="AM46">
        <f>MAX('Data #1'!H46,'Data #2'!H46,'Data #3'!H46,'Data #4'!H46,'Data #5'!H46)</f>
        <v>-23.47</v>
      </c>
      <c r="AN46">
        <f>MIN('Data #1'!C46,'Data #2'!C46,'Data #3'!C46,'Data #4'!C46,'Data #5'!C46)</f>
        <v>-48.19</v>
      </c>
      <c r="AO46">
        <f>MIN('Data #1'!D46,'Data #2'!D46,'Data #3'!D46,'Data #4'!D46,'Data #5'!D46)</f>
        <v>-44.44</v>
      </c>
      <c r="AP46">
        <f>MIN('Data #1'!E46,'Data #2'!E46,'Data #3'!E46,'Data #4'!E46,'Data #5'!E46)</f>
        <v>-33.200000000000003</v>
      </c>
      <c r="AQ46">
        <f>MIN('Data #1'!F46,'Data #2'!F46,'Data #3'!F46,'Data #4'!F46,'Data #5'!F46)</f>
        <v>-26.21</v>
      </c>
      <c r="AR46">
        <f>MIN('Data #1'!G46,'Data #2'!G46,'Data #3'!G46,'Data #4'!G46,'Data #5'!G46)</f>
        <v>-26.92</v>
      </c>
      <c r="AS46">
        <f>MIN('Data #1'!H46,'Data #2'!H46,'Data #3'!H46,'Data #4'!H46,'Data #5'!H46)</f>
        <v>-23.47</v>
      </c>
      <c r="AT46">
        <f t="shared" si="4"/>
        <v>0</v>
      </c>
      <c r="AU46">
        <f t="shared" si="5"/>
        <v>0</v>
      </c>
      <c r="AV46">
        <f t="shared" si="6"/>
        <v>0</v>
      </c>
      <c r="AW46">
        <f t="shared" si="7"/>
        <v>0</v>
      </c>
      <c r="AX46">
        <f t="shared" si="8"/>
        <v>0</v>
      </c>
      <c r="AY46">
        <f t="shared" si="9"/>
        <v>0</v>
      </c>
      <c r="AZ46">
        <v>3.5153999999999996</v>
      </c>
      <c r="BA46">
        <v>0.78299999999999947</v>
      </c>
      <c r="BB46">
        <v>0.8556000000000008</v>
      </c>
      <c r="BC46">
        <v>1.6125999999999996</v>
      </c>
      <c r="BD46">
        <v>1.1870000000000003</v>
      </c>
      <c r="BE46">
        <v>0.93439999999999923</v>
      </c>
      <c r="BF46">
        <f t="shared" si="10"/>
        <v>-3.5153999999999996</v>
      </c>
      <c r="BG46">
        <f t="shared" si="11"/>
        <v>-0.78299999999999947</v>
      </c>
      <c r="BH46">
        <f t="shared" si="12"/>
        <v>-0.8556000000000008</v>
      </c>
      <c r="BI46">
        <f t="shared" si="13"/>
        <v>-1.6125999999999996</v>
      </c>
      <c r="BJ46">
        <f t="shared" si="14"/>
        <v>-1.1870000000000003</v>
      </c>
      <c r="BK46">
        <f t="shared" si="15"/>
        <v>-0.93439999999999923</v>
      </c>
    </row>
    <row r="47" spans="2:63">
      <c r="B47" s="19">
        <v>1060</v>
      </c>
      <c r="C47" s="27">
        <f>+AVERAGE('Data #1'!W47,'Data #2'!W47,'Data #3'!W47,'Data #4'!W47,'Data #5'!W47)</f>
        <v>37.641999999999996</v>
      </c>
      <c r="D47" s="27">
        <f>+C47+STDEV('Data #1'!R47:T47,'Data #2'!R47:T47,'Data #3'!R47:T47,'Data #4'!R47:T47,'Data #5'!R47:T47)</f>
        <v>74.288676754418759</v>
      </c>
      <c r="E47" s="27">
        <f>+C47-STDEV('Data #1'!R47:T47,'Data #2'!R47:T47,'Data #3'!R47:T47,'Data #4'!R47:T47,'Data #5'!R47:T47)</f>
        <v>0.99532324558122554</v>
      </c>
      <c r="F47" s="27">
        <f>+MIN('Data #1'!R47:T47,'Data #2'!R47:T47,'Data #3'!R47:T47,'Data #4'!R47:T47,'Data #5'!R47:T47)</f>
        <v>20</v>
      </c>
      <c r="G47" s="27">
        <f>+MAX('Data #1'!R47:T47,'Data #2'!R47:T47,'Data #3'!R47:T47,'Data #4'!R47:T47,'Data #5'!R47:T47)</f>
        <v>113.71000000000001</v>
      </c>
      <c r="I47" s="19">
        <v>1060</v>
      </c>
      <c r="J47" s="27">
        <f>+AVERAGE('Data #1'!X47,'Data #2'!X47,'Data #3'!X47,'Data #4'!X47,'Data #5'!X47)</f>
        <v>29.534000000000002</v>
      </c>
      <c r="K47" s="27">
        <f t="shared" si="0"/>
        <v>39.534000000000006</v>
      </c>
      <c r="O47" s="20">
        <v>1060</v>
      </c>
      <c r="P47" s="28">
        <f>+AVERAGE('Data #1'!AH47,'Data #2'!AH47,'Data #3'!AH47,'Data #4'!AH47,'Data #5'!AH47)</f>
        <v>34.419333333333341</v>
      </c>
      <c r="Q47" s="28">
        <f>+P47+STDEV('Data #1'!AC47:AE47,'Data #2'!AC47:AE47,'Data #3'!AC47:AE47,'Data #4'!AC47:AE47,'Data #5'!AC47:AE47)</f>
        <v>64.283897731071789</v>
      </c>
      <c r="R47" s="28">
        <f>+P47-STDEV('Data #1'!AC47:AE47,'Data #2'!AC47:AE47,'Data #3'!AC47:AE47,'Data #4'!AC47:AE47,'Data #5'!AC47:AE47)</f>
        <v>4.5547689355948968</v>
      </c>
      <c r="S47" s="28">
        <f>+MIN('Data #1'!AC47:AE47,'Data #2'!AC47:AE47,'Data #3'!AC47:AE47,'Data #4'!AC47:AE47,'Data #5'!AC47:AE47)</f>
        <v>20</v>
      </c>
      <c r="T47" s="28">
        <f>+MAX('Data #1'!AC47:AE47,'Data #2'!AC47:AE47,'Data #3'!AC47:AE47,'Data #4'!AC47:AE47,'Data #5'!AC47:AE47)</f>
        <v>94.06</v>
      </c>
      <c r="V47" s="20">
        <v>1060</v>
      </c>
      <c r="W47" s="28">
        <f>+AVERAGE('Data #1'!AI47,'Data #2'!AI47,'Data #3'!AI47,'Data #4'!AI47,'Data #4'!AI47)</f>
        <v>29.425999999999998</v>
      </c>
      <c r="X47" s="28">
        <f t="shared" si="1"/>
        <v>39.426000000000002</v>
      </c>
      <c r="AB47" s="21">
        <v>1060</v>
      </c>
      <c r="AC47" s="10">
        <v>-10</v>
      </c>
      <c r="AD47" s="10">
        <v>10</v>
      </c>
      <c r="AH47">
        <f>MAX('Data #1'!C47,'Data #2'!C47,'Data #3'!C47,'Data #4'!C47,'Data #5'!C47)</f>
        <v>-44.19</v>
      </c>
      <c r="AI47">
        <f>MAX('Data #1'!D47,'Data #2'!D47,'Data #3'!D47,'Data #4'!D47,'Data #5'!D47)</f>
        <v>-46.04</v>
      </c>
      <c r="AJ47">
        <f>MAX('Data #1'!E47,'Data #2'!E47,'Data #3'!E47,'Data #4'!E47,'Data #5'!E47)</f>
        <v>-31.39</v>
      </c>
      <c r="AK47">
        <f>MAX('Data #1'!F47,'Data #2'!F47,'Data #3'!F47,'Data #4'!F47,'Data #5'!F47)</f>
        <v>-25.67</v>
      </c>
      <c r="AL47">
        <f>MAX('Data #1'!G47,'Data #2'!G47,'Data #3'!G47,'Data #4'!G47,'Data #5'!G47)</f>
        <v>-26.93</v>
      </c>
      <c r="AM47">
        <f>MAX('Data #1'!H47,'Data #2'!H47,'Data #3'!H47,'Data #4'!H47,'Data #5'!H47)</f>
        <v>-22.3</v>
      </c>
      <c r="AN47">
        <f>MIN('Data #1'!C47,'Data #2'!C47,'Data #3'!C47,'Data #4'!C47,'Data #5'!C47)</f>
        <v>-44.19</v>
      </c>
      <c r="AO47">
        <f>MIN('Data #1'!D47,'Data #2'!D47,'Data #3'!D47,'Data #4'!D47,'Data #5'!D47)</f>
        <v>-46.04</v>
      </c>
      <c r="AP47">
        <f>MIN('Data #1'!E47,'Data #2'!E47,'Data #3'!E47,'Data #4'!E47,'Data #5'!E47)</f>
        <v>-31.39</v>
      </c>
      <c r="AQ47">
        <f>MIN('Data #1'!F47,'Data #2'!F47,'Data #3'!F47,'Data #4'!F47,'Data #5'!F47)</f>
        <v>-25.67</v>
      </c>
      <c r="AR47">
        <f>MIN('Data #1'!G47,'Data #2'!G47,'Data #3'!G47,'Data #4'!G47,'Data #5'!G47)</f>
        <v>-26.93</v>
      </c>
      <c r="AS47">
        <f>MIN('Data #1'!H47,'Data #2'!H47,'Data #3'!H47,'Data #4'!H47,'Data #5'!H47)</f>
        <v>-22.3</v>
      </c>
      <c r="AT47">
        <f t="shared" si="4"/>
        <v>0</v>
      </c>
      <c r="AU47">
        <f t="shared" si="5"/>
        <v>0</v>
      </c>
      <c r="AV47">
        <f t="shared" si="6"/>
        <v>0</v>
      </c>
      <c r="AW47">
        <f t="shared" si="7"/>
        <v>0</v>
      </c>
      <c r="AX47">
        <f t="shared" si="8"/>
        <v>0</v>
      </c>
      <c r="AY47">
        <f t="shared" si="9"/>
        <v>0</v>
      </c>
      <c r="AZ47">
        <v>4.3178000000000019</v>
      </c>
      <c r="BA47">
        <v>1.6443000000000003</v>
      </c>
      <c r="BB47">
        <v>1.9694000000000003</v>
      </c>
      <c r="BC47">
        <v>1.019000000000001</v>
      </c>
      <c r="BD47">
        <v>1.4108999999999998</v>
      </c>
      <c r="BE47">
        <v>1.226</v>
      </c>
      <c r="BF47">
        <f t="shared" si="10"/>
        <v>-4.3178000000000019</v>
      </c>
      <c r="BG47">
        <f t="shared" si="11"/>
        <v>-1.6443000000000003</v>
      </c>
      <c r="BH47">
        <f t="shared" si="12"/>
        <v>-1.9694000000000003</v>
      </c>
      <c r="BI47">
        <f t="shared" si="13"/>
        <v>-1.019000000000001</v>
      </c>
      <c r="BJ47">
        <f t="shared" si="14"/>
        <v>-1.4108999999999998</v>
      </c>
      <c r="BK47">
        <f t="shared" si="15"/>
        <v>-1.226</v>
      </c>
    </row>
    <row r="48" spans="2:63">
      <c r="B48" s="19">
        <v>1120</v>
      </c>
      <c r="C48" s="27">
        <f>+AVERAGE('Data #1'!W48,'Data #2'!W48,'Data #3'!W48,'Data #4'!W48,'Data #5'!W48)</f>
        <v>37.712666666666664</v>
      </c>
      <c r="D48" s="27">
        <f>+C48+STDEV('Data #1'!R48:T48,'Data #2'!R48:T48,'Data #3'!R48:T48,'Data #4'!R48:T48,'Data #5'!R48:T48)</f>
        <v>74.51396195960568</v>
      </c>
      <c r="E48" s="27">
        <f>+C48-STDEV('Data #1'!R48:T48,'Data #2'!R48:T48,'Data #3'!R48:T48,'Data #4'!R48:T48,'Data #5'!R48:T48)</f>
        <v>0.91137137372764698</v>
      </c>
      <c r="F48" s="27">
        <f>+MIN('Data #1'!R48:T48,'Data #2'!R48:T48,'Data #3'!R48:T48,'Data #4'!R48:T48,'Data #5'!R48:T48)</f>
        <v>20</v>
      </c>
      <c r="G48" s="27">
        <f>+MAX('Data #1'!R48:T48,'Data #2'!R48:T48,'Data #3'!R48:T48,'Data #4'!R48:T48,'Data #5'!R48:T48)</f>
        <v>114.37</v>
      </c>
      <c r="I48" s="19">
        <v>1120</v>
      </c>
      <c r="J48" s="27">
        <f>+AVERAGE('Data #1'!X48,'Data #2'!X48,'Data #3'!X48,'Data #4'!X48,'Data #5'!X48)</f>
        <v>29.45</v>
      </c>
      <c r="K48" s="27">
        <f t="shared" si="0"/>
        <v>39.450000000000003</v>
      </c>
      <c r="O48" s="20">
        <v>1120</v>
      </c>
      <c r="P48" s="28">
        <f>+AVERAGE('Data #1'!AH48,'Data #2'!AH48,'Data #3'!AH48,'Data #4'!AH48,'Data #5'!AH48)</f>
        <v>34.541999999999994</v>
      </c>
      <c r="Q48" s="28">
        <f>+P48+STDEV('Data #1'!AC48:AE48,'Data #2'!AC48:AE48,'Data #3'!AC48:AE48,'Data #4'!AC48:AE48,'Data #5'!AC48:AE48)</f>
        <v>64.662626582365206</v>
      </c>
      <c r="R48" s="28">
        <f>+P48-STDEV('Data #1'!AC48:AE48,'Data #2'!AC48:AE48,'Data #3'!AC48:AE48,'Data #4'!AC48:AE48,'Data #5'!AC48:AE48)</f>
        <v>4.4213734176347863</v>
      </c>
      <c r="S48" s="28">
        <f>+MIN('Data #1'!AC48:AE48,'Data #2'!AC48:AE48,'Data #3'!AC48:AE48,'Data #4'!AC48:AE48,'Data #5'!AC48:AE48)</f>
        <v>20</v>
      </c>
      <c r="T48" s="28">
        <f>+MAX('Data #1'!AC48:AE48,'Data #2'!AC48:AE48,'Data #3'!AC48:AE48,'Data #4'!AC48:AE48,'Data #5'!AC48:AE48)</f>
        <v>95</v>
      </c>
      <c r="V48" s="20">
        <v>1120</v>
      </c>
      <c r="W48" s="28">
        <f>+AVERAGE('Data #1'!AI48,'Data #2'!AI48,'Data #3'!AI48,'Data #4'!AI48,'Data #4'!AI48)</f>
        <v>29.372000000000003</v>
      </c>
      <c r="X48" s="28">
        <f t="shared" si="1"/>
        <v>39.372</v>
      </c>
      <c r="AB48" s="21">
        <v>1120</v>
      </c>
      <c r="AC48" s="10">
        <v>-10</v>
      </c>
      <c r="AD48" s="10">
        <v>10</v>
      </c>
      <c r="AH48">
        <f>MAX('Data #1'!C48,'Data #2'!C48,'Data #3'!C48,'Data #4'!C48,'Data #5'!C48)</f>
        <v>-44.96</v>
      </c>
      <c r="AI48">
        <f>MAX('Data #1'!D48,'Data #2'!D48,'Data #3'!D48,'Data #4'!D48,'Data #5'!D48)</f>
        <v>-47.12</v>
      </c>
      <c r="AJ48">
        <f>MAX('Data #1'!E48,'Data #2'!E48,'Data #3'!E48,'Data #4'!E48,'Data #5'!E48)</f>
        <v>-31.86</v>
      </c>
      <c r="AK48">
        <f>MAX('Data #1'!F48,'Data #2'!F48,'Data #3'!F48,'Data #4'!F48,'Data #5'!F48)</f>
        <v>-26.36</v>
      </c>
      <c r="AL48">
        <f>MAX('Data #1'!G48,'Data #2'!G48,'Data #3'!G48,'Data #4'!G48,'Data #5'!G48)</f>
        <v>-28.14</v>
      </c>
      <c r="AM48">
        <f>MAX('Data #1'!H48,'Data #2'!H48,'Data #3'!H48,'Data #4'!H48,'Data #5'!H48)</f>
        <v>-23.05</v>
      </c>
      <c r="AN48">
        <f>MIN('Data #1'!C48,'Data #2'!C48,'Data #3'!C48,'Data #4'!C48,'Data #5'!C48)</f>
        <v>-44.96</v>
      </c>
      <c r="AO48">
        <f>MIN('Data #1'!D48,'Data #2'!D48,'Data #3'!D48,'Data #4'!D48,'Data #5'!D48)</f>
        <v>-47.12</v>
      </c>
      <c r="AP48">
        <f>MIN('Data #1'!E48,'Data #2'!E48,'Data #3'!E48,'Data #4'!E48,'Data #5'!E48)</f>
        <v>-31.86</v>
      </c>
      <c r="AQ48">
        <f>MIN('Data #1'!F48,'Data #2'!F48,'Data #3'!F48,'Data #4'!F48,'Data #5'!F48)</f>
        <v>-26.36</v>
      </c>
      <c r="AR48">
        <f>MIN('Data #1'!G48,'Data #2'!G48,'Data #3'!G48,'Data #4'!G48,'Data #5'!G48)</f>
        <v>-28.14</v>
      </c>
      <c r="AS48">
        <f>MIN('Data #1'!H48,'Data #2'!H48,'Data #3'!H48,'Data #4'!H48,'Data #5'!H48)</f>
        <v>-23.05</v>
      </c>
      <c r="AT48">
        <f t="shared" si="4"/>
        <v>0</v>
      </c>
      <c r="AU48">
        <f t="shared" si="5"/>
        <v>0</v>
      </c>
      <c r="AV48">
        <f t="shared" si="6"/>
        <v>0</v>
      </c>
      <c r="AW48">
        <f t="shared" si="7"/>
        <v>0</v>
      </c>
      <c r="AX48">
        <f t="shared" si="8"/>
        <v>0</v>
      </c>
      <c r="AY48">
        <f t="shared" si="9"/>
        <v>0</v>
      </c>
      <c r="AZ48">
        <v>4.4243000000000006</v>
      </c>
      <c r="BA48">
        <v>2.5876999999999999</v>
      </c>
      <c r="BB48">
        <v>1.8003</v>
      </c>
      <c r="BC48">
        <v>0.83680000000000021</v>
      </c>
      <c r="BD48">
        <v>1.4828999999999999</v>
      </c>
      <c r="BE48">
        <v>0.54060000000000041</v>
      </c>
      <c r="BF48">
        <f t="shared" si="10"/>
        <v>-4.4243000000000006</v>
      </c>
      <c r="BG48">
        <f t="shared" si="11"/>
        <v>-2.5876999999999999</v>
      </c>
      <c r="BH48">
        <f t="shared" si="12"/>
        <v>-1.8003</v>
      </c>
      <c r="BI48">
        <f t="shared" si="13"/>
        <v>-0.83680000000000021</v>
      </c>
      <c r="BJ48">
        <f t="shared" si="14"/>
        <v>-1.4828999999999999</v>
      </c>
      <c r="BK48">
        <f t="shared" si="15"/>
        <v>-0.54060000000000041</v>
      </c>
    </row>
    <row r="49" spans="2:63">
      <c r="B49" s="19">
        <v>1180</v>
      </c>
      <c r="C49" s="27">
        <f>+AVERAGE('Data #1'!W49,'Data #2'!W49,'Data #3'!W49,'Data #4'!W49,'Data #5'!W49)</f>
        <v>38.200666666666663</v>
      </c>
      <c r="D49" s="27">
        <f>+C49+STDEV('Data #1'!R49:T49,'Data #2'!R49:T49,'Data #3'!R49:T49,'Data #4'!R49:T49,'Data #5'!R49:T49)</f>
        <v>76.148896526882936</v>
      </c>
      <c r="E49" s="27">
        <f>+C49-STDEV('Data #1'!R49:T49,'Data #2'!R49:T49,'Data #3'!R49:T49,'Data #4'!R49:T49,'Data #5'!R49:T49)</f>
        <v>0.25243680645039035</v>
      </c>
      <c r="F49" s="27">
        <f>+MIN('Data #1'!R49:T49,'Data #2'!R49:T49,'Data #3'!R49:T49,'Data #4'!R49:T49,'Data #5'!R49:T49)</f>
        <v>20</v>
      </c>
      <c r="G49" s="27">
        <f>+MAX('Data #1'!R49:T49,'Data #2'!R49:T49,'Data #3'!R49:T49,'Data #4'!R49:T49,'Data #5'!R49:T49)</f>
        <v>122.59</v>
      </c>
      <c r="I49" s="19">
        <v>1180</v>
      </c>
      <c r="J49" s="27">
        <f>+AVERAGE('Data #1'!X49,'Data #2'!X49,'Data #3'!X49,'Data #4'!X49,'Data #5'!X49)</f>
        <v>29.332000000000001</v>
      </c>
      <c r="K49" s="27">
        <f t="shared" si="0"/>
        <v>39.332000000000001</v>
      </c>
      <c r="O49" s="20">
        <v>1180</v>
      </c>
      <c r="P49" s="28">
        <f>+AVERAGE('Data #1'!AH49,'Data #2'!AH49,'Data #3'!AH49,'Data #4'!AH49,'Data #5'!AH49)</f>
        <v>34.551333333333332</v>
      </c>
      <c r="Q49" s="28">
        <f>+P49+STDEV('Data #1'!AC49:AE49,'Data #2'!AC49:AE49,'Data #3'!AC49:AE49,'Data #4'!AC49:AE49,'Data #5'!AC49:AE49)</f>
        <v>64.693745519171273</v>
      </c>
      <c r="R49" s="28">
        <f>+P49-STDEV('Data #1'!AC49:AE49,'Data #2'!AC49:AE49,'Data #3'!AC49:AE49,'Data #4'!AC49:AE49,'Data #5'!AC49:AE49)</f>
        <v>4.4089211474953878</v>
      </c>
      <c r="S49" s="28">
        <f>+MIN('Data #1'!AC49:AE49,'Data #2'!AC49:AE49,'Data #3'!AC49:AE49,'Data #4'!AC49:AE49,'Data #5'!AC49:AE49)</f>
        <v>20</v>
      </c>
      <c r="T49" s="28">
        <f>+MAX('Data #1'!AC49:AE49,'Data #2'!AC49:AE49,'Data #3'!AC49:AE49,'Data #4'!AC49:AE49,'Data #5'!AC49:AE49)</f>
        <v>95.46</v>
      </c>
      <c r="V49" s="20">
        <v>1180</v>
      </c>
      <c r="W49" s="28">
        <f>+AVERAGE('Data #1'!AI49,'Data #2'!AI49,'Data #3'!AI49,'Data #4'!AI49,'Data #4'!AI49)</f>
        <v>29.207999999999998</v>
      </c>
      <c r="X49" s="28">
        <f t="shared" si="1"/>
        <v>39.207999999999998</v>
      </c>
      <c r="AB49" s="21">
        <v>1180</v>
      </c>
      <c r="AC49" s="10">
        <v>-10</v>
      </c>
      <c r="AD49" s="10">
        <v>10</v>
      </c>
      <c r="AH49">
        <f>MAX('Data #1'!C49,'Data #2'!C49,'Data #3'!C49,'Data #4'!C49,'Data #5'!C49)</f>
        <v>-45.02</v>
      </c>
      <c r="AI49">
        <f>MAX('Data #1'!D49,'Data #2'!D49,'Data #3'!D49,'Data #4'!D49,'Data #5'!D49)</f>
        <v>-55.93</v>
      </c>
      <c r="AJ49">
        <f>MAX('Data #1'!E49,'Data #2'!E49,'Data #3'!E49,'Data #4'!E49,'Data #5'!E49)</f>
        <v>-32.08</v>
      </c>
      <c r="AK49">
        <f>MAX('Data #1'!F49,'Data #2'!F49,'Data #3'!F49,'Data #4'!F49,'Data #5'!F49)</f>
        <v>-26.86</v>
      </c>
      <c r="AL49">
        <f>MAX('Data #1'!G49,'Data #2'!G49,'Data #3'!G49,'Data #4'!G49,'Data #5'!G49)</f>
        <v>-29.42</v>
      </c>
      <c r="AM49">
        <f>MAX('Data #1'!H49,'Data #2'!H49,'Data #3'!H49,'Data #4'!H49,'Data #5'!H49)</f>
        <v>-23.87</v>
      </c>
      <c r="AN49">
        <f>MIN('Data #1'!C49,'Data #2'!C49,'Data #3'!C49,'Data #4'!C49,'Data #5'!C49)</f>
        <v>-45.02</v>
      </c>
      <c r="AO49">
        <f>MIN('Data #1'!D49,'Data #2'!D49,'Data #3'!D49,'Data #4'!D49,'Data #5'!D49)</f>
        <v>-55.93</v>
      </c>
      <c r="AP49">
        <f>MIN('Data #1'!E49,'Data #2'!E49,'Data #3'!E49,'Data #4'!E49,'Data #5'!E49)</f>
        <v>-32.08</v>
      </c>
      <c r="AQ49">
        <f>MIN('Data #1'!F49,'Data #2'!F49,'Data #3'!F49,'Data #4'!F49,'Data #5'!F49)</f>
        <v>-26.86</v>
      </c>
      <c r="AR49">
        <f>MIN('Data #1'!G49,'Data #2'!G49,'Data #3'!G49,'Data #4'!G49,'Data #5'!G49)</f>
        <v>-29.42</v>
      </c>
      <c r="AS49">
        <f>MIN('Data #1'!H49,'Data #2'!H49,'Data #3'!H49,'Data #4'!H49,'Data #5'!H49)</f>
        <v>-23.87</v>
      </c>
      <c r="AT49">
        <f t="shared" si="4"/>
        <v>0</v>
      </c>
      <c r="AU49">
        <f t="shared" si="5"/>
        <v>0</v>
      </c>
      <c r="AV49">
        <f t="shared" si="6"/>
        <v>0</v>
      </c>
      <c r="AW49">
        <f t="shared" si="7"/>
        <v>0</v>
      </c>
      <c r="AX49">
        <f t="shared" si="8"/>
        <v>0</v>
      </c>
      <c r="AY49">
        <f t="shared" si="9"/>
        <v>0</v>
      </c>
      <c r="AZ49">
        <v>2.7307000000000006</v>
      </c>
      <c r="BA49">
        <v>2.4188000000000009</v>
      </c>
      <c r="BB49">
        <v>2.9059999999999988</v>
      </c>
      <c r="BC49">
        <v>0.83879999999999999</v>
      </c>
      <c r="BD49">
        <v>1.4397000000000002</v>
      </c>
      <c r="BE49">
        <v>0.45560000000000045</v>
      </c>
      <c r="BF49">
        <f t="shared" si="10"/>
        <v>-2.7307000000000006</v>
      </c>
      <c r="BG49">
        <f t="shared" si="11"/>
        <v>-2.4188000000000009</v>
      </c>
      <c r="BH49">
        <f t="shared" si="12"/>
        <v>-2.9059999999999988</v>
      </c>
      <c r="BI49">
        <f t="shared" si="13"/>
        <v>-0.83879999999999999</v>
      </c>
      <c r="BJ49">
        <f t="shared" si="14"/>
        <v>-1.4397000000000002</v>
      </c>
      <c r="BK49">
        <f t="shared" si="15"/>
        <v>-0.45560000000000045</v>
      </c>
    </row>
    <row r="50" spans="2:63">
      <c r="B50" s="19">
        <v>1250</v>
      </c>
      <c r="C50" s="27">
        <f>+AVERAGE('Data #1'!W50,'Data #2'!W50,'Data #3'!W50,'Data #4'!W50,'Data #5'!W50)</f>
        <v>37.704666666666661</v>
      </c>
      <c r="D50" s="27">
        <f>+C50+STDEV('Data #1'!R50:T50,'Data #2'!R50:T50,'Data #3'!R50:T50,'Data #4'!R50:T50,'Data #5'!R50:T50)</f>
        <v>74.493395310615412</v>
      </c>
      <c r="E50" s="27">
        <f>+C50-STDEV('Data #1'!R50:T50,'Data #2'!R50:T50,'Data #3'!R50:T50,'Data #4'!R50:T50,'Data #5'!R50:T50)</f>
        <v>0.91593802271790992</v>
      </c>
      <c r="F50" s="27">
        <f>+MIN('Data #1'!R50:T50,'Data #2'!R50:T50,'Data #3'!R50:T50,'Data #4'!R50:T50,'Data #5'!R50:T50)</f>
        <v>20</v>
      </c>
      <c r="G50" s="27">
        <f>+MAX('Data #1'!R50:T50,'Data #2'!R50:T50,'Data #3'!R50:T50,'Data #4'!R50:T50,'Data #5'!R50:T50)</f>
        <v>115.25999999999999</v>
      </c>
      <c r="I50" s="19">
        <v>1250</v>
      </c>
      <c r="J50" s="27">
        <f>+AVERAGE('Data #1'!X50,'Data #2'!X50,'Data #3'!X50,'Data #4'!X50,'Data #5'!X50)</f>
        <v>29.251999999999999</v>
      </c>
      <c r="K50" s="27">
        <f t="shared" si="0"/>
        <v>39.251999999999995</v>
      </c>
      <c r="O50" s="20">
        <v>1250</v>
      </c>
      <c r="P50" s="28">
        <f>+AVERAGE('Data #1'!AH50,'Data #2'!AH50,'Data #3'!AH50,'Data #4'!AH50,'Data #5'!AH50)</f>
        <v>34.646666666666668</v>
      </c>
      <c r="Q50" s="28">
        <f>+P50+STDEV('Data #1'!AC50:AE50,'Data #2'!AC50:AE50,'Data #3'!AC50:AE50,'Data #4'!AC50:AE50,'Data #5'!AC50:AE50)</f>
        <v>64.985254699228818</v>
      </c>
      <c r="R50" s="28">
        <f>+P50-STDEV('Data #1'!AC50:AE50,'Data #2'!AC50:AE50,'Data #3'!AC50:AE50,'Data #4'!AC50:AE50,'Data #5'!AC50:AE50)</f>
        <v>4.3080786341045147</v>
      </c>
      <c r="S50" s="28">
        <f>+MIN('Data #1'!AC50:AE50,'Data #2'!AC50:AE50,'Data #3'!AC50:AE50,'Data #4'!AC50:AE50,'Data #5'!AC50:AE50)</f>
        <v>20</v>
      </c>
      <c r="T50" s="28">
        <f>+MAX('Data #1'!AC50:AE50,'Data #2'!AC50:AE50,'Data #3'!AC50:AE50,'Data #4'!AC50:AE50,'Data #5'!AC50:AE50)</f>
        <v>96.02</v>
      </c>
      <c r="V50" s="20">
        <v>1250</v>
      </c>
      <c r="W50" s="28">
        <f>+AVERAGE('Data #1'!AI50,'Data #2'!AI50,'Data #3'!AI50,'Data #4'!AI50,'Data #4'!AI50)</f>
        <v>29.15</v>
      </c>
      <c r="X50" s="28">
        <f t="shared" si="1"/>
        <v>39.15</v>
      </c>
      <c r="AB50" s="21">
        <v>1250</v>
      </c>
      <c r="AC50" s="10">
        <v>-10</v>
      </c>
      <c r="AD50" s="10">
        <v>10</v>
      </c>
      <c r="AH50">
        <f>MAX('Data #1'!C50,'Data #2'!C50,'Data #3'!C50,'Data #4'!C50,'Data #5'!C50)</f>
        <v>-44.91</v>
      </c>
      <c r="AI50">
        <f>MAX('Data #1'!D50,'Data #2'!D50,'Data #3'!D50,'Data #4'!D50,'Data #5'!D50)</f>
        <v>-49</v>
      </c>
      <c r="AJ50">
        <f>MAX('Data #1'!E50,'Data #2'!E50,'Data #3'!E50,'Data #4'!E50,'Data #5'!E50)</f>
        <v>-32.880000000000003</v>
      </c>
      <c r="AK50">
        <f>MAX('Data #1'!F50,'Data #2'!F50,'Data #3'!F50,'Data #4'!F50,'Data #5'!F50)</f>
        <v>-27.29</v>
      </c>
      <c r="AL50">
        <f>MAX('Data #1'!G50,'Data #2'!G50,'Data #3'!G50,'Data #4'!G50,'Data #5'!G50)</f>
        <v>-30.27</v>
      </c>
      <c r="AM50">
        <f>MAX('Data #1'!H50,'Data #2'!H50,'Data #3'!H50,'Data #4'!H50,'Data #5'!H50)</f>
        <v>-24.89</v>
      </c>
      <c r="AN50">
        <f>MIN('Data #1'!C50,'Data #2'!C50,'Data #3'!C50,'Data #4'!C50,'Data #5'!C50)</f>
        <v>-44.91</v>
      </c>
      <c r="AO50">
        <f>MIN('Data #1'!D50,'Data #2'!D50,'Data #3'!D50,'Data #4'!D50,'Data #5'!D50)</f>
        <v>-49</v>
      </c>
      <c r="AP50">
        <f>MIN('Data #1'!E50,'Data #2'!E50,'Data #3'!E50,'Data #4'!E50,'Data #5'!E50)</f>
        <v>-32.880000000000003</v>
      </c>
      <c r="AQ50">
        <f>MIN('Data #1'!F50,'Data #2'!F50,'Data #3'!F50,'Data #4'!F50,'Data #5'!F50)</f>
        <v>-27.29</v>
      </c>
      <c r="AR50">
        <f>MIN('Data #1'!G50,'Data #2'!G50,'Data #3'!G50,'Data #4'!G50,'Data #5'!G50)</f>
        <v>-30.27</v>
      </c>
      <c r="AS50">
        <f>MIN('Data #1'!H50,'Data #2'!H50,'Data #3'!H50,'Data #4'!H50,'Data #5'!H50)</f>
        <v>-24.89</v>
      </c>
      <c r="AT50">
        <f t="shared" si="4"/>
        <v>0</v>
      </c>
      <c r="AU50">
        <f t="shared" si="5"/>
        <v>0</v>
      </c>
      <c r="AV50">
        <f t="shared" si="6"/>
        <v>0</v>
      </c>
      <c r="AW50">
        <f t="shared" si="7"/>
        <v>0</v>
      </c>
      <c r="AX50">
        <f t="shared" si="8"/>
        <v>0</v>
      </c>
      <c r="AY50">
        <f t="shared" si="9"/>
        <v>0</v>
      </c>
      <c r="AZ50">
        <v>3.0515999999999988</v>
      </c>
      <c r="BA50">
        <v>2.7324999999999999</v>
      </c>
      <c r="BB50">
        <v>2.2355999999999998</v>
      </c>
      <c r="BC50">
        <v>0.75370000000000115</v>
      </c>
      <c r="BD50">
        <v>1.6108000000000002</v>
      </c>
      <c r="BE50">
        <v>0.60239999999999938</v>
      </c>
      <c r="BF50">
        <f t="shared" si="10"/>
        <v>-3.0515999999999988</v>
      </c>
      <c r="BG50">
        <f t="shared" si="11"/>
        <v>-2.7324999999999999</v>
      </c>
      <c r="BH50">
        <f t="shared" si="12"/>
        <v>-2.2355999999999998</v>
      </c>
      <c r="BI50">
        <f t="shared" si="13"/>
        <v>-0.75370000000000115</v>
      </c>
      <c r="BJ50">
        <f t="shared" si="14"/>
        <v>-1.6108000000000002</v>
      </c>
      <c r="BK50">
        <f t="shared" si="15"/>
        <v>-0.60239999999999938</v>
      </c>
    </row>
    <row r="51" spans="2:63">
      <c r="B51" s="19">
        <v>1320</v>
      </c>
      <c r="C51" s="27">
        <f>+AVERAGE('Data #1'!W51,'Data #2'!W51,'Data #3'!W51,'Data #4'!W51,'Data #5'!W51)</f>
        <v>37.465999999999994</v>
      </c>
      <c r="D51" s="27">
        <f>+C51+STDEV('Data #1'!R51:T51,'Data #2'!R51:T51,'Data #3'!R51:T51,'Data #4'!R51:T51,'Data #5'!R51:T51)</f>
        <v>73.717237574933705</v>
      </c>
      <c r="E51" s="27">
        <f>+C51-STDEV('Data #1'!R51:T51,'Data #2'!R51:T51,'Data #3'!R51:T51,'Data #4'!R51:T51,'Data #5'!R51:T51)</f>
        <v>1.2147624250662901</v>
      </c>
      <c r="F51" s="27">
        <f>+MIN('Data #1'!R51:T51,'Data #2'!R51:T51,'Data #3'!R51:T51,'Data #4'!R51:T51,'Data #5'!R51:T51)</f>
        <v>20</v>
      </c>
      <c r="G51" s="27">
        <f>+MAX('Data #1'!R51:T51,'Data #2'!R51:T51,'Data #3'!R51:T51,'Data #4'!R51:T51,'Data #5'!R51:T51)</f>
        <v>114.00999999999999</v>
      </c>
      <c r="I51" s="19">
        <v>1320</v>
      </c>
      <c r="J51" s="27">
        <f>+AVERAGE('Data #1'!X51,'Data #2'!X51,'Data #3'!X51,'Data #4'!X51,'Data #5'!X51)</f>
        <v>29.256</v>
      </c>
      <c r="K51" s="27">
        <f t="shared" si="0"/>
        <v>39.256</v>
      </c>
      <c r="O51" s="20">
        <v>1320</v>
      </c>
      <c r="P51" s="28">
        <f>+AVERAGE('Data #1'!AH51,'Data #2'!AH51,'Data #3'!AH51,'Data #4'!AH51,'Data #5'!AH51)</f>
        <v>34.75333333333333</v>
      </c>
      <c r="Q51" s="28">
        <f>+P51+STDEV('Data #1'!AC51:AE51,'Data #2'!AC51:AE51,'Data #3'!AC51:AE51,'Data #4'!AC51:AE51,'Data #5'!AC51:AE51)</f>
        <v>65.312659164216697</v>
      </c>
      <c r="R51" s="28">
        <f>+P51-STDEV('Data #1'!AC51:AE51,'Data #2'!AC51:AE51,'Data #3'!AC51:AE51,'Data #4'!AC51:AE51,'Data #5'!AC51:AE51)</f>
        <v>4.1940075024499635</v>
      </c>
      <c r="S51" s="28">
        <f>+MIN('Data #1'!AC51:AE51,'Data #2'!AC51:AE51,'Data #3'!AC51:AE51,'Data #4'!AC51:AE51,'Data #5'!AC51:AE51)</f>
        <v>20</v>
      </c>
      <c r="T51" s="28">
        <f>+MAX('Data #1'!AC51:AE51,'Data #2'!AC51:AE51,'Data #3'!AC51:AE51,'Data #4'!AC51:AE51,'Data #5'!AC51:AE51)</f>
        <v>96.54</v>
      </c>
      <c r="V51" s="20">
        <v>1320</v>
      </c>
      <c r="W51" s="28">
        <f>+AVERAGE('Data #1'!AI51,'Data #2'!AI51,'Data #3'!AI51,'Data #4'!AI51,'Data #4'!AI51)</f>
        <v>29.112000000000002</v>
      </c>
      <c r="X51" s="28">
        <f t="shared" si="1"/>
        <v>39.112000000000002</v>
      </c>
      <c r="AB51" s="21">
        <v>1320</v>
      </c>
      <c r="AC51" s="10">
        <v>-10</v>
      </c>
      <c r="AD51" s="10">
        <v>10</v>
      </c>
      <c r="AH51">
        <f>MAX('Data #1'!C51,'Data #2'!C51,'Data #3'!C51,'Data #4'!C51,'Data #5'!C51)</f>
        <v>-41.42</v>
      </c>
      <c r="AI51">
        <f>MAX('Data #1'!D51,'Data #2'!D51,'Data #3'!D51,'Data #4'!D51,'Data #5'!D51)</f>
        <v>-47.73</v>
      </c>
      <c r="AJ51">
        <f>MAX('Data #1'!E51,'Data #2'!E51,'Data #3'!E51,'Data #4'!E51,'Data #5'!E51)</f>
        <v>-34</v>
      </c>
      <c r="AK51">
        <f>MAX('Data #1'!F51,'Data #2'!F51,'Data #3'!F51,'Data #4'!F51,'Data #5'!F51)</f>
        <v>-28.05</v>
      </c>
      <c r="AL51">
        <f>MAX('Data #1'!G51,'Data #2'!G51,'Data #3'!G51,'Data #4'!G51,'Data #5'!G51)</f>
        <v>-30.98</v>
      </c>
      <c r="AM51">
        <f>MAX('Data #1'!H51,'Data #2'!H51,'Data #3'!H51,'Data #4'!H51,'Data #5'!H51)</f>
        <v>-25.59</v>
      </c>
      <c r="AN51">
        <f>MIN('Data #1'!C51,'Data #2'!C51,'Data #3'!C51,'Data #4'!C51,'Data #5'!C51)</f>
        <v>-41.42</v>
      </c>
      <c r="AO51">
        <f>MIN('Data #1'!D51,'Data #2'!D51,'Data #3'!D51,'Data #4'!D51,'Data #5'!D51)</f>
        <v>-47.73</v>
      </c>
      <c r="AP51">
        <f>MIN('Data #1'!E51,'Data #2'!E51,'Data #3'!E51,'Data #4'!E51,'Data #5'!E51)</f>
        <v>-34</v>
      </c>
      <c r="AQ51">
        <f>MIN('Data #1'!F51,'Data #2'!F51,'Data #3'!F51,'Data #4'!F51,'Data #5'!F51)</f>
        <v>-28.05</v>
      </c>
      <c r="AR51">
        <f>MIN('Data #1'!G51,'Data #2'!G51,'Data #3'!G51,'Data #4'!G51,'Data #5'!G51)</f>
        <v>-30.98</v>
      </c>
      <c r="AS51">
        <f>MIN('Data #1'!H51,'Data #2'!H51,'Data #3'!H51,'Data #4'!H51,'Data #5'!H51)</f>
        <v>-25.59</v>
      </c>
      <c r="AT51">
        <f t="shared" si="4"/>
        <v>0</v>
      </c>
      <c r="AU51">
        <f t="shared" si="5"/>
        <v>0</v>
      </c>
      <c r="AV51">
        <f t="shared" si="6"/>
        <v>0</v>
      </c>
      <c r="AW51">
        <f t="shared" si="7"/>
        <v>0</v>
      </c>
      <c r="AX51">
        <f t="shared" si="8"/>
        <v>0</v>
      </c>
      <c r="AY51">
        <f t="shared" si="9"/>
        <v>0</v>
      </c>
      <c r="AZ51">
        <v>5.5080000000000009</v>
      </c>
      <c r="BA51">
        <v>3.8280999999999992</v>
      </c>
      <c r="BB51">
        <v>1.4156000000000013</v>
      </c>
      <c r="BC51">
        <v>1.9389999999999992</v>
      </c>
      <c r="BD51">
        <v>1.7267000000000001</v>
      </c>
      <c r="BE51">
        <v>1.2157999999999998</v>
      </c>
      <c r="BF51">
        <f t="shared" si="10"/>
        <v>-5.5080000000000009</v>
      </c>
      <c r="BG51">
        <f t="shared" si="11"/>
        <v>-3.8280999999999992</v>
      </c>
      <c r="BH51">
        <f t="shared" si="12"/>
        <v>-1.4156000000000013</v>
      </c>
      <c r="BI51">
        <f t="shared" si="13"/>
        <v>-1.9389999999999992</v>
      </c>
      <c r="BJ51">
        <f t="shared" si="14"/>
        <v>-1.7267000000000001</v>
      </c>
      <c r="BK51">
        <f t="shared" si="15"/>
        <v>-1.2157999999999998</v>
      </c>
    </row>
    <row r="52" spans="2:63">
      <c r="B52" s="19">
        <v>1400</v>
      </c>
      <c r="C52" s="27">
        <f>+AVERAGE('Data #1'!W52,'Data #2'!W52,'Data #3'!W52,'Data #4'!W52,'Data #5'!W52)</f>
        <v>38.095333333333329</v>
      </c>
      <c r="D52" s="27">
        <f>+C52+STDEV('Data #1'!R52:T52,'Data #2'!R52:T52,'Data #3'!R52:T52,'Data #4'!R52:T52,'Data #5'!R52:T52)</f>
        <v>75.804079735701237</v>
      </c>
      <c r="E52" s="27">
        <f>+C52-STDEV('Data #1'!R52:T52,'Data #2'!R52:T52,'Data #3'!R52:T52,'Data #4'!R52:T52,'Data #5'!R52:T52)</f>
        <v>0.38658693096542152</v>
      </c>
      <c r="F52" s="27">
        <f>+MIN('Data #1'!R52:T52,'Data #2'!R52:T52,'Data #3'!R52:T52,'Data #4'!R52:T52,'Data #5'!R52:T52)</f>
        <v>20</v>
      </c>
      <c r="G52" s="27">
        <f>+MAX('Data #1'!R52:T52,'Data #2'!R52:T52,'Data #3'!R52:T52,'Data #4'!R52:T52,'Data #5'!R52:T52)</f>
        <v>123.13999999999999</v>
      </c>
      <c r="I52" s="19">
        <v>1400</v>
      </c>
      <c r="J52" s="27">
        <f>+AVERAGE('Data #1'!X52,'Data #2'!X52,'Data #3'!X52,'Data #4'!X52,'Data #5'!X52)</f>
        <v>29.125999999999998</v>
      </c>
      <c r="K52" s="27">
        <f t="shared" si="0"/>
        <v>39.125999999999998</v>
      </c>
      <c r="O52" s="20">
        <v>1400</v>
      </c>
      <c r="P52" s="28">
        <f>+AVERAGE('Data #1'!AH52,'Data #2'!AH52,'Data #3'!AH52,'Data #4'!AH52,'Data #5'!AH52)</f>
        <v>34.807333333333339</v>
      </c>
      <c r="Q52" s="28">
        <f>+P52+STDEV('Data #1'!AC52:AE52,'Data #2'!AC52:AE52,'Data #3'!AC52:AE52,'Data #4'!AC52:AE52,'Data #5'!AC52:AE52)</f>
        <v>65.474915208910659</v>
      </c>
      <c r="R52" s="28">
        <f>+P52-STDEV('Data #1'!AC52:AE52,'Data #2'!AC52:AE52,'Data #3'!AC52:AE52,'Data #4'!AC52:AE52,'Data #5'!AC52:AE52)</f>
        <v>4.1397514577560202</v>
      </c>
      <c r="S52" s="28">
        <f>+MIN('Data #1'!AC52:AE52,'Data #2'!AC52:AE52,'Data #3'!AC52:AE52,'Data #4'!AC52:AE52,'Data #5'!AC52:AE52)</f>
        <v>20</v>
      </c>
      <c r="T52" s="28">
        <f>+MAX('Data #1'!AC52:AE52,'Data #2'!AC52:AE52,'Data #3'!AC52:AE52,'Data #4'!AC52:AE52,'Data #5'!AC52:AE52)</f>
        <v>96.070000000000007</v>
      </c>
      <c r="V52" s="20">
        <v>1400</v>
      </c>
      <c r="W52" s="28">
        <f>+AVERAGE('Data #1'!AI52,'Data #2'!AI52,'Data #3'!AI52,'Data #4'!AI52,'Data #4'!AI52)</f>
        <v>29.03</v>
      </c>
      <c r="X52" s="28">
        <f t="shared" si="1"/>
        <v>39.03</v>
      </c>
      <c r="AB52" s="21">
        <v>1400</v>
      </c>
      <c r="AC52" s="10">
        <v>-10</v>
      </c>
      <c r="AD52" s="10">
        <v>10</v>
      </c>
      <c r="AH52">
        <f>MAX('Data #1'!C52,'Data #2'!C52,'Data #3'!C52,'Data #4'!C52,'Data #5'!C52)</f>
        <v>-41.7</v>
      </c>
      <c r="AI52">
        <f>MAX('Data #1'!D52,'Data #2'!D52,'Data #3'!D52,'Data #4'!D52,'Data #5'!D52)</f>
        <v>-57.51</v>
      </c>
      <c r="AJ52">
        <f>MAX('Data #1'!E52,'Data #2'!E52,'Data #3'!E52,'Data #4'!E52,'Data #5'!E52)</f>
        <v>-35.33</v>
      </c>
      <c r="AK52">
        <f>MAX('Data #1'!F52,'Data #2'!F52,'Data #3'!F52,'Data #4'!F52,'Data #5'!F52)</f>
        <v>-29.51</v>
      </c>
      <c r="AL52">
        <f>MAX('Data #1'!G52,'Data #2'!G52,'Data #3'!G52,'Data #4'!G52,'Data #5'!G52)</f>
        <v>-30.92</v>
      </c>
      <c r="AM52">
        <f>MAX('Data #1'!H52,'Data #2'!H52,'Data #3'!H52,'Data #4'!H52,'Data #5'!H52)</f>
        <v>-26.23</v>
      </c>
      <c r="AN52">
        <f>MIN('Data #1'!C52,'Data #2'!C52,'Data #3'!C52,'Data #4'!C52,'Data #5'!C52)</f>
        <v>-41.7</v>
      </c>
      <c r="AO52">
        <f>MIN('Data #1'!D52,'Data #2'!D52,'Data #3'!D52,'Data #4'!D52,'Data #5'!D52)</f>
        <v>-57.51</v>
      </c>
      <c r="AP52">
        <f>MIN('Data #1'!E52,'Data #2'!E52,'Data #3'!E52,'Data #4'!E52,'Data #5'!E52)</f>
        <v>-35.33</v>
      </c>
      <c r="AQ52">
        <f>MIN('Data #1'!F52,'Data #2'!F52,'Data #3'!F52,'Data #4'!F52,'Data #5'!F52)</f>
        <v>-29.51</v>
      </c>
      <c r="AR52">
        <f>MIN('Data #1'!G52,'Data #2'!G52,'Data #3'!G52,'Data #4'!G52,'Data #5'!G52)</f>
        <v>-30.92</v>
      </c>
      <c r="AS52">
        <f>MIN('Data #1'!H52,'Data #2'!H52,'Data #3'!H52,'Data #4'!H52,'Data #5'!H52)</f>
        <v>-26.23</v>
      </c>
      <c r="AT52">
        <f t="shared" si="4"/>
        <v>0</v>
      </c>
      <c r="AU52">
        <f t="shared" si="5"/>
        <v>0</v>
      </c>
      <c r="AV52">
        <f t="shared" si="6"/>
        <v>0</v>
      </c>
      <c r="AW52">
        <f t="shared" si="7"/>
        <v>0</v>
      </c>
      <c r="AX52">
        <f t="shared" si="8"/>
        <v>0</v>
      </c>
      <c r="AY52">
        <f t="shared" si="9"/>
        <v>0</v>
      </c>
      <c r="AZ52">
        <v>4.2554999999999978</v>
      </c>
      <c r="BA52">
        <v>3.1829000000000001</v>
      </c>
      <c r="BB52">
        <v>6.5968000000000018</v>
      </c>
      <c r="BC52">
        <v>1.008700000000001</v>
      </c>
      <c r="BD52">
        <v>1.4775</v>
      </c>
      <c r="BE52">
        <v>1.2230000000000008</v>
      </c>
      <c r="BF52">
        <f t="shared" si="10"/>
        <v>-4.2554999999999978</v>
      </c>
      <c r="BG52">
        <f t="shared" si="11"/>
        <v>-3.1829000000000001</v>
      </c>
      <c r="BH52">
        <f t="shared" si="12"/>
        <v>-6.5968000000000018</v>
      </c>
      <c r="BI52">
        <f t="shared" si="13"/>
        <v>-1.008700000000001</v>
      </c>
      <c r="BJ52">
        <f t="shared" si="14"/>
        <v>-1.4775</v>
      </c>
      <c r="BK52">
        <f t="shared" si="15"/>
        <v>-1.2230000000000008</v>
      </c>
    </row>
    <row r="53" spans="2:63">
      <c r="B53" s="19">
        <v>1500</v>
      </c>
      <c r="C53" s="27">
        <f>+AVERAGE('Data #1'!W53,'Data #2'!W53,'Data #3'!W53,'Data #4'!W53,'Data #5'!W53)</f>
        <v>37.953333333333333</v>
      </c>
      <c r="D53" s="27">
        <f>+C53+STDEV('Data #1'!R53:T53,'Data #2'!R53:T53,'Data #3'!R53:T53,'Data #4'!R53:T53,'Data #5'!R53:T53)</f>
        <v>75.296100785041858</v>
      </c>
      <c r="E53" s="27">
        <f>+C53-STDEV('Data #1'!R53:T53,'Data #2'!R53:T53,'Data #3'!R53:T53,'Data #4'!R53:T53,'Data #5'!R53:T53)</f>
        <v>0.61056588162480807</v>
      </c>
      <c r="F53" s="27">
        <f>+MIN('Data #1'!R53:T53,'Data #2'!R53:T53,'Data #3'!R53:T53,'Data #4'!R53:T53,'Data #5'!R53:T53)</f>
        <v>20</v>
      </c>
      <c r="G53" s="27">
        <f>+MAX('Data #1'!R53:T53,'Data #2'!R53:T53,'Data #3'!R53:T53,'Data #4'!R53:T53,'Data #5'!R53:T53)</f>
        <v>119.06</v>
      </c>
      <c r="I53" s="19">
        <v>1500</v>
      </c>
      <c r="J53" s="27">
        <f>+AVERAGE('Data #1'!X53,'Data #2'!X53,'Data #3'!X53,'Data #4'!X53,'Data #5'!X53)</f>
        <v>29.004000000000001</v>
      </c>
      <c r="K53" s="27">
        <f t="shared" si="0"/>
        <v>39.004000000000005</v>
      </c>
      <c r="O53" s="20">
        <v>1500</v>
      </c>
      <c r="P53" s="28">
        <f>+AVERAGE('Data #1'!AH53,'Data #2'!AH53,'Data #3'!AH53,'Data #4'!AH53,'Data #5'!AH53)</f>
        <v>34.657333333333341</v>
      </c>
      <c r="Q53" s="28">
        <f>+P53+STDEV('Data #1'!AC53:AE53,'Data #2'!AC53:AE53,'Data #3'!AC53:AE53,'Data #4'!AC53:AE53,'Data #5'!AC53:AE53)</f>
        <v>65.012547633978542</v>
      </c>
      <c r="R53" s="28">
        <f>+P53-STDEV('Data #1'!AC53:AE53,'Data #2'!AC53:AE53,'Data #3'!AC53:AE53,'Data #4'!AC53:AE53,'Data #5'!AC53:AE53)</f>
        <v>4.3021190326881396</v>
      </c>
      <c r="S53" s="28">
        <f>+MIN('Data #1'!AC53:AE53,'Data #2'!AC53:AE53,'Data #3'!AC53:AE53,'Data #4'!AC53:AE53,'Data #5'!AC53:AE53)</f>
        <v>20</v>
      </c>
      <c r="T53" s="28">
        <f>+MAX('Data #1'!AC53:AE53,'Data #2'!AC53:AE53,'Data #3'!AC53:AE53,'Data #4'!AC53:AE53,'Data #5'!AC53:AE53)</f>
        <v>95.509999999999991</v>
      </c>
      <c r="V53" s="20">
        <v>1500</v>
      </c>
      <c r="W53" s="28">
        <f>+AVERAGE('Data #1'!AI53,'Data #2'!AI53,'Data #3'!AI53,'Data #4'!AI53,'Data #4'!AI53)</f>
        <v>28.875999999999998</v>
      </c>
      <c r="X53" s="28">
        <f t="shared" si="1"/>
        <v>38.875999999999998</v>
      </c>
      <c r="AB53" s="21">
        <v>1500</v>
      </c>
      <c r="AC53" s="10">
        <v>-10</v>
      </c>
      <c r="AD53" s="10">
        <v>10</v>
      </c>
      <c r="AH53">
        <f>MAX('Data #1'!C53,'Data #2'!C53,'Data #3'!C53,'Data #4'!C53,'Data #5'!C53)</f>
        <v>-45.29</v>
      </c>
      <c r="AI53">
        <f>MAX('Data #1'!D53,'Data #2'!D53,'Data #3'!D53,'Data #4'!D53,'Data #5'!D53)</f>
        <v>-54.04</v>
      </c>
      <c r="AJ53">
        <f>MAX('Data #1'!E53,'Data #2'!E53,'Data #3'!E53,'Data #4'!E53,'Data #5'!E53)</f>
        <v>-34.909999999999997</v>
      </c>
      <c r="AK53">
        <f>MAX('Data #1'!F53,'Data #2'!F53,'Data #3'!F53,'Data #4'!F53,'Data #5'!F53)</f>
        <v>-31.13</v>
      </c>
      <c r="AL53">
        <f>MAX('Data #1'!G53,'Data #2'!G53,'Data #3'!G53,'Data #4'!G53,'Data #5'!G53)</f>
        <v>-28.91</v>
      </c>
      <c r="AM53">
        <f>MAX('Data #1'!H53,'Data #2'!H53,'Data #3'!H53,'Data #4'!H53,'Data #5'!H53)</f>
        <v>-26.68</v>
      </c>
      <c r="AN53">
        <f>MIN('Data #1'!C53,'Data #2'!C53,'Data #3'!C53,'Data #4'!C53,'Data #5'!C53)</f>
        <v>-45.29</v>
      </c>
      <c r="AO53">
        <f>MIN('Data #1'!D53,'Data #2'!D53,'Data #3'!D53,'Data #4'!D53,'Data #5'!D53)</f>
        <v>-54.04</v>
      </c>
      <c r="AP53">
        <f>MIN('Data #1'!E53,'Data #2'!E53,'Data #3'!E53,'Data #4'!E53,'Data #5'!E53)</f>
        <v>-34.909999999999997</v>
      </c>
      <c r="AQ53">
        <f>MIN('Data #1'!F53,'Data #2'!F53,'Data #3'!F53,'Data #4'!F53,'Data #5'!F53)</f>
        <v>-31.13</v>
      </c>
      <c r="AR53">
        <f>MIN('Data #1'!G53,'Data #2'!G53,'Data #3'!G53,'Data #4'!G53,'Data #5'!G53)</f>
        <v>-28.91</v>
      </c>
      <c r="AS53">
        <f>MIN('Data #1'!H53,'Data #2'!H53,'Data #3'!H53,'Data #4'!H53,'Data #5'!H53)</f>
        <v>-26.68</v>
      </c>
      <c r="AT53">
        <f t="shared" si="4"/>
        <v>0</v>
      </c>
      <c r="AU53">
        <f t="shared" si="5"/>
        <v>0</v>
      </c>
      <c r="AV53">
        <f t="shared" si="6"/>
        <v>0</v>
      </c>
      <c r="AW53">
        <f t="shared" si="7"/>
        <v>0</v>
      </c>
      <c r="AX53">
        <f t="shared" si="8"/>
        <v>0</v>
      </c>
      <c r="AY53">
        <f t="shared" si="9"/>
        <v>0</v>
      </c>
      <c r="AZ53">
        <v>2.3370999999999995</v>
      </c>
      <c r="BA53">
        <v>3.9260999999999999</v>
      </c>
      <c r="BB53">
        <v>7.3164000000000016</v>
      </c>
      <c r="BC53">
        <v>0.32149999999999945</v>
      </c>
      <c r="BD53">
        <v>0.76500000000000057</v>
      </c>
      <c r="BE53">
        <v>0.45859999999999879</v>
      </c>
      <c r="BF53">
        <f t="shared" si="10"/>
        <v>-2.3370999999999995</v>
      </c>
      <c r="BG53">
        <f t="shared" si="11"/>
        <v>-3.9260999999999999</v>
      </c>
      <c r="BH53">
        <f t="shared" si="12"/>
        <v>-7.3164000000000016</v>
      </c>
      <c r="BI53">
        <f t="shared" si="13"/>
        <v>-0.32149999999999945</v>
      </c>
      <c r="BJ53">
        <f t="shared" si="14"/>
        <v>-0.76500000000000057</v>
      </c>
      <c r="BK53">
        <f t="shared" si="15"/>
        <v>-0.45859999999999879</v>
      </c>
    </row>
    <row r="54" spans="2:63">
      <c r="B54" s="19">
        <v>1600</v>
      </c>
      <c r="C54" s="27">
        <f>+AVERAGE('Data #1'!W54,'Data #2'!W54,'Data #3'!W54,'Data #4'!W54,'Data #5'!W54)</f>
        <v>37.813333333333333</v>
      </c>
      <c r="D54" s="27">
        <f>+C54+STDEV('Data #1'!R54:T54,'Data #2'!R54:T54,'Data #3'!R54:T54,'Data #4'!R54:T54,'Data #5'!R54:T54)</f>
        <v>74.831564298757968</v>
      </c>
      <c r="E54" s="27">
        <f>+C54-STDEV('Data #1'!R54:T54,'Data #2'!R54:T54,'Data #3'!R54:T54,'Data #4'!R54:T54,'Data #5'!R54:T54)</f>
        <v>0.79510236790869726</v>
      </c>
      <c r="F54" s="27">
        <f>+MIN('Data #1'!R54:T54,'Data #2'!R54:T54,'Data #3'!R54:T54,'Data #4'!R54:T54,'Data #5'!R54:T54)</f>
        <v>20</v>
      </c>
      <c r="G54" s="27">
        <f>+MAX('Data #1'!R54:T54,'Data #2'!R54:T54,'Data #3'!R54:T54,'Data #4'!R54:T54,'Data #5'!R54:T54)</f>
        <v>115.57</v>
      </c>
      <c r="I54" s="19">
        <v>1600</v>
      </c>
      <c r="J54" s="27">
        <f>+AVERAGE('Data #1'!X54,'Data #2'!X54,'Data #3'!X54,'Data #4'!X54,'Data #5'!X54)</f>
        <v>28.963999999999999</v>
      </c>
      <c r="K54" s="27">
        <f t="shared" si="0"/>
        <v>38.963999999999999</v>
      </c>
      <c r="O54" s="20">
        <v>1600</v>
      </c>
      <c r="P54" s="28">
        <f>+AVERAGE('Data #1'!AH54,'Data #2'!AH54,'Data #3'!AH54,'Data #4'!AH54,'Data #5'!AH54)</f>
        <v>34.674666666666667</v>
      </c>
      <c r="Q54" s="28">
        <f>+P54+STDEV('Data #1'!AC54:AE54,'Data #2'!AC54:AE54,'Data #3'!AC54:AE54,'Data #4'!AC54:AE54,'Data #5'!AC54:AE54)</f>
        <v>65.069788189387239</v>
      </c>
      <c r="R54" s="28">
        <f>+P54-STDEV('Data #1'!AC54:AE54,'Data #2'!AC54:AE54,'Data #3'!AC54:AE54,'Data #4'!AC54:AE54,'Data #5'!AC54:AE54)</f>
        <v>4.2795451439460912</v>
      </c>
      <c r="S54" s="28">
        <f>+MIN('Data #1'!AC54:AE54,'Data #2'!AC54:AE54,'Data #3'!AC54:AE54,'Data #4'!AC54:AE54,'Data #5'!AC54:AE54)</f>
        <v>20</v>
      </c>
      <c r="T54" s="28">
        <f>+MAX('Data #1'!AC54:AE54,'Data #2'!AC54:AE54,'Data #3'!AC54:AE54,'Data #4'!AC54:AE54,'Data #5'!AC54:AE54)</f>
        <v>96.329999999999984</v>
      </c>
      <c r="V54" s="20">
        <v>1600</v>
      </c>
      <c r="W54" s="28">
        <f>+AVERAGE('Data #1'!AI54,'Data #2'!AI54,'Data #3'!AI54,'Data #4'!AI54,'Data #4'!AI54)</f>
        <v>28.845999999999997</v>
      </c>
      <c r="X54" s="28">
        <f t="shared" si="1"/>
        <v>38.845999999999997</v>
      </c>
      <c r="AB54" s="21">
        <v>1600</v>
      </c>
      <c r="AC54" s="10">
        <v>-10</v>
      </c>
      <c r="AD54" s="10">
        <v>10</v>
      </c>
      <c r="AH54">
        <f>MAX('Data #1'!C54,'Data #2'!C54,'Data #3'!C54,'Data #4'!C54,'Data #5'!C54)</f>
        <v>-47.42</v>
      </c>
      <c r="AI54">
        <f>MAX('Data #1'!D54,'Data #2'!D54,'Data #3'!D54,'Data #4'!D54,'Data #5'!D54)</f>
        <v>-50.75</v>
      </c>
      <c r="AJ54">
        <f>MAX('Data #1'!E54,'Data #2'!E54,'Data #3'!E54,'Data #4'!E54,'Data #5'!E54)</f>
        <v>-34.57</v>
      </c>
      <c r="AK54">
        <f>MAX('Data #1'!F54,'Data #2'!F54,'Data #3'!F54,'Data #4'!F54,'Data #5'!F54)</f>
        <v>-32.1</v>
      </c>
      <c r="AL54">
        <f>MAX('Data #1'!G54,'Data #2'!G54,'Data #3'!G54,'Data #4'!G54,'Data #5'!G54)</f>
        <v>-27.33</v>
      </c>
      <c r="AM54">
        <f>MAX('Data #1'!H54,'Data #2'!H54,'Data #3'!H54,'Data #4'!H54,'Data #5'!H54)</f>
        <v>-28</v>
      </c>
      <c r="AN54">
        <f>MIN('Data #1'!C54,'Data #2'!C54,'Data #3'!C54,'Data #4'!C54,'Data #5'!C54)</f>
        <v>-47.42</v>
      </c>
      <c r="AO54">
        <f>MIN('Data #1'!D54,'Data #2'!D54,'Data #3'!D54,'Data #4'!D54,'Data #5'!D54)</f>
        <v>-50.75</v>
      </c>
      <c r="AP54">
        <f>MIN('Data #1'!E54,'Data #2'!E54,'Data #3'!E54,'Data #4'!E54,'Data #5'!E54)</f>
        <v>-34.57</v>
      </c>
      <c r="AQ54">
        <f>MIN('Data #1'!F54,'Data #2'!F54,'Data #3'!F54,'Data #4'!F54,'Data #5'!F54)</f>
        <v>-32.1</v>
      </c>
      <c r="AR54">
        <f>MIN('Data #1'!G54,'Data #2'!G54,'Data #3'!G54,'Data #4'!G54,'Data #5'!G54)</f>
        <v>-27.33</v>
      </c>
      <c r="AS54">
        <f>MIN('Data #1'!H54,'Data #2'!H54,'Data #3'!H54,'Data #4'!H54,'Data #5'!H54)</f>
        <v>-28</v>
      </c>
      <c r="AT54">
        <f t="shared" si="4"/>
        <v>0</v>
      </c>
      <c r="AU54">
        <f t="shared" si="5"/>
        <v>0</v>
      </c>
      <c r="AV54">
        <f t="shared" si="6"/>
        <v>0</v>
      </c>
      <c r="AW54">
        <f t="shared" si="7"/>
        <v>0</v>
      </c>
      <c r="AX54">
        <f t="shared" si="8"/>
        <v>0</v>
      </c>
      <c r="AY54">
        <f t="shared" si="9"/>
        <v>0</v>
      </c>
      <c r="AZ54">
        <v>6.7614999999999998</v>
      </c>
      <c r="BA54">
        <v>4.7644000000000002</v>
      </c>
      <c r="BB54">
        <v>7.1413000000000011</v>
      </c>
      <c r="BC54">
        <v>0.63200000000000056</v>
      </c>
      <c r="BD54">
        <v>1.4455</v>
      </c>
      <c r="BE54">
        <v>1.0454000000000008</v>
      </c>
      <c r="BF54">
        <f t="shared" si="10"/>
        <v>-6.7614999999999998</v>
      </c>
      <c r="BG54">
        <f t="shared" si="11"/>
        <v>-4.7644000000000002</v>
      </c>
      <c r="BH54">
        <f t="shared" si="12"/>
        <v>-7.1413000000000011</v>
      </c>
      <c r="BI54">
        <f t="shared" si="13"/>
        <v>-0.63200000000000056</v>
      </c>
      <c r="BJ54">
        <f t="shared" si="14"/>
        <v>-1.4455</v>
      </c>
      <c r="BK54">
        <f t="shared" si="15"/>
        <v>-1.0454000000000008</v>
      </c>
    </row>
    <row r="55" spans="2:63">
      <c r="B55" s="19">
        <v>1700</v>
      </c>
      <c r="C55" s="27">
        <f>+AVERAGE('Data #1'!W55,'Data #2'!W55,'Data #3'!W55,'Data #4'!W55,'Data #5'!W55)</f>
        <v>37.158000000000001</v>
      </c>
      <c r="D55" s="27">
        <f>+C55+STDEV('Data #1'!R55:T55,'Data #2'!R55:T55,'Data #3'!R55:T55,'Data #4'!R55:T55,'Data #5'!R55:T55)</f>
        <v>72.757563841629946</v>
      </c>
      <c r="E55" s="27">
        <f>+C55-STDEV('Data #1'!R55:T55,'Data #2'!R55:T55,'Data #3'!R55:T55,'Data #4'!R55:T55,'Data #5'!R55:T55)</f>
        <v>1.558436158370057</v>
      </c>
      <c r="F55" s="27">
        <f>+MIN('Data #1'!R55:T55,'Data #2'!R55:T55,'Data #3'!R55:T55,'Data #4'!R55:T55,'Data #5'!R55:T55)</f>
        <v>20</v>
      </c>
      <c r="G55" s="27">
        <f>+MAX('Data #1'!R55:T55,'Data #2'!R55:T55,'Data #3'!R55:T55,'Data #4'!R55:T55,'Data #5'!R55:T55)</f>
        <v>111.02000000000001</v>
      </c>
      <c r="I55" s="19">
        <v>1700</v>
      </c>
      <c r="J55" s="27">
        <f>+AVERAGE('Data #1'!X55,'Data #2'!X55,'Data #3'!X55,'Data #4'!X55,'Data #5'!X55)</f>
        <v>28.99</v>
      </c>
      <c r="K55" s="27">
        <f t="shared" si="0"/>
        <v>38.989999999999995</v>
      </c>
      <c r="O55" s="20">
        <v>1700</v>
      </c>
      <c r="P55" s="28">
        <f>+AVERAGE('Data #1'!AH55,'Data #2'!AH55,'Data #3'!AH55,'Data #4'!AH55,'Data #5'!AH55)</f>
        <v>34.682000000000002</v>
      </c>
      <c r="Q55" s="28">
        <f>+P55+STDEV('Data #1'!AC55:AE55,'Data #2'!AC55:AE55,'Data #3'!AC55:AE55,'Data #4'!AC55:AE55,'Data #5'!AC55:AE55)</f>
        <v>65.098842186055876</v>
      </c>
      <c r="R55" s="28">
        <f>+P55-STDEV('Data #1'!AC55:AE55,'Data #2'!AC55:AE55,'Data #3'!AC55:AE55,'Data #4'!AC55:AE55,'Data #5'!AC55:AE55)</f>
        <v>4.265157813944132</v>
      </c>
      <c r="S55" s="28">
        <f>+MIN('Data #1'!AC55:AE55,'Data #2'!AC55:AE55,'Data #3'!AC55:AE55,'Data #4'!AC55:AE55,'Data #5'!AC55:AE55)</f>
        <v>20</v>
      </c>
      <c r="T55" s="28">
        <f>+MAX('Data #1'!AC55:AE55,'Data #2'!AC55:AE55,'Data #3'!AC55:AE55,'Data #4'!AC55:AE55,'Data #5'!AC55:AE55)</f>
        <v>96.5</v>
      </c>
      <c r="V55" s="20">
        <v>1700</v>
      </c>
      <c r="W55" s="28">
        <f>+AVERAGE('Data #1'!AI55,'Data #2'!AI55,'Data #3'!AI55,'Data #4'!AI55,'Data #4'!AI55)</f>
        <v>28.851999999999997</v>
      </c>
      <c r="X55" s="28">
        <f t="shared" si="1"/>
        <v>38.851999999999997</v>
      </c>
      <c r="AB55" s="21">
        <v>1700</v>
      </c>
      <c r="AC55" s="10">
        <v>-10</v>
      </c>
      <c r="AD55" s="10">
        <v>10</v>
      </c>
      <c r="AH55">
        <f>MAX('Data #1'!C55,'Data #2'!C55,'Data #3'!C55,'Data #4'!C55,'Data #5'!C55)</f>
        <v>-42.57</v>
      </c>
      <c r="AI55">
        <f>MAX('Data #1'!D55,'Data #2'!D55,'Data #3'!D55,'Data #4'!D55,'Data #5'!D55)</f>
        <v>-46.07</v>
      </c>
      <c r="AJ55">
        <f>MAX('Data #1'!E55,'Data #2'!E55,'Data #3'!E55,'Data #4'!E55,'Data #5'!E55)</f>
        <v>-33.880000000000003</v>
      </c>
      <c r="AK55">
        <f>MAX('Data #1'!F55,'Data #2'!F55,'Data #3'!F55,'Data #4'!F55,'Data #5'!F55)</f>
        <v>-32.24</v>
      </c>
      <c r="AL55">
        <f>MAX('Data #1'!G55,'Data #2'!G55,'Data #3'!G55,'Data #4'!G55,'Data #5'!G55)</f>
        <v>-26.09</v>
      </c>
      <c r="AM55">
        <f>MAX('Data #1'!H55,'Data #2'!H55,'Data #3'!H55,'Data #4'!H55,'Data #5'!H55)</f>
        <v>-29.12</v>
      </c>
      <c r="AN55">
        <f>MIN('Data #1'!C55,'Data #2'!C55,'Data #3'!C55,'Data #4'!C55,'Data #5'!C55)</f>
        <v>-42.57</v>
      </c>
      <c r="AO55">
        <f>MIN('Data #1'!D55,'Data #2'!D55,'Data #3'!D55,'Data #4'!D55,'Data #5'!D55)</f>
        <v>-46.07</v>
      </c>
      <c r="AP55">
        <f>MIN('Data #1'!E55,'Data #2'!E55,'Data #3'!E55,'Data #4'!E55,'Data #5'!E55)</f>
        <v>-33.880000000000003</v>
      </c>
      <c r="AQ55">
        <f>MIN('Data #1'!F55,'Data #2'!F55,'Data #3'!F55,'Data #4'!F55,'Data #5'!F55)</f>
        <v>-32.24</v>
      </c>
      <c r="AR55">
        <f>MIN('Data #1'!G55,'Data #2'!G55,'Data #3'!G55,'Data #4'!G55,'Data #5'!G55)</f>
        <v>-26.09</v>
      </c>
      <c r="AS55">
        <f>MIN('Data #1'!H55,'Data #2'!H55,'Data #3'!H55,'Data #4'!H55,'Data #5'!H55)</f>
        <v>-29.12</v>
      </c>
      <c r="AT55">
        <f t="shared" si="4"/>
        <v>0</v>
      </c>
      <c r="AU55">
        <f t="shared" si="5"/>
        <v>0</v>
      </c>
      <c r="AV55">
        <f t="shared" si="6"/>
        <v>0</v>
      </c>
      <c r="AW55">
        <f t="shared" si="7"/>
        <v>0</v>
      </c>
      <c r="AX55">
        <f t="shared" si="8"/>
        <v>0</v>
      </c>
      <c r="AY55">
        <f t="shared" si="9"/>
        <v>0</v>
      </c>
      <c r="AZ55">
        <v>5.9681999999999995</v>
      </c>
      <c r="BA55">
        <v>4.6384000000000007</v>
      </c>
      <c r="BB55">
        <v>8.0579999999999998</v>
      </c>
      <c r="BC55">
        <v>1.3102</v>
      </c>
      <c r="BD55">
        <v>2.4844999999999997</v>
      </c>
      <c r="BE55">
        <v>2.4501999999999997</v>
      </c>
      <c r="BF55">
        <f t="shared" si="10"/>
        <v>-5.9681999999999995</v>
      </c>
      <c r="BG55">
        <f t="shared" si="11"/>
        <v>-4.6384000000000007</v>
      </c>
      <c r="BH55">
        <f t="shared" si="12"/>
        <v>-8.0579999999999998</v>
      </c>
      <c r="BI55">
        <f t="shared" si="13"/>
        <v>-1.3102</v>
      </c>
      <c r="BJ55">
        <f t="shared" si="14"/>
        <v>-2.4844999999999997</v>
      </c>
      <c r="BK55">
        <f t="shared" si="15"/>
        <v>-2.4501999999999997</v>
      </c>
    </row>
    <row r="56" spans="2:63">
      <c r="B56" s="19">
        <v>1800</v>
      </c>
      <c r="C56" s="27">
        <f>+AVERAGE('Data #1'!W56,'Data #2'!W56,'Data #3'!W56,'Data #4'!W56,'Data #5'!W56)</f>
        <v>36.594666666666662</v>
      </c>
      <c r="D56" s="27">
        <f>+C56+STDEV('Data #1'!R56:T56,'Data #2'!R56:T56,'Data #3'!R56:T56,'Data #4'!R56:T56,'Data #5'!R56:T56)</f>
        <v>71.009844146266857</v>
      </c>
      <c r="E56" s="27">
        <f>+C56-STDEV('Data #1'!R56:T56,'Data #2'!R56:T56,'Data #3'!R56:T56,'Data #4'!R56:T56,'Data #5'!R56:T56)</f>
        <v>2.1794891870664586</v>
      </c>
      <c r="F56" s="27">
        <f>+MIN('Data #1'!R56:T56,'Data #2'!R56:T56,'Data #3'!R56:T56,'Data #4'!R56:T56,'Data #5'!R56:T56)</f>
        <v>20</v>
      </c>
      <c r="G56" s="27">
        <f>+MAX('Data #1'!R56:T56,'Data #2'!R56:T56,'Data #3'!R56:T56,'Data #4'!R56:T56,'Data #5'!R56:T56)</f>
        <v>108.77</v>
      </c>
      <c r="I56" s="19">
        <v>1800</v>
      </c>
      <c r="J56" s="27">
        <f>+AVERAGE('Data #1'!X56,'Data #2'!X56,'Data #3'!X56,'Data #4'!X56,'Data #5'!X56)</f>
        <v>29.094000000000001</v>
      </c>
      <c r="K56" s="27">
        <f t="shared" si="0"/>
        <v>39.094000000000001</v>
      </c>
      <c r="O56" s="20">
        <v>1800</v>
      </c>
      <c r="P56" s="28">
        <f>+AVERAGE('Data #1'!AH56,'Data #2'!AH56,'Data #3'!AH56,'Data #4'!AH56,'Data #5'!AH56)</f>
        <v>34.706666666666671</v>
      </c>
      <c r="Q56" s="28">
        <f>+P56+STDEV('Data #1'!AC56:AE56,'Data #2'!AC56:AE56,'Data #3'!AC56:AE56,'Data #4'!AC56:AE56,'Data #5'!AC56:AE56)</f>
        <v>65.168901521991245</v>
      </c>
      <c r="R56" s="28">
        <f>+P56-STDEV('Data #1'!AC56:AE56,'Data #2'!AC56:AE56,'Data #3'!AC56:AE56,'Data #4'!AC56:AE56,'Data #5'!AC56:AE56)</f>
        <v>4.2444318113420891</v>
      </c>
      <c r="S56" s="28">
        <f>+MIN('Data #1'!AC56:AE56,'Data #2'!AC56:AE56,'Data #3'!AC56:AE56,'Data #4'!AC56:AE56,'Data #5'!AC56:AE56)</f>
        <v>20</v>
      </c>
      <c r="T56" s="28">
        <f>+MAX('Data #1'!AC56:AE56,'Data #2'!AC56:AE56,'Data #3'!AC56:AE56,'Data #4'!AC56:AE56,'Data #5'!AC56:AE56)</f>
        <v>95.44</v>
      </c>
      <c r="V56" s="20">
        <v>1800</v>
      </c>
      <c r="W56" s="28">
        <f>+AVERAGE('Data #1'!AI56,'Data #2'!AI56,'Data #3'!AI56,'Data #4'!AI56,'Data #4'!AI56)</f>
        <v>28.923999999999999</v>
      </c>
      <c r="X56" s="28">
        <f t="shared" si="1"/>
        <v>38.923999999999999</v>
      </c>
      <c r="AB56" s="21">
        <v>1800</v>
      </c>
      <c r="AC56" s="10">
        <v>-10</v>
      </c>
      <c r="AD56" s="10">
        <v>10</v>
      </c>
      <c r="AH56">
        <f>MAX('Data #1'!C56,'Data #2'!C56,'Data #3'!C56,'Data #4'!C56,'Data #5'!C56)</f>
        <v>-36.64</v>
      </c>
      <c r="AI56">
        <f>MAX('Data #1'!D56,'Data #2'!D56,'Data #3'!D56,'Data #4'!D56,'Data #5'!D56)</f>
        <v>-43.3</v>
      </c>
      <c r="AJ56">
        <f>MAX('Data #1'!E56,'Data #2'!E56,'Data #3'!E56,'Data #4'!E56,'Data #5'!E56)</f>
        <v>-32.57</v>
      </c>
      <c r="AK56">
        <f>MAX('Data #1'!F56,'Data #2'!F56,'Data #3'!F56,'Data #4'!F56,'Data #5'!F56)</f>
        <v>-30.82</v>
      </c>
      <c r="AL56">
        <f>MAX('Data #1'!G56,'Data #2'!G56,'Data #3'!G56,'Data #4'!G56,'Data #5'!G56)</f>
        <v>-25.88</v>
      </c>
      <c r="AM56">
        <f>MAX('Data #1'!H56,'Data #2'!H56,'Data #3'!H56,'Data #4'!H56,'Data #5'!H56)</f>
        <v>-30.04</v>
      </c>
      <c r="AN56">
        <f>MIN('Data #1'!C56,'Data #2'!C56,'Data #3'!C56,'Data #4'!C56,'Data #5'!C56)</f>
        <v>-36.64</v>
      </c>
      <c r="AO56">
        <f>MIN('Data #1'!D56,'Data #2'!D56,'Data #3'!D56,'Data #4'!D56,'Data #5'!D56)</f>
        <v>-43.3</v>
      </c>
      <c r="AP56">
        <f>MIN('Data #1'!E56,'Data #2'!E56,'Data #3'!E56,'Data #4'!E56,'Data #5'!E56)</f>
        <v>-32.57</v>
      </c>
      <c r="AQ56">
        <f>MIN('Data #1'!F56,'Data #2'!F56,'Data #3'!F56,'Data #4'!F56,'Data #5'!F56)</f>
        <v>-30.82</v>
      </c>
      <c r="AR56">
        <f>MIN('Data #1'!G56,'Data #2'!G56,'Data #3'!G56,'Data #4'!G56,'Data #5'!G56)</f>
        <v>-25.88</v>
      </c>
      <c r="AS56">
        <f>MIN('Data #1'!H56,'Data #2'!H56,'Data #3'!H56,'Data #4'!H56,'Data #5'!H56)</f>
        <v>-30.04</v>
      </c>
      <c r="AT56">
        <f t="shared" si="4"/>
        <v>0</v>
      </c>
      <c r="AU56">
        <f t="shared" si="5"/>
        <v>0</v>
      </c>
      <c r="AV56">
        <f t="shared" si="6"/>
        <v>0</v>
      </c>
      <c r="AW56">
        <f t="shared" si="7"/>
        <v>0</v>
      </c>
      <c r="AX56">
        <f t="shared" si="8"/>
        <v>0</v>
      </c>
      <c r="AY56">
        <f t="shared" si="9"/>
        <v>0</v>
      </c>
      <c r="AZ56">
        <v>9.504900000000001</v>
      </c>
      <c r="BA56">
        <v>10.9864</v>
      </c>
      <c r="BB56">
        <v>11.6051</v>
      </c>
      <c r="BC56">
        <v>1.5986000000000002</v>
      </c>
      <c r="BD56">
        <v>2.0950000000000006</v>
      </c>
      <c r="BE56">
        <v>1.8754000000000008</v>
      </c>
      <c r="BF56">
        <f t="shared" si="10"/>
        <v>-9.504900000000001</v>
      </c>
      <c r="BG56">
        <f t="shared" si="11"/>
        <v>-10.9864</v>
      </c>
      <c r="BH56">
        <f t="shared" si="12"/>
        <v>-11.6051</v>
      </c>
      <c r="BI56">
        <f t="shared" si="13"/>
        <v>-1.5986000000000002</v>
      </c>
      <c r="BJ56">
        <f t="shared" si="14"/>
        <v>-2.0950000000000006</v>
      </c>
      <c r="BK56">
        <f t="shared" si="15"/>
        <v>-1.8754000000000008</v>
      </c>
    </row>
    <row r="57" spans="2:63">
      <c r="B57" s="19">
        <v>1900</v>
      </c>
      <c r="C57" s="27">
        <f>+AVERAGE('Data #1'!W57,'Data #2'!W57,'Data #3'!W57,'Data #4'!W57,'Data #5'!W57)</f>
        <v>36.419333333333341</v>
      </c>
      <c r="D57" s="27">
        <f>+C57+STDEV('Data #1'!R57:T57,'Data #2'!R57:T57,'Data #3'!R57:T57,'Data #4'!R57:T57,'Data #5'!R57:T57)</f>
        <v>70.50037382438029</v>
      </c>
      <c r="E57" s="27">
        <f>+C57-STDEV('Data #1'!R57:T57,'Data #2'!R57:T57,'Data #3'!R57:T57,'Data #4'!R57:T57,'Data #5'!R57:T57)</f>
        <v>2.3382928422863998</v>
      </c>
      <c r="F57" s="27">
        <f>+MIN('Data #1'!R57:T57,'Data #2'!R57:T57,'Data #3'!R57:T57,'Data #4'!R57:T57,'Data #5'!R57:T57)</f>
        <v>20</v>
      </c>
      <c r="G57" s="27">
        <f>+MAX('Data #1'!R57:T57,'Data #2'!R57:T57,'Data #3'!R57:T57,'Data #4'!R57:T57,'Data #5'!R57:T57)</f>
        <v>109.56</v>
      </c>
      <c r="I57" s="19">
        <v>1900</v>
      </c>
      <c r="J57" s="27">
        <f>+AVERAGE('Data #1'!X57,'Data #2'!X57,'Data #3'!X57,'Data #4'!X57,'Data #5'!X57)</f>
        <v>29.384000000000004</v>
      </c>
      <c r="K57" s="27">
        <f t="shared" si="0"/>
        <v>39.384</v>
      </c>
      <c r="O57" s="20">
        <v>1900</v>
      </c>
      <c r="P57" s="28">
        <f>+AVERAGE('Data #1'!AH57,'Data #2'!AH57,'Data #3'!AH57,'Data #4'!AH57,'Data #5'!AH57)</f>
        <v>34.853999999999999</v>
      </c>
      <c r="Q57" s="28">
        <f>+P57+STDEV('Data #1'!AC57:AE57,'Data #2'!AC57:AE57,'Data #3'!AC57:AE57,'Data #4'!AC57:AE57,'Data #5'!AC57:AE57)</f>
        <v>65.628102702481144</v>
      </c>
      <c r="R57" s="28">
        <f>+P57-STDEV('Data #1'!AC57:AE57,'Data #2'!AC57:AE57,'Data #3'!AC57:AE57,'Data #4'!AC57:AE57,'Data #5'!AC57:AE57)</f>
        <v>4.0798972975188583</v>
      </c>
      <c r="S57" s="28">
        <f>+MIN('Data #1'!AC57:AE57,'Data #2'!AC57:AE57,'Data #3'!AC57:AE57,'Data #4'!AC57:AE57,'Data #5'!AC57:AE57)</f>
        <v>20</v>
      </c>
      <c r="T57" s="28">
        <f>+MAX('Data #1'!AC57:AE57,'Data #2'!AC57:AE57,'Data #3'!AC57:AE57,'Data #4'!AC57:AE57,'Data #5'!AC57:AE57)</f>
        <v>97.679999999999993</v>
      </c>
      <c r="V57" s="20">
        <v>1900</v>
      </c>
      <c r="W57" s="28">
        <f>+AVERAGE('Data #1'!AI57,'Data #2'!AI57,'Data #3'!AI57,'Data #4'!AI57,'Data #4'!AI57)</f>
        <v>29.175999999999998</v>
      </c>
      <c r="X57" s="28">
        <f t="shared" si="1"/>
        <v>39.176000000000002</v>
      </c>
      <c r="AB57" s="21">
        <v>1900</v>
      </c>
      <c r="AC57" s="10">
        <v>-10</v>
      </c>
      <c r="AD57" s="10">
        <v>10</v>
      </c>
      <c r="AH57">
        <f>MAX('Data #1'!C57,'Data #2'!C57,'Data #3'!C57,'Data #4'!C57,'Data #5'!C57)</f>
        <v>-32.450000000000003</v>
      </c>
      <c r="AI57">
        <f>MAX('Data #1'!D57,'Data #2'!D57,'Data #3'!D57,'Data #4'!D57,'Data #5'!D57)</f>
        <v>-42.64</v>
      </c>
      <c r="AJ57">
        <f>MAX('Data #1'!E57,'Data #2'!E57,'Data #3'!E57,'Data #4'!E57,'Data #5'!E57)</f>
        <v>-30.44</v>
      </c>
      <c r="AK57">
        <f>MAX('Data #1'!F57,'Data #2'!F57,'Data #3'!F57,'Data #4'!F57,'Data #5'!F57)</f>
        <v>-27.85</v>
      </c>
      <c r="AL57">
        <f>MAX('Data #1'!G57,'Data #2'!G57,'Data #3'!G57,'Data #4'!G57,'Data #5'!G57)</f>
        <v>-25.52</v>
      </c>
      <c r="AM57">
        <f>MAX('Data #1'!H57,'Data #2'!H57,'Data #3'!H57,'Data #4'!H57,'Data #5'!H57)</f>
        <v>-31.8</v>
      </c>
      <c r="AN57">
        <f>MIN('Data #1'!C57,'Data #2'!C57,'Data #3'!C57,'Data #4'!C57,'Data #5'!C57)</f>
        <v>-32.450000000000003</v>
      </c>
      <c r="AO57">
        <f>MIN('Data #1'!D57,'Data #2'!D57,'Data #3'!D57,'Data #4'!D57,'Data #5'!D57)</f>
        <v>-42.64</v>
      </c>
      <c r="AP57">
        <f>MIN('Data #1'!E57,'Data #2'!E57,'Data #3'!E57,'Data #4'!E57,'Data #5'!E57)</f>
        <v>-30.44</v>
      </c>
      <c r="AQ57">
        <f>MIN('Data #1'!F57,'Data #2'!F57,'Data #3'!F57,'Data #4'!F57,'Data #5'!F57)</f>
        <v>-27.85</v>
      </c>
      <c r="AR57">
        <f>MIN('Data #1'!G57,'Data #2'!G57,'Data #3'!G57,'Data #4'!G57,'Data #5'!G57)</f>
        <v>-25.52</v>
      </c>
      <c r="AS57">
        <f>MIN('Data #1'!H57,'Data #2'!H57,'Data #3'!H57,'Data #4'!H57,'Data #5'!H57)</f>
        <v>-31.8</v>
      </c>
      <c r="AT57">
        <f t="shared" si="4"/>
        <v>0</v>
      </c>
      <c r="AU57">
        <f t="shared" si="5"/>
        <v>0</v>
      </c>
      <c r="AV57">
        <f t="shared" si="6"/>
        <v>0</v>
      </c>
      <c r="AW57">
        <f t="shared" si="7"/>
        <v>0</v>
      </c>
      <c r="AX57">
        <f t="shared" si="8"/>
        <v>0</v>
      </c>
      <c r="AY57">
        <f t="shared" si="9"/>
        <v>0</v>
      </c>
      <c r="AZ57">
        <v>9.4115999999999982</v>
      </c>
      <c r="BA57">
        <v>7.8023999999999987</v>
      </c>
      <c r="BB57">
        <v>10.0694</v>
      </c>
      <c r="BC57">
        <v>1.3356999999999992</v>
      </c>
      <c r="BD57">
        <v>1.5159000000000002</v>
      </c>
      <c r="BE57">
        <v>1.5281000000000002</v>
      </c>
      <c r="BF57">
        <f t="shared" si="10"/>
        <v>-9.4115999999999982</v>
      </c>
      <c r="BG57">
        <f t="shared" si="11"/>
        <v>-7.8023999999999987</v>
      </c>
      <c r="BH57">
        <f t="shared" si="12"/>
        <v>-10.0694</v>
      </c>
      <c r="BI57">
        <f t="shared" si="13"/>
        <v>-1.3356999999999992</v>
      </c>
      <c r="BJ57">
        <f t="shared" si="14"/>
        <v>-1.5159000000000002</v>
      </c>
      <c r="BK57">
        <f t="shared" si="15"/>
        <v>-1.5281000000000002</v>
      </c>
    </row>
    <row r="58" spans="2:63">
      <c r="B58" s="19">
        <v>2000</v>
      </c>
      <c r="C58" s="27">
        <f>+AVERAGE('Data #1'!W58,'Data #2'!W58,'Data #3'!W58,'Data #4'!W58,'Data #5'!W58)</f>
        <v>36.065333333333328</v>
      </c>
      <c r="D58" s="27">
        <f>+C58+STDEV('Data #1'!R58:T58,'Data #2'!R58:T58,'Data #3'!R58:T58,'Data #4'!R58:T58,'Data #5'!R58:T58)</f>
        <v>69.383070108353394</v>
      </c>
      <c r="E58" s="27">
        <f>+C58-STDEV('Data #1'!R58:T58,'Data #2'!R58:T58,'Data #3'!R58:T58,'Data #4'!R58:T58,'Data #5'!R58:T58)</f>
        <v>2.7475965583132691</v>
      </c>
      <c r="F58" s="27">
        <f>+MIN('Data #1'!R58:T58,'Data #2'!R58:T58,'Data #3'!R58:T58,'Data #4'!R58:T58,'Data #5'!R58:T58)</f>
        <v>20</v>
      </c>
      <c r="G58" s="27">
        <f>+MAX('Data #1'!R58:T58,'Data #2'!R58:T58,'Data #3'!R58:T58,'Data #4'!R58:T58,'Data #5'!R58:T58)</f>
        <v>106.34</v>
      </c>
      <c r="I58" s="19">
        <v>2000</v>
      </c>
      <c r="J58" s="27">
        <f>+AVERAGE('Data #1'!X58,'Data #2'!X58,'Data #3'!X58,'Data #4'!X58,'Data #5'!X58)</f>
        <v>29.724</v>
      </c>
      <c r="K58" s="27">
        <f t="shared" si="0"/>
        <v>39.724000000000004</v>
      </c>
      <c r="O58" s="20">
        <v>2000</v>
      </c>
      <c r="P58" s="28">
        <f>+AVERAGE('Data #1'!AH58,'Data #2'!AH58,'Data #3'!AH58,'Data #4'!AH58,'Data #5'!AH58)</f>
        <v>35.13066666666667</v>
      </c>
      <c r="Q58" s="28">
        <f>+P58+STDEV('Data #1'!AC58:AE58,'Data #2'!AC58:AE58,'Data #3'!AC58:AE58,'Data #4'!AC58:AE58,'Data #5'!AC58:AE58)</f>
        <v>66.509763318206325</v>
      </c>
      <c r="R58" s="28">
        <f>+P58-STDEV('Data #1'!AC58:AE58,'Data #2'!AC58:AE58,'Data #3'!AC58:AE58,'Data #4'!AC58:AE58,'Data #5'!AC58:AE58)</f>
        <v>3.7515700151270224</v>
      </c>
      <c r="S58" s="28">
        <f>+MIN('Data #1'!AC58:AE58,'Data #2'!AC58:AE58,'Data #3'!AC58:AE58,'Data #4'!AC58:AE58,'Data #5'!AC58:AE58)</f>
        <v>20</v>
      </c>
      <c r="T58" s="28">
        <f>+MAX('Data #1'!AC58:AE58,'Data #2'!AC58:AE58,'Data #3'!AC58:AE58,'Data #4'!AC58:AE58,'Data #5'!AC58:AE58)</f>
        <v>101.34</v>
      </c>
      <c r="V58" s="20">
        <v>2000</v>
      </c>
      <c r="W58" s="28">
        <f>+AVERAGE('Data #1'!AI58,'Data #2'!AI58,'Data #3'!AI58,'Data #4'!AI58,'Data #4'!AI58)</f>
        <v>29.598000000000003</v>
      </c>
      <c r="X58" s="28">
        <f t="shared" si="1"/>
        <v>39.597999999999999</v>
      </c>
      <c r="AB58" s="21">
        <v>2000</v>
      </c>
      <c r="AC58" s="10">
        <v>-10</v>
      </c>
      <c r="AD58" s="10">
        <v>10</v>
      </c>
      <c r="AH58">
        <f>MAX('Data #1'!C58,'Data #2'!C58,'Data #3'!C58,'Data #4'!C58,'Data #5'!C58)</f>
        <v>-29.43</v>
      </c>
      <c r="AI58">
        <f>MAX('Data #1'!D58,'Data #2'!D58,'Data #3'!D58,'Data #4'!D58,'Data #5'!D58)</f>
        <v>-37.72</v>
      </c>
      <c r="AJ58">
        <f>MAX('Data #1'!E58,'Data #2'!E58,'Data #3'!E58,'Data #4'!E58,'Data #5'!E58)</f>
        <v>-27.97</v>
      </c>
      <c r="AK58">
        <f>MAX('Data #1'!F58,'Data #2'!F58,'Data #3'!F58,'Data #4'!F58,'Data #5'!F58)</f>
        <v>-25.23</v>
      </c>
      <c r="AL58">
        <f>MAX('Data #1'!G58,'Data #2'!G58,'Data #3'!G58,'Data #4'!G58,'Data #5'!G58)</f>
        <v>-24.41</v>
      </c>
      <c r="AM58">
        <f>MAX('Data #1'!H58,'Data #2'!H58,'Data #3'!H58,'Data #4'!H58,'Data #5'!H58)</f>
        <v>-33.35</v>
      </c>
      <c r="AN58">
        <f>MIN('Data #1'!C58,'Data #2'!C58,'Data #3'!C58,'Data #4'!C58,'Data #5'!C58)</f>
        <v>-29.43</v>
      </c>
      <c r="AO58">
        <f>MIN('Data #1'!D58,'Data #2'!D58,'Data #3'!D58,'Data #4'!D58,'Data #5'!D58)</f>
        <v>-37.72</v>
      </c>
      <c r="AP58">
        <f>MIN('Data #1'!E58,'Data #2'!E58,'Data #3'!E58,'Data #4'!E58,'Data #5'!E58)</f>
        <v>-27.97</v>
      </c>
      <c r="AQ58">
        <f>MIN('Data #1'!F58,'Data #2'!F58,'Data #3'!F58,'Data #4'!F58,'Data #5'!F58)</f>
        <v>-25.23</v>
      </c>
      <c r="AR58">
        <f>MIN('Data #1'!G58,'Data #2'!G58,'Data #3'!G58,'Data #4'!G58,'Data #5'!G58)</f>
        <v>-24.41</v>
      </c>
      <c r="AS58">
        <f>MIN('Data #1'!H58,'Data #2'!H58,'Data #3'!H58,'Data #4'!H58,'Data #5'!H58)</f>
        <v>-33.35</v>
      </c>
      <c r="AT58">
        <f t="shared" si="4"/>
        <v>0</v>
      </c>
      <c r="AU58">
        <f t="shared" si="5"/>
        <v>0</v>
      </c>
      <c r="AV58">
        <f t="shared" si="6"/>
        <v>0</v>
      </c>
      <c r="AW58">
        <f t="shared" si="7"/>
        <v>0</v>
      </c>
      <c r="AX58">
        <f t="shared" si="8"/>
        <v>0</v>
      </c>
      <c r="AY58">
        <f t="shared" si="9"/>
        <v>0</v>
      </c>
      <c r="AZ58">
        <v>4.3856000000000002</v>
      </c>
      <c r="BA58">
        <v>12.746300000000002</v>
      </c>
      <c r="BB58">
        <v>9.5009999999999994</v>
      </c>
      <c r="BC58">
        <v>1.5276999999999994</v>
      </c>
      <c r="BD58">
        <v>2.7224000000000004</v>
      </c>
      <c r="BE58">
        <v>2.1529999999999987</v>
      </c>
      <c r="BF58">
        <f t="shared" si="10"/>
        <v>-4.3856000000000002</v>
      </c>
      <c r="BG58">
        <f t="shared" si="11"/>
        <v>-12.746300000000002</v>
      </c>
      <c r="BH58">
        <f t="shared" si="12"/>
        <v>-9.5009999999999994</v>
      </c>
      <c r="BI58">
        <f t="shared" si="13"/>
        <v>-1.5276999999999994</v>
      </c>
      <c r="BJ58">
        <f t="shared" si="14"/>
        <v>-2.7224000000000004</v>
      </c>
      <c r="BK58">
        <f t="shared" si="15"/>
        <v>-2.1529999999999987</v>
      </c>
    </row>
    <row r="59" spans="2:63">
      <c r="B59" s="19">
        <v>2120</v>
      </c>
      <c r="C59" s="27">
        <f>+AVERAGE('Data #1'!W59,'Data #2'!W59,'Data #3'!W59,'Data #4'!W59,'Data #5'!W59)</f>
        <v>35.950666666666663</v>
      </c>
      <c r="D59" s="27">
        <f>+C59+STDEV('Data #1'!R59:T59,'Data #2'!R59:T59,'Data #3'!R59:T59,'Data #4'!R59:T59,'Data #5'!R59:T59)</f>
        <v>68.99945235144024</v>
      </c>
      <c r="E59" s="27">
        <f>+C59-STDEV('Data #1'!R59:T59,'Data #2'!R59:T59,'Data #3'!R59:T59,'Data #4'!R59:T59,'Data #5'!R59:T59)</f>
        <v>2.9018809818930862</v>
      </c>
      <c r="F59" s="27">
        <f>+MIN('Data #1'!R59:T59,'Data #2'!R59:T59,'Data #3'!R59:T59,'Data #4'!R59:T59,'Data #5'!R59:T59)</f>
        <v>20</v>
      </c>
      <c r="G59" s="27">
        <f>+MAX('Data #1'!R59:T59,'Data #2'!R59:T59,'Data #3'!R59:T59,'Data #4'!R59:T59,'Data #5'!R59:T59)</f>
        <v>103.83</v>
      </c>
      <c r="I59" s="19">
        <v>2120</v>
      </c>
      <c r="J59" s="27">
        <f>+AVERAGE('Data #1'!X59,'Data #2'!X59,'Data #3'!X59,'Data #4'!X59,'Data #5'!X59)</f>
        <v>30.439999999999998</v>
      </c>
      <c r="K59" s="27">
        <f t="shared" si="0"/>
        <v>40.44</v>
      </c>
      <c r="O59" s="20">
        <v>2120</v>
      </c>
      <c r="P59" s="28">
        <f>+AVERAGE('Data #1'!AH59,'Data #2'!AH59,'Data #3'!AH59,'Data #4'!AH59,'Data #5'!AH59)</f>
        <v>35.717999999999996</v>
      </c>
      <c r="Q59" s="28">
        <f>+P59+STDEV('Data #1'!AC59:AE59,'Data #2'!AC59:AE59,'Data #3'!AC59:AE59,'Data #4'!AC59:AE59,'Data #5'!AC59:AE59)</f>
        <v>68.358704911855952</v>
      </c>
      <c r="R59" s="28">
        <f>+P59-STDEV('Data #1'!AC59:AE59,'Data #2'!AC59:AE59,'Data #3'!AC59:AE59,'Data #4'!AC59:AE59,'Data #5'!AC59:AE59)</f>
        <v>3.0772950881440408</v>
      </c>
      <c r="S59" s="28">
        <f>+MIN('Data #1'!AC59:AE59,'Data #2'!AC59:AE59,'Data #3'!AC59:AE59,'Data #4'!AC59:AE59,'Data #5'!AC59:AE59)</f>
        <v>20</v>
      </c>
      <c r="T59" s="28">
        <f>+MAX('Data #1'!AC59:AE59,'Data #2'!AC59:AE59,'Data #3'!AC59:AE59,'Data #4'!AC59:AE59,'Data #5'!AC59:AE59)</f>
        <v>106.43</v>
      </c>
      <c r="V59" s="20">
        <v>2120</v>
      </c>
      <c r="W59" s="28">
        <f>+AVERAGE('Data #1'!AI59,'Data #2'!AI59,'Data #3'!AI59,'Data #4'!AI59,'Data #4'!AI59)</f>
        <v>30.238</v>
      </c>
      <c r="X59" s="28">
        <f t="shared" si="1"/>
        <v>40.238</v>
      </c>
      <c r="AB59" s="21">
        <v>2120</v>
      </c>
      <c r="AC59" s="10">
        <v>-10</v>
      </c>
      <c r="AD59" s="10">
        <v>10</v>
      </c>
      <c r="AH59">
        <f>MAX('Data #1'!C59,'Data #2'!C59,'Data #3'!C59,'Data #4'!C59,'Data #5'!C59)</f>
        <v>-26.13</v>
      </c>
      <c r="AI59">
        <f>MAX('Data #1'!D59,'Data #2'!D59,'Data #3'!D59,'Data #4'!D59,'Data #5'!D59)</f>
        <v>-31.63</v>
      </c>
      <c r="AJ59">
        <f>MAX('Data #1'!E59,'Data #2'!E59,'Data #3'!E59,'Data #4'!E59,'Data #5'!E59)</f>
        <v>-24.9</v>
      </c>
      <c r="AK59">
        <f>MAX('Data #1'!F59,'Data #2'!F59,'Data #3'!F59,'Data #4'!F59,'Data #5'!F59)</f>
        <v>-23.86</v>
      </c>
      <c r="AL59">
        <f>MAX('Data #1'!G59,'Data #2'!G59,'Data #3'!G59,'Data #4'!G59,'Data #5'!G59)</f>
        <v>-23.1</v>
      </c>
      <c r="AM59">
        <f>MAX('Data #1'!H59,'Data #2'!H59,'Data #3'!H59,'Data #4'!H59,'Data #5'!H59)</f>
        <v>-35.24</v>
      </c>
      <c r="AN59">
        <f>MIN('Data #1'!C59,'Data #2'!C59,'Data #3'!C59,'Data #4'!C59,'Data #5'!C59)</f>
        <v>-26.13</v>
      </c>
      <c r="AO59">
        <f>MIN('Data #1'!D59,'Data #2'!D59,'Data #3'!D59,'Data #4'!D59,'Data #5'!D59)</f>
        <v>-31.63</v>
      </c>
      <c r="AP59">
        <f>MIN('Data #1'!E59,'Data #2'!E59,'Data #3'!E59,'Data #4'!E59,'Data #5'!E59)</f>
        <v>-24.9</v>
      </c>
      <c r="AQ59">
        <f>MIN('Data #1'!F59,'Data #2'!F59,'Data #3'!F59,'Data #4'!F59,'Data #5'!F59)</f>
        <v>-23.86</v>
      </c>
      <c r="AR59">
        <f>MIN('Data #1'!G59,'Data #2'!G59,'Data #3'!G59,'Data #4'!G59,'Data #5'!G59)</f>
        <v>-23.1</v>
      </c>
      <c r="AS59">
        <f>MIN('Data #1'!H59,'Data #2'!H59,'Data #3'!H59,'Data #4'!H59,'Data #5'!H59)</f>
        <v>-35.24</v>
      </c>
      <c r="AT59">
        <f t="shared" si="4"/>
        <v>0</v>
      </c>
      <c r="AU59">
        <f t="shared" si="5"/>
        <v>0</v>
      </c>
      <c r="AV59">
        <f t="shared" si="6"/>
        <v>0</v>
      </c>
      <c r="AW59">
        <f t="shared" si="7"/>
        <v>0</v>
      </c>
      <c r="AX59">
        <f t="shared" si="8"/>
        <v>0</v>
      </c>
      <c r="AY59">
        <f t="shared" si="9"/>
        <v>0</v>
      </c>
      <c r="AZ59">
        <v>1.7880000000000003</v>
      </c>
      <c r="BA59">
        <v>10.6005</v>
      </c>
      <c r="BB59">
        <v>9.4710000000000019</v>
      </c>
      <c r="BC59">
        <v>4.541500000000001</v>
      </c>
      <c r="BD59">
        <v>5.6658000000000008</v>
      </c>
      <c r="BE59">
        <v>6.2226999999999997</v>
      </c>
      <c r="BF59">
        <f t="shared" si="10"/>
        <v>-1.7880000000000003</v>
      </c>
      <c r="BG59">
        <f t="shared" si="11"/>
        <v>-10.6005</v>
      </c>
      <c r="BH59">
        <f t="shared" si="12"/>
        <v>-9.4710000000000019</v>
      </c>
      <c r="BI59">
        <f t="shared" si="13"/>
        <v>-4.541500000000001</v>
      </c>
      <c r="BJ59">
        <f t="shared" si="14"/>
        <v>-5.6658000000000008</v>
      </c>
      <c r="BK59">
        <f t="shared" si="15"/>
        <v>-6.2226999999999997</v>
      </c>
    </row>
    <row r="60" spans="2:63">
      <c r="B60" s="19">
        <v>2240</v>
      </c>
      <c r="C60" s="27">
        <f>+AVERAGE('Data #1'!W60,'Data #2'!W60,'Data #3'!W60,'Data #4'!W60,'Data #5'!W60)</f>
        <v>35.767999999999994</v>
      </c>
      <c r="D60" s="27">
        <f>+C60+STDEV('Data #1'!R60:T60,'Data #2'!R60:T60,'Data #3'!R60:T60,'Data #4'!R60:T60,'Data #5'!R60:T60)</f>
        <v>68.428890592353937</v>
      </c>
      <c r="E60" s="27">
        <f>+C60-STDEV('Data #1'!R60:T60,'Data #2'!R60:T60,'Data #3'!R60:T60,'Data #4'!R60:T60,'Data #5'!R60:T60)</f>
        <v>3.1071094076460497</v>
      </c>
      <c r="F60" s="27">
        <f>+MIN('Data #1'!R60:T60,'Data #2'!R60:T60,'Data #3'!R60:T60,'Data #4'!R60:T60,'Data #5'!R60:T60)</f>
        <v>20</v>
      </c>
      <c r="G60" s="27">
        <f>+MAX('Data #1'!R60:T60,'Data #2'!R60:T60,'Data #3'!R60:T60,'Data #4'!R60:T60,'Data #5'!R60:T60)</f>
        <v>101.96</v>
      </c>
      <c r="I60" s="19">
        <v>2240</v>
      </c>
      <c r="J60" s="27">
        <f>+AVERAGE('Data #1'!X60,'Data #2'!X60,'Data #3'!X60,'Data #4'!X60,'Data #5'!X60)</f>
        <v>31.088000000000001</v>
      </c>
      <c r="K60" s="27">
        <f t="shared" si="0"/>
        <v>41.088000000000001</v>
      </c>
      <c r="O60" s="20">
        <v>2240</v>
      </c>
      <c r="P60" s="28">
        <f>+AVERAGE('Data #1'!AH60,'Data #2'!AH60,'Data #3'!AH60,'Data #4'!AH60,'Data #5'!AH60)</f>
        <v>35.62866666666666</v>
      </c>
      <c r="Q60" s="28">
        <f>+P60+STDEV('Data #1'!AC60:AE60,'Data #2'!AC60:AE60,'Data #3'!AC60:AE60,'Data #4'!AC60:AE60,'Data #5'!AC60:AE60)</f>
        <v>67.99063660199721</v>
      </c>
      <c r="R60" s="28">
        <f>+P60-STDEV('Data #1'!AC60:AE60,'Data #2'!AC60:AE60,'Data #3'!AC60:AE60,'Data #4'!AC60:AE60,'Data #5'!AC60:AE60)</f>
        <v>3.2666967313361184</v>
      </c>
      <c r="S60" s="28">
        <f>+MIN('Data #1'!AC60:AE60,'Data #2'!AC60:AE60,'Data #3'!AC60:AE60,'Data #4'!AC60:AE60,'Data #5'!AC60:AE60)</f>
        <v>20</v>
      </c>
      <c r="T60" s="28">
        <f>+MAX('Data #1'!AC60:AE60,'Data #2'!AC60:AE60,'Data #3'!AC60:AE60,'Data #4'!AC60:AE60,'Data #5'!AC60:AE60)</f>
        <v>99.97999999999999</v>
      </c>
      <c r="V60" s="20">
        <v>2240</v>
      </c>
      <c r="W60" s="28">
        <f>+AVERAGE('Data #1'!AI60,'Data #2'!AI60,'Data #3'!AI60,'Data #4'!AI60,'Data #4'!AI60)</f>
        <v>30.832000000000001</v>
      </c>
      <c r="X60" s="28">
        <f t="shared" si="1"/>
        <v>40.832000000000001</v>
      </c>
      <c r="AB60" s="21">
        <v>2240</v>
      </c>
      <c r="AC60" s="10">
        <v>-10</v>
      </c>
      <c r="AD60" s="10">
        <v>10</v>
      </c>
      <c r="AH60">
        <f>MAX('Data #1'!C60,'Data #2'!C60,'Data #3'!C60,'Data #4'!C60,'Data #5'!C60)</f>
        <v>-22.81</v>
      </c>
      <c r="AI60">
        <f>MAX('Data #1'!D60,'Data #2'!D60,'Data #3'!D60,'Data #4'!D60,'Data #5'!D60)</f>
        <v>-26.52</v>
      </c>
      <c r="AJ60">
        <f>MAX('Data #1'!E60,'Data #2'!E60,'Data #3'!E60,'Data #4'!E60,'Data #5'!E60)</f>
        <v>-20.87</v>
      </c>
      <c r="AK60">
        <f>MAX('Data #1'!F60,'Data #2'!F60,'Data #3'!F60,'Data #4'!F60,'Data #5'!F60)</f>
        <v>-24.01</v>
      </c>
      <c r="AL60">
        <f>MAX('Data #1'!G60,'Data #2'!G60,'Data #3'!G60,'Data #4'!G60,'Data #5'!G60)</f>
        <v>-22.12</v>
      </c>
      <c r="AM60">
        <f>MAX('Data #1'!H60,'Data #2'!H60,'Data #3'!H60,'Data #4'!H60,'Data #5'!H60)</f>
        <v>-25.82</v>
      </c>
      <c r="AN60">
        <f>MIN('Data #1'!C60,'Data #2'!C60,'Data #3'!C60,'Data #4'!C60,'Data #5'!C60)</f>
        <v>-22.81</v>
      </c>
      <c r="AO60">
        <f>MIN('Data #1'!D60,'Data #2'!D60,'Data #3'!D60,'Data #4'!D60,'Data #5'!D60)</f>
        <v>-26.52</v>
      </c>
      <c r="AP60">
        <f>MIN('Data #1'!E60,'Data #2'!E60,'Data #3'!E60,'Data #4'!E60,'Data #5'!E60)</f>
        <v>-20.87</v>
      </c>
      <c r="AQ60">
        <f>MIN('Data #1'!F60,'Data #2'!F60,'Data #3'!F60,'Data #4'!F60,'Data #5'!F60)</f>
        <v>-24.01</v>
      </c>
      <c r="AR60">
        <f>MIN('Data #1'!G60,'Data #2'!G60,'Data #3'!G60,'Data #4'!G60,'Data #5'!G60)</f>
        <v>-22.12</v>
      </c>
      <c r="AS60">
        <f>MIN('Data #1'!H60,'Data #2'!H60,'Data #3'!H60,'Data #4'!H60,'Data #5'!H60)</f>
        <v>-25.82</v>
      </c>
      <c r="AT60">
        <f t="shared" si="4"/>
        <v>0</v>
      </c>
      <c r="AU60">
        <f t="shared" si="5"/>
        <v>0</v>
      </c>
      <c r="AV60">
        <f t="shared" si="6"/>
        <v>0</v>
      </c>
      <c r="AW60">
        <f t="shared" si="7"/>
        <v>0</v>
      </c>
      <c r="AX60">
        <f t="shared" si="8"/>
        <v>0</v>
      </c>
      <c r="AY60">
        <f t="shared" si="9"/>
        <v>0</v>
      </c>
      <c r="AZ60">
        <v>3.8036999999999992</v>
      </c>
      <c r="BA60">
        <v>8.1894999999999989</v>
      </c>
      <c r="BB60">
        <v>4.6281999999999979</v>
      </c>
      <c r="BC60">
        <v>2.7501999999999995</v>
      </c>
      <c r="BD60">
        <v>4.4634999999999998</v>
      </c>
      <c r="BE60">
        <v>5.5890000000000004</v>
      </c>
      <c r="BF60">
        <f t="shared" si="10"/>
        <v>-3.8036999999999992</v>
      </c>
      <c r="BG60">
        <f t="shared" si="11"/>
        <v>-8.1894999999999989</v>
      </c>
      <c r="BH60">
        <f t="shared" si="12"/>
        <v>-4.6281999999999979</v>
      </c>
      <c r="BI60">
        <f t="shared" si="13"/>
        <v>-2.7501999999999995</v>
      </c>
      <c r="BJ60">
        <f t="shared" si="14"/>
        <v>-4.4634999999999998</v>
      </c>
      <c r="BK60">
        <f t="shared" si="15"/>
        <v>-5.5890000000000004</v>
      </c>
    </row>
    <row r="61" spans="2:63">
      <c r="B61" s="19">
        <v>2360</v>
      </c>
      <c r="C61" s="27">
        <f>+AVERAGE('Data #1'!W61,'Data #2'!W61,'Data #3'!W61,'Data #4'!W61,'Data #5'!W61)</f>
        <v>35.582666666666668</v>
      </c>
      <c r="D61" s="27">
        <f>+C61+STDEV('Data #1'!R61:T61,'Data #2'!R61:T61,'Data #3'!R61:T61,'Data #4'!R61:T61,'Data #5'!R61:T61)</f>
        <v>67.850444151481511</v>
      </c>
      <c r="E61" s="27">
        <f>+C61-STDEV('Data #1'!R61:T61,'Data #2'!R61:T61,'Data #3'!R61:T61,'Data #4'!R61:T61,'Data #5'!R61:T61)</f>
        <v>3.3148891818518251</v>
      </c>
      <c r="F61" s="27">
        <f>+MIN('Data #1'!R61:T61,'Data #2'!R61:T61,'Data #3'!R61:T61,'Data #4'!R61:T61,'Data #5'!R61:T61)</f>
        <v>20</v>
      </c>
      <c r="G61" s="27">
        <f>+MAX('Data #1'!R61:T61,'Data #2'!R61:T61,'Data #3'!R61:T61,'Data #4'!R61:T61,'Data #5'!R61:T61)</f>
        <v>99.96</v>
      </c>
      <c r="I61" s="19">
        <v>2360</v>
      </c>
      <c r="J61" s="27">
        <f>+AVERAGE('Data #1'!X61,'Data #2'!X61,'Data #3'!X61,'Data #4'!X61,'Data #5'!X61)</f>
        <v>31.038</v>
      </c>
      <c r="K61" s="27">
        <f t="shared" si="0"/>
        <v>41.037999999999997</v>
      </c>
      <c r="O61" s="20">
        <v>2360</v>
      </c>
      <c r="P61" s="28">
        <f>+AVERAGE('Data #1'!AH61,'Data #2'!AH61,'Data #3'!AH61,'Data #4'!AH61,'Data #5'!AH61)</f>
        <v>34.873333333333335</v>
      </c>
      <c r="Q61" s="28">
        <f>+P61+STDEV('Data #1'!AC61:AE61,'Data #2'!AC61:AE61,'Data #3'!AC61:AE61,'Data #4'!AC61:AE61,'Data #5'!AC61:AE61)</f>
        <v>65.665741411268641</v>
      </c>
      <c r="R61" s="28">
        <f>+P61-STDEV('Data #1'!AC61:AE61,'Data #2'!AC61:AE61,'Data #3'!AC61:AE61,'Data #4'!AC61:AE61,'Data #5'!AC61:AE61)</f>
        <v>4.0809252553980286</v>
      </c>
      <c r="S61" s="28">
        <f>+MIN('Data #1'!AC61:AE61,'Data #2'!AC61:AE61,'Data #3'!AC61:AE61,'Data #4'!AC61:AE61,'Data #5'!AC61:AE61)</f>
        <v>20</v>
      </c>
      <c r="T61" s="28">
        <f>+MAX('Data #1'!AC61:AE61,'Data #2'!AC61:AE61,'Data #3'!AC61:AE61,'Data #4'!AC61:AE61,'Data #5'!AC61:AE61)</f>
        <v>95.15</v>
      </c>
      <c r="V61" s="20">
        <v>2360</v>
      </c>
      <c r="W61" s="28">
        <f>+AVERAGE('Data #1'!AI61,'Data #2'!AI61,'Data #3'!AI61,'Data #4'!AI61,'Data #4'!AI61)</f>
        <v>30.842000000000002</v>
      </c>
      <c r="X61" s="28">
        <f t="shared" si="1"/>
        <v>40.841999999999999</v>
      </c>
      <c r="AB61" s="21">
        <v>2360</v>
      </c>
      <c r="AC61" s="10">
        <v>-10</v>
      </c>
      <c r="AD61" s="10">
        <v>10</v>
      </c>
      <c r="AH61">
        <f>MAX('Data #1'!C61,'Data #2'!C61,'Data #3'!C61,'Data #4'!C61,'Data #5'!C61)</f>
        <v>-22.56</v>
      </c>
      <c r="AI61">
        <f>MAX('Data #1'!D61,'Data #2'!D61,'Data #3'!D61,'Data #4'!D61,'Data #5'!D61)</f>
        <v>-24.77</v>
      </c>
      <c r="AJ61">
        <f>MAX('Data #1'!E61,'Data #2'!E61,'Data #3'!E61,'Data #4'!E61,'Data #5'!E61)</f>
        <v>-20.84</v>
      </c>
      <c r="AK61">
        <f>MAX('Data #1'!F61,'Data #2'!F61,'Data #3'!F61,'Data #4'!F61,'Data #5'!F61)</f>
        <v>-20.94</v>
      </c>
      <c r="AL61">
        <f>MAX('Data #1'!G61,'Data #2'!G61,'Data #3'!G61,'Data #4'!G61,'Data #5'!G61)</f>
        <v>-19.25</v>
      </c>
      <c r="AM61">
        <f>MAX('Data #1'!H61,'Data #2'!H61,'Data #3'!H61,'Data #4'!H61,'Data #5'!H61)</f>
        <v>-20.28</v>
      </c>
      <c r="AN61">
        <f>MIN('Data #1'!C61,'Data #2'!C61,'Data #3'!C61,'Data #4'!C61,'Data #5'!C61)</f>
        <v>-22.56</v>
      </c>
      <c r="AO61">
        <f>MIN('Data #1'!D61,'Data #2'!D61,'Data #3'!D61,'Data #4'!D61,'Data #5'!D61)</f>
        <v>-24.77</v>
      </c>
      <c r="AP61">
        <f>MIN('Data #1'!E61,'Data #2'!E61,'Data #3'!E61,'Data #4'!E61,'Data #5'!E61)</f>
        <v>-20.84</v>
      </c>
      <c r="AQ61">
        <f>MIN('Data #1'!F61,'Data #2'!F61,'Data #3'!F61,'Data #4'!F61,'Data #5'!F61)</f>
        <v>-20.94</v>
      </c>
      <c r="AR61">
        <f>MIN('Data #1'!G61,'Data #2'!G61,'Data #3'!G61,'Data #4'!G61,'Data #5'!G61)</f>
        <v>-19.25</v>
      </c>
      <c r="AS61">
        <f>MIN('Data #1'!H61,'Data #2'!H61,'Data #3'!H61,'Data #4'!H61,'Data #5'!H61)</f>
        <v>-20.28</v>
      </c>
      <c r="AT61">
        <f t="shared" si="4"/>
        <v>0</v>
      </c>
      <c r="AU61">
        <f t="shared" si="5"/>
        <v>0</v>
      </c>
      <c r="AV61">
        <f t="shared" si="6"/>
        <v>0</v>
      </c>
      <c r="AW61">
        <f t="shared" si="7"/>
        <v>0</v>
      </c>
      <c r="AX61">
        <f t="shared" si="8"/>
        <v>0</v>
      </c>
      <c r="AY61">
        <f t="shared" si="9"/>
        <v>0</v>
      </c>
      <c r="AZ61">
        <v>3.3501999999999992</v>
      </c>
      <c r="BA61">
        <v>4.8843999999999976</v>
      </c>
      <c r="BB61">
        <v>7.0888000000000009</v>
      </c>
      <c r="BC61">
        <v>4.8943999999999992</v>
      </c>
      <c r="BD61">
        <v>6.2393000000000018</v>
      </c>
      <c r="BE61">
        <v>1.4774999999999991</v>
      </c>
      <c r="BF61">
        <f t="shared" si="10"/>
        <v>-3.3501999999999992</v>
      </c>
      <c r="BG61">
        <f t="shared" si="11"/>
        <v>-4.8843999999999976</v>
      </c>
      <c r="BH61">
        <f t="shared" si="12"/>
        <v>-7.0888000000000009</v>
      </c>
      <c r="BI61">
        <f t="shared" si="13"/>
        <v>-4.8943999999999992</v>
      </c>
      <c r="BJ61">
        <f t="shared" si="14"/>
        <v>-6.2393000000000018</v>
      </c>
      <c r="BK61">
        <f t="shared" si="15"/>
        <v>-1.4774999999999991</v>
      </c>
    </row>
    <row r="62" spans="2:63">
      <c r="B62" s="19">
        <v>2500</v>
      </c>
      <c r="C62" s="27">
        <f>+AVERAGE('Data #1'!W62,'Data #2'!W62,'Data #3'!W62,'Data #4'!W62,'Data #5'!W62)</f>
        <v>35.268666666666661</v>
      </c>
      <c r="D62" s="27">
        <f>+C62+STDEV('Data #1'!R62:T62,'Data #2'!R62:T62,'Data #3'!R62:T62,'Data #4'!R62:T62,'Data #5'!R62:T62)</f>
        <v>66.879515813906025</v>
      </c>
      <c r="E62" s="27">
        <f>+C62-STDEV('Data #1'!R62:T62,'Data #2'!R62:T62,'Data #3'!R62:T62,'Data #4'!R62:T62,'Data #5'!R62:T62)</f>
        <v>3.6578175194272973</v>
      </c>
      <c r="F62" s="27">
        <f>+MIN('Data #1'!R62:T62,'Data #2'!R62:T62,'Data #3'!R62:T62,'Data #4'!R62:T62,'Data #5'!R62:T62)</f>
        <v>20</v>
      </c>
      <c r="G62" s="27">
        <f>+MAX('Data #1'!R62:T62,'Data #2'!R62:T62,'Data #3'!R62:T62,'Data #4'!R62:T62,'Data #5'!R62:T62)</f>
        <v>96.85</v>
      </c>
      <c r="I62" s="19">
        <v>2500</v>
      </c>
      <c r="J62" s="27">
        <f>+AVERAGE('Data #1'!X62,'Data #2'!X62,'Data #3'!X62,'Data #4'!X62,'Data #5'!X62)</f>
        <v>30.463999999999999</v>
      </c>
      <c r="K62" s="27">
        <f t="shared" si="0"/>
        <v>40.463999999999999</v>
      </c>
      <c r="O62" s="20">
        <v>2500</v>
      </c>
      <c r="P62" s="28">
        <f>+AVERAGE('Data #1'!AH62,'Data #2'!AH62,'Data #3'!AH62,'Data #4'!AH62,'Data #5'!AH62)</f>
        <v>33.880666666666663</v>
      </c>
      <c r="Q62" s="28">
        <f>+P62+STDEV('Data #1'!AC62:AE62,'Data #2'!AC62:AE62,'Data #3'!AC62:AE62,'Data #4'!AC62:AE62,'Data #5'!AC62:AE62)</f>
        <v>62.617200523331384</v>
      </c>
      <c r="R62" s="28">
        <f>+P62-STDEV('Data #1'!AC62:AE62,'Data #2'!AC62:AE62,'Data #3'!AC62:AE62,'Data #4'!AC62:AE62,'Data #5'!AC62:AE62)</f>
        <v>5.1441328100019419</v>
      </c>
      <c r="S62" s="28">
        <f>+MIN('Data #1'!AC62:AE62,'Data #2'!AC62:AE62,'Data #3'!AC62:AE62,'Data #4'!AC62:AE62,'Data #5'!AC62:AE62)</f>
        <v>20</v>
      </c>
      <c r="T62" s="28">
        <f>+MAX('Data #1'!AC62:AE62,'Data #2'!AC62:AE62,'Data #3'!AC62:AE62,'Data #4'!AC62:AE62,'Data #5'!AC62:AE62)</f>
        <v>89.86999999999999</v>
      </c>
      <c r="V62" s="20">
        <v>2500</v>
      </c>
      <c r="W62" s="28">
        <f>+AVERAGE('Data #1'!AI62,'Data #2'!AI62,'Data #3'!AI62,'Data #4'!AI62,'Data #4'!AI62)</f>
        <v>30.245999999999999</v>
      </c>
      <c r="X62" s="28">
        <f t="shared" si="1"/>
        <v>40.245999999999995</v>
      </c>
      <c r="AB62" s="21">
        <v>2500</v>
      </c>
      <c r="AC62" s="10">
        <v>-10</v>
      </c>
      <c r="AD62" s="10">
        <v>10</v>
      </c>
      <c r="AH62">
        <f>MAX('Data #1'!C62,'Data #2'!C62,'Data #3'!C62,'Data #4'!C62,'Data #5'!C62)</f>
        <v>-24.53</v>
      </c>
      <c r="AI62">
        <f>MAX('Data #1'!D62,'Data #2'!D62,'Data #3'!D62,'Data #4'!D62,'Data #5'!D62)</f>
        <v>-24.52</v>
      </c>
      <c r="AJ62">
        <f>MAX('Data #1'!E62,'Data #2'!E62,'Data #3'!E62,'Data #4'!E62,'Data #5'!E62)</f>
        <v>-23.02</v>
      </c>
      <c r="AK62">
        <f>MAX('Data #1'!F62,'Data #2'!F62,'Data #3'!F62,'Data #4'!F62,'Data #5'!F62)</f>
        <v>-18.350000000000001</v>
      </c>
      <c r="AL62">
        <f>MAX('Data #1'!G62,'Data #2'!G62,'Data #3'!G62,'Data #4'!G62,'Data #5'!G62)</f>
        <v>-17.53</v>
      </c>
      <c r="AM62">
        <f>MAX('Data #1'!H62,'Data #2'!H62,'Data #3'!H62,'Data #4'!H62,'Data #5'!H62)</f>
        <v>-18.64</v>
      </c>
      <c r="AN62">
        <f>MIN('Data #1'!C62,'Data #2'!C62,'Data #3'!C62,'Data #4'!C62,'Data #5'!C62)</f>
        <v>-24.53</v>
      </c>
      <c r="AO62">
        <f>MIN('Data #1'!D62,'Data #2'!D62,'Data #3'!D62,'Data #4'!D62,'Data #5'!D62)</f>
        <v>-24.52</v>
      </c>
      <c r="AP62">
        <f>MIN('Data #1'!E62,'Data #2'!E62,'Data #3'!E62,'Data #4'!E62,'Data #5'!E62)</f>
        <v>-23.02</v>
      </c>
      <c r="AQ62">
        <f>MIN('Data #1'!F62,'Data #2'!F62,'Data #3'!F62,'Data #4'!F62,'Data #5'!F62)</f>
        <v>-18.350000000000001</v>
      </c>
      <c r="AR62">
        <f>MIN('Data #1'!G62,'Data #2'!G62,'Data #3'!G62,'Data #4'!G62,'Data #5'!G62)</f>
        <v>-17.53</v>
      </c>
      <c r="AS62">
        <f>MIN('Data #1'!H62,'Data #2'!H62,'Data #3'!H62,'Data #4'!H62,'Data #5'!H62)</f>
        <v>-18.64</v>
      </c>
      <c r="AT62">
        <f t="shared" si="4"/>
        <v>0</v>
      </c>
      <c r="AU62">
        <f t="shared" si="5"/>
        <v>0</v>
      </c>
      <c r="AV62">
        <f t="shared" si="6"/>
        <v>0</v>
      </c>
      <c r="AW62">
        <f t="shared" si="7"/>
        <v>0</v>
      </c>
      <c r="AX62">
        <f t="shared" si="8"/>
        <v>0</v>
      </c>
      <c r="AY62">
        <f t="shared" si="9"/>
        <v>0</v>
      </c>
      <c r="AZ62">
        <v>3.5555000000000003</v>
      </c>
      <c r="BA62">
        <v>5.0647000000000002</v>
      </c>
      <c r="BB62">
        <v>5.4743999999999993</v>
      </c>
      <c r="BC62">
        <v>5.9038000000000004</v>
      </c>
      <c r="BD62">
        <v>2.9147999999999996</v>
      </c>
      <c r="BE62">
        <v>1.791599999999999</v>
      </c>
      <c r="BF62">
        <f t="shared" si="10"/>
        <v>-3.5555000000000003</v>
      </c>
      <c r="BG62">
        <f t="shared" si="11"/>
        <v>-5.0647000000000002</v>
      </c>
      <c r="BH62">
        <f t="shared" si="12"/>
        <v>-5.4743999999999993</v>
      </c>
      <c r="BI62">
        <f t="shared" si="13"/>
        <v>-5.9038000000000004</v>
      </c>
      <c r="BJ62">
        <f t="shared" si="14"/>
        <v>-2.9147999999999996</v>
      </c>
      <c r="BK62">
        <f t="shared" si="15"/>
        <v>-1.791599999999999</v>
      </c>
    </row>
    <row r="63" spans="2:63">
      <c r="B63" s="19">
        <v>2650</v>
      </c>
      <c r="C63" s="27">
        <f>+AVERAGE('Data #1'!W63,'Data #2'!W63,'Data #3'!W63,'Data #4'!W63,'Data #5'!W63)</f>
        <v>34.971333333333327</v>
      </c>
      <c r="D63" s="27">
        <f>+C63+STDEV('Data #1'!R63:T63,'Data #2'!R63:T63,'Data #3'!R63:T63,'Data #4'!R63:T63,'Data #5'!R63:T63)</f>
        <v>65.966127335521747</v>
      </c>
      <c r="E63" s="27">
        <f>+C63-STDEV('Data #1'!R63:T63,'Data #2'!R63:T63,'Data #3'!R63:T63,'Data #4'!R63:T63,'Data #5'!R63:T63)</f>
        <v>3.9765393311449095</v>
      </c>
      <c r="F63" s="27">
        <f>+MIN('Data #1'!R63:T63,'Data #2'!R63:T63,'Data #3'!R63:T63,'Data #4'!R63:T63,'Data #5'!R63:T63)</f>
        <v>20</v>
      </c>
      <c r="G63" s="27">
        <f>+MAX('Data #1'!R63:T63,'Data #2'!R63:T63,'Data #3'!R63:T63,'Data #4'!R63:T63,'Data #5'!R63:T63)</f>
        <v>95.329999999999984</v>
      </c>
      <c r="I63" s="19">
        <v>2650</v>
      </c>
      <c r="J63" s="27">
        <f>+AVERAGE('Data #1'!X63,'Data #2'!X63,'Data #3'!X63,'Data #4'!X63,'Data #5'!X63)</f>
        <v>30.007999999999999</v>
      </c>
      <c r="K63" s="27">
        <f t="shared" si="0"/>
        <v>40.007999999999996</v>
      </c>
      <c r="O63" s="20">
        <v>2650</v>
      </c>
      <c r="P63" s="28">
        <f>+AVERAGE('Data #1'!AH63,'Data #2'!AH63,'Data #3'!AH63,'Data #4'!AH63,'Data #5'!AH63)</f>
        <v>33.262666666666668</v>
      </c>
      <c r="Q63" s="28">
        <f>+P63+STDEV('Data #1'!AC63:AE63,'Data #2'!AC63:AE63,'Data #3'!AC63:AE63,'Data #4'!AC63:AE63,'Data #5'!AC63:AE63)</f>
        <v>60.720271251258708</v>
      </c>
      <c r="R63" s="28">
        <f>+P63-STDEV('Data #1'!AC63:AE63,'Data #2'!AC63:AE63,'Data #3'!AC63:AE63,'Data #4'!AC63:AE63,'Data #5'!AC63:AE63)</f>
        <v>5.8050620820746275</v>
      </c>
      <c r="S63" s="28">
        <f>+MIN('Data #1'!AC63:AE63,'Data #2'!AC63:AE63,'Data #3'!AC63:AE63,'Data #4'!AC63:AE63,'Data #5'!AC63:AE63)</f>
        <v>20</v>
      </c>
      <c r="T63" s="28">
        <f>+MAX('Data #1'!AC63:AE63,'Data #2'!AC63:AE63,'Data #3'!AC63:AE63,'Data #4'!AC63:AE63,'Data #5'!AC63:AE63)</f>
        <v>87.12</v>
      </c>
      <c r="V63" s="20">
        <v>2650</v>
      </c>
      <c r="W63" s="28">
        <f>+AVERAGE('Data #1'!AI63,'Data #2'!AI63,'Data #3'!AI63,'Data #4'!AI63,'Data #4'!AI63)</f>
        <v>29.788</v>
      </c>
      <c r="X63" s="28">
        <f t="shared" si="1"/>
        <v>39.787999999999997</v>
      </c>
      <c r="AB63" s="21">
        <v>2650</v>
      </c>
      <c r="AC63" s="10">
        <v>-10</v>
      </c>
      <c r="AD63" s="10">
        <v>10</v>
      </c>
      <c r="AH63">
        <f>MAX('Data #1'!C63,'Data #2'!C63,'Data #3'!C63,'Data #4'!C63,'Data #5'!C63)</f>
        <v>-25.17</v>
      </c>
      <c r="AI63">
        <f>MAX('Data #1'!D63,'Data #2'!D63,'Data #3'!D63,'Data #4'!D63,'Data #5'!D63)</f>
        <v>-23.99</v>
      </c>
      <c r="AJ63">
        <f>MAX('Data #1'!E63,'Data #2'!E63,'Data #3'!E63,'Data #4'!E63,'Data #5'!E63)</f>
        <v>-25.29</v>
      </c>
      <c r="AK63">
        <f>MAX('Data #1'!F63,'Data #2'!F63,'Data #3'!F63,'Data #4'!F63,'Data #5'!F63)</f>
        <v>-17.02</v>
      </c>
      <c r="AL63">
        <f>MAX('Data #1'!G63,'Data #2'!G63,'Data #3'!G63,'Data #4'!G63,'Data #5'!G63)</f>
        <v>-16.920000000000002</v>
      </c>
      <c r="AM63">
        <f>MAX('Data #1'!H63,'Data #2'!H63,'Data #3'!H63,'Data #4'!H63,'Data #5'!H63)</f>
        <v>-18.18</v>
      </c>
      <c r="AN63">
        <f>MIN('Data #1'!C63,'Data #2'!C63,'Data #3'!C63,'Data #4'!C63,'Data #5'!C63)</f>
        <v>-25.17</v>
      </c>
      <c r="AO63">
        <f>MIN('Data #1'!D63,'Data #2'!D63,'Data #3'!D63,'Data #4'!D63,'Data #5'!D63)</f>
        <v>-23.99</v>
      </c>
      <c r="AP63">
        <f>MIN('Data #1'!E63,'Data #2'!E63,'Data #3'!E63,'Data #4'!E63,'Data #5'!E63)</f>
        <v>-25.29</v>
      </c>
      <c r="AQ63">
        <f>MIN('Data #1'!F63,'Data #2'!F63,'Data #3'!F63,'Data #4'!F63,'Data #5'!F63)</f>
        <v>-17.02</v>
      </c>
      <c r="AR63">
        <f>MIN('Data #1'!G63,'Data #2'!G63,'Data #3'!G63,'Data #4'!G63,'Data #5'!G63)</f>
        <v>-16.920000000000002</v>
      </c>
      <c r="AS63">
        <f>MIN('Data #1'!H63,'Data #2'!H63,'Data #3'!H63,'Data #4'!H63,'Data #5'!H63)</f>
        <v>-18.18</v>
      </c>
      <c r="AT63">
        <f t="shared" si="4"/>
        <v>0</v>
      </c>
      <c r="AU63">
        <f t="shared" si="5"/>
        <v>0</v>
      </c>
      <c r="AV63">
        <f t="shared" si="6"/>
        <v>0</v>
      </c>
      <c r="AW63">
        <f t="shared" si="7"/>
        <v>0</v>
      </c>
      <c r="AX63">
        <f t="shared" si="8"/>
        <v>0</v>
      </c>
      <c r="AY63">
        <f t="shared" si="9"/>
        <v>0</v>
      </c>
      <c r="AZ63">
        <v>3.2015999999999991</v>
      </c>
      <c r="BA63">
        <v>3.8298000000000005</v>
      </c>
      <c r="BB63">
        <v>5.0119000000000007</v>
      </c>
      <c r="BC63">
        <v>2.1476999999999986</v>
      </c>
      <c r="BD63">
        <v>1.5538999999999987</v>
      </c>
      <c r="BE63">
        <v>1.4843999999999991</v>
      </c>
      <c r="BF63">
        <f t="shared" si="10"/>
        <v>-3.2015999999999991</v>
      </c>
      <c r="BG63">
        <f t="shared" si="11"/>
        <v>-3.8298000000000005</v>
      </c>
      <c r="BH63">
        <f t="shared" si="12"/>
        <v>-5.0119000000000007</v>
      </c>
      <c r="BI63">
        <f t="shared" si="13"/>
        <v>-2.1476999999999986</v>
      </c>
      <c r="BJ63">
        <f t="shared" si="14"/>
        <v>-1.5538999999999987</v>
      </c>
      <c r="BK63">
        <f t="shared" si="15"/>
        <v>-1.4843999999999991</v>
      </c>
    </row>
    <row r="64" spans="2:63">
      <c r="B64" s="19">
        <v>2800</v>
      </c>
      <c r="C64" s="27">
        <f>+AVERAGE('Data #1'!W64,'Data #2'!W64,'Data #3'!W64,'Data #4'!W64,'Data #5'!W64)</f>
        <v>34.43933333333333</v>
      </c>
      <c r="D64" s="27">
        <f>+C64+STDEV('Data #1'!R64:T64,'Data #2'!R64:T64,'Data #3'!R64:T64,'Data #4'!R64:T64,'Data #5'!R64:T64)</f>
        <v>64.332956271695167</v>
      </c>
      <c r="E64" s="27">
        <f>+C64-STDEV('Data #1'!R64:T64,'Data #2'!R64:T64,'Data #3'!R64:T64,'Data #4'!R64:T64,'Data #5'!R64:T64)</f>
        <v>4.545710394971497</v>
      </c>
      <c r="F64" s="27">
        <f>+MIN('Data #1'!R64:T64,'Data #2'!R64:T64,'Data #3'!R64:T64,'Data #4'!R64:T64,'Data #5'!R64:T64)</f>
        <v>20</v>
      </c>
      <c r="G64" s="27">
        <f>+MAX('Data #1'!R64:T64,'Data #2'!R64:T64,'Data #3'!R64:T64,'Data #4'!R64:T64,'Data #5'!R64:T64)</f>
        <v>92.940000000000012</v>
      </c>
      <c r="I64" s="19">
        <v>2800</v>
      </c>
      <c r="J64" s="27">
        <f>+AVERAGE('Data #1'!X64,'Data #2'!X64,'Data #3'!X64,'Data #4'!X64,'Data #5'!X64)</f>
        <v>29.654000000000003</v>
      </c>
      <c r="K64" s="27">
        <f t="shared" si="0"/>
        <v>39.654000000000003</v>
      </c>
      <c r="O64" s="20">
        <v>2800</v>
      </c>
      <c r="P64" s="28">
        <f>+AVERAGE('Data #1'!AH64,'Data #2'!AH64,'Data #3'!AH64,'Data #4'!AH64,'Data #5'!AH64)</f>
        <v>32.878</v>
      </c>
      <c r="Q64" s="28">
        <f>+P64+STDEV('Data #1'!AC64:AE64,'Data #2'!AC64:AE64,'Data #3'!AC64:AE64,'Data #4'!AC64:AE64,'Data #5'!AC64:AE64)</f>
        <v>59.541923781554949</v>
      </c>
      <c r="R64" s="28">
        <f>+P64-STDEV('Data #1'!AC64:AE64,'Data #2'!AC64:AE64,'Data #3'!AC64:AE64,'Data #4'!AC64:AE64,'Data #5'!AC64:AE64)</f>
        <v>6.2140762184450509</v>
      </c>
      <c r="S64" s="28">
        <f>+MIN('Data #1'!AC64:AE64,'Data #2'!AC64:AE64,'Data #3'!AC64:AE64,'Data #4'!AC64:AE64,'Data #5'!AC64:AE64)</f>
        <v>20</v>
      </c>
      <c r="T64" s="28">
        <f>+MAX('Data #1'!AC64:AE64,'Data #2'!AC64:AE64,'Data #3'!AC64:AE64,'Data #4'!AC64:AE64,'Data #5'!AC64:AE64)</f>
        <v>85.78</v>
      </c>
      <c r="V64" s="20">
        <v>2800</v>
      </c>
      <c r="W64" s="28">
        <f>+AVERAGE('Data #1'!AI64,'Data #2'!AI64,'Data #3'!AI64,'Data #4'!AI64,'Data #4'!AI64)</f>
        <v>29.527999999999999</v>
      </c>
      <c r="X64" s="28">
        <f t="shared" si="1"/>
        <v>39.527999999999999</v>
      </c>
      <c r="AB64" s="21">
        <v>2800</v>
      </c>
      <c r="AC64" s="10">
        <v>-10</v>
      </c>
      <c r="AD64" s="10">
        <v>10</v>
      </c>
      <c r="AH64">
        <f>MAX('Data #1'!C64,'Data #2'!C64,'Data #3'!C64,'Data #4'!C64,'Data #5'!C64)</f>
        <v>-23.95</v>
      </c>
      <c r="AI64">
        <f>MAX('Data #1'!D64,'Data #2'!D64,'Data #3'!D64,'Data #4'!D64,'Data #5'!D64)</f>
        <v>-23.16</v>
      </c>
      <c r="AJ64">
        <f>MAX('Data #1'!E64,'Data #2'!E64,'Data #3'!E64,'Data #4'!E64,'Data #5'!E64)</f>
        <v>-24.67</v>
      </c>
      <c r="AK64">
        <f>MAX('Data #1'!F64,'Data #2'!F64,'Data #3'!F64,'Data #4'!F64,'Data #5'!F64)</f>
        <v>-16.190000000000001</v>
      </c>
      <c r="AL64">
        <f>MAX('Data #1'!G64,'Data #2'!G64,'Data #3'!G64,'Data #4'!G64,'Data #5'!G64)</f>
        <v>-15.92</v>
      </c>
      <c r="AM64">
        <f>MAX('Data #1'!H64,'Data #2'!H64,'Data #3'!H64,'Data #4'!H64,'Data #5'!H64)</f>
        <v>-18.14</v>
      </c>
      <c r="AN64">
        <f>MIN('Data #1'!C64,'Data #2'!C64,'Data #3'!C64,'Data #4'!C64,'Data #5'!C64)</f>
        <v>-23.95</v>
      </c>
      <c r="AO64">
        <f>MIN('Data #1'!D64,'Data #2'!D64,'Data #3'!D64,'Data #4'!D64,'Data #5'!D64)</f>
        <v>-23.16</v>
      </c>
      <c r="AP64">
        <f>MIN('Data #1'!E64,'Data #2'!E64,'Data #3'!E64,'Data #4'!E64,'Data #5'!E64)</f>
        <v>-24.67</v>
      </c>
      <c r="AQ64">
        <f>MIN('Data #1'!F64,'Data #2'!F64,'Data #3'!F64,'Data #4'!F64,'Data #5'!F64)</f>
        <v>-16.190000000000001</v>
      </c>
      <c r="AR64">
        <f>MIN('Data #1'!G64,'Data #2'!G64,'Data #3'!G64,'Data #4'!G64,'Data #5'!G64)</f>
        <v>-15.92</v>
      </c>
      <c r="AS64">
        <f>MIN('Data #1'!H64,'Data #2'!H64,'Data #3'!H64,'Data #4'!H64,'Data #5'!H64)</f>
        <v>-18.14</v>
      </c>
      <c r="AT64">
        <f t="shared" si="4"/>
        <v>0</v>
      </c>
      <c r="AU64">
        <f t="shared" si="5"/>
        <v>0</v>
      </c>
      <c r="AV64">
        <f t="shared" si="6"/>
        <v>0</v>
      </c>
      <c r="AW64">
        <f t="shared" si="7"/>
        <v>0</v>
      </c>
      <c r="AX64">
        <f t="shared" si="8"/>
        <v>0</v>
      </c>
      <c r="AY64">
        <f t="shared" si="9"/>
        <v>0</v>
      </c>
      <c r="AZ64">
        <v>4.3411000000000008</v>
      </c>
      <c r="BA64">
        <v>4.8541000000000007</v>
      </c>
      <c r="BB64">
        <v>5.702399999999999</v>
      </c>
      <c r="BC64">
        <v>1.5887999999999991</v>
      </c>
      <c r="BD64">
        <v>2.0390999999999995</v>
      </c>
      <c r="BE64">
        <v>1.4538000000000002</v>
      </c>
      <c r="BF64">
        <f t="shared" si="10"/>
        <v>-4.3411000000000008</v>
      </c>
      <c r="BG64">
        <f t="shared" si="11"/>
        <v>-4.8541000000000007</v>
      </c>
      <c r="BH64">
        <f t="shared" si="12"/>
        <v>-5.702399999999999</v>
      </c>
      <c r="BI64">
        <f t="shared" si="13"/>
        <v>-1.5887999999999991</v>
      </c>
      <c r="BJ64">
        <f t="shared" si="14"/>
        <v>-2.0390999999999995</v>
      </c>
      <c r="BK64">
        <f t="shared" si="15"/>
        <v>-1.4538000000000002</v>
      </c>
    </row>
    <row r="65" spans="2:63">
      <c r="B65" s="19">
        <v>3000</v>
      </c>
      <c r="C65" s="27">
        <f>+AVERAGE('Data #1'!W65,'Data #2'!W65,'Data #3'!W65,'Data #4'!W65,'Data #5'!W65)</f>
        <v>33.691333333333333</v>
      </c>
      <c r="D65" s="27">
        <f>+C65+STDEV('Data #1'!R65:T65,'Data #2'!R65:T65,'Data #3'!R65:T65,'Data #4'!R65:T65,'Data #5'!R65:T65)</f>
        <v>62.035741919423778</v>
      </c>
      <c r="E65" s="27">
        <f>+C65-STDEV('Data #1'!R65:T65,'Data #2'!R65:T65,'Data #3'!R65:T65,'Data #4'!R65:T65,'Data #5'!R65:T65)</f>
        <v>5.3469247472428876</v>
      </c>
      <c r="F65" s="27">
        <f>+MIN('Data #1'!R65:T65,'Data #2'!R65:T65,'Data #3'!R65:T65,'Data #4'!R65:T65,'Data #5'!R65:T65)</f>
        <v>20</v>
      </c>
      <c r="G65" s="27">
        <f>+MAX('Data #1'!R65:T65,'Data #2'!R65:T65,'Data #3'!R65:T65,'Data #4'!R65:T65,'Data #5'!R65:T65)</f>
        <v>88.919999999999987</v>
      </c>
      <c r="I65" s="19">
        <v>3000</v>
      </c>
      <c r="J65" s="27">
        <f>+AVERAGE('Data #1'!X65,'Data #2'!X65,'Data #3'!X65,'Data #4'!X65,'Data #5'!X65)</f>
        <v>29.445999999999998</v>
      </c>
      <c r="K65" s="27">
        <f t="shared" si="0"/>
        <v>39.445999999999998</v>
      </c>
      <c r="O65" s="20">
        <v>3000</v>
      </c>
      <c r="P65" s="28">
        <f>+AVERAGE('Data #1'!AH65,'Data #2'!AH65,'Data #3'!AH65,'Data #4'!AH65,'Data #5'!AH65)</f>
        <v>32.444000000000003</v>
      </c>
      <c r="Q65" s="28">
        <f>+P65+STDEV('Data #1'!AC65:AE65,'Data #2'!AC65:AE65,'Data #3'!AC65:AE65,'Data #4'!AC65:AE65,'Data #5'!AC65:AE65)</f>
        <v>58.210385854442222</v>
      </c>
      <c r="R65" s="28">
        <f>+P65-STDEV('Data #1'!AC65:AE65,'Data #2'!AC65:AE65,'Data #3'!AC65:AE65,'Data #4'!AC65:AE65,'Data #5'!AC65:AE65)</f>
        <v>6.6776141455577793</v>
      </c>
      <c r="S65" s="28">
        <f>+MIN('Data #1'!AC65:AE65,'Data #2'!AC65:AE65,'Data #3'!AC65:AE65,'Data #4'!AC65:AE65,'Data #5'!AC65:AE65)</f>
        <v>20</v>
      </c>
      <c r="T65" s="28">
        <f>+MAX('Data #1'!AC65:AE65,'Data #2'!AC65:AE65,'Data #3'!AC65:AE65,'Data #4'!AC65:AE65,'Data #5'!AC65:AE65)</f>
        <v>83.640000000000015</v>
      </c>
      <c r="V65" s="20">
        <v>3000</v>
      </c>
      <c r="W65" s="28">
        <f>+AVERAGE('Data #1'!AI65,'Data #2'!AI65,'Data #3'!AI65,'Data #4'!AI65,'Data #4'!AI65)</f>
        <v>29.286000000000001</v>
      </c>
      <c r="X65" s="28">
        <f t="shared" si="1"/>
        <v>39.286000000000001</v>
      </c>
      <c r="AB65" s="21">
        <v>3000</v>
      </c>
      <c r="AC65" s="10">
        <v>-10</v>
      </c>
      <c r="AD65" s="10">
        <v>10</v>
      </c>
      <c r="AH65">
        <f>MAX('Data #1'!C65,'Data #2'!C65,'Data #3'!C65,'Data #4'!C65,'Data #5'!C65)</f>
        <v>-21.69</v>
      </c>
      <c r="AI65">
        <f>MAX('Data #1'!D65,'Data #2'!D65,'Data #3'!D65,'Data #4'!D65,'Data #5'!D65)</f>
        <v>-20.68</v>
      </c>
      <c r="AJ65">
        <f>MAX('Data #1'!E65,'Data #2'!E65,'Data #3'!E65,'Data #4'!E65,'Data #5'!E65)</f>
        <v>-21.31</v>
      </c>
      <c r="AK65">
        <f>MAX('Data #1'!F65,'Data #2'!F65,'Data #3'!F65,'Data #4'!F65,'Data #5'!F65)</f>
        <v>-15.57</v>
      </c>
      <c r="AL65">
        <f>MAX('Data #1'!G65,'Data #2'!G65,'Data #3'!G65,'Data #4'!G65,'Data #5'!G65)</f>
        <v>-14.59</v>
      </c>
      <c r="AM65">
        <f>MAX('Data #1'!H65,'Data #2'!H65,'Data #3'!H65,'Data #4'!H65,'Data #5'!H65)</f>
        <v>-17.21</v>
      </c>
      <c r="AN65">
        <f>MIN('Data #1'!C65,'Data #2'!C65,'Data #3'!C65,'Data #4'!C65,'Data #5'!C65)</f>
        <v>-21.69</v>
      </c>
      <c r="AO65">
        <f>MIN('Data #1'!D65,'Data #2'!D65,'Data #3'!D65,'Data #4'!D65,'Data #5'!D65)</f>
        <v>-20.68</v>
      </c>
      <c r="AP65">
        <f>MIN('Data #1'!E65,'Data #2'!E65,'Data #3'!E65,'Data #4'!E65,'Data #5'!E65)</f>
        <v>-21.31</v>
      </c>
      <c r="AQ65">
        <f>MIN('Data #1'!F65,'Data #2'!F65,'Data #3'!F65,'Data #4'!F65,'Data #5'!F65)</f>
        <v>-15.57</v>
      </c>
      <c r="AR65">
        <f>MIN('Data #1'!G65,'Data #2'!G65,'Data #3'!G65,'Data #4'!G65,'Data #5'!G65)</f>
        <v>-14.59</v>
      </c>
      <c r="AS65">
        <f>MIN('Data #1'!H65,'Data #2'!H65,'Data #3'!H65,'Data #4'!H65,'Data #5'!H65)</f>
        <v>-17.21</v>
      </c>
      <c r="AT65">
        <f t="shared" si="4"/>
        <v>0</v>
      </c>
      <c r="AU65">
        <f t="shared" si="5"/>
        <v>0</v>
      </c>
      <c r="AV65">
        <f t="shared" si="6"/>
        <v>0</v>
      </c>
      <c r="AW65">
        <f t="shared" si="7"/>
        <v>0</v>
      </c>
      <c r="AX65">
        <f t="shared" si="8"/>
        <v>0</v>
      </c>
      <c r="AY65">
        <f t="shared" si="9"/>
        <v>0</v>
      </c>
      <c r="AZ65">
        <v>9.0625</v>
      </c>
      <c r="BA65">
        <v>6.7865999999999991</v>
      </c>
      <c r="BB65">
        <v>7.7424999999999997</v>
      </c>
      <c r="BC65">
        <v>2.164299999999999</v>
      </c>
      <c r="BD65">
        <v>2.8991999999999996</v>
      </c>
      <c r="BE65">
        <v>2.2599999999999998</v>
      </c>
      <c r="BF65">
        <f t="shared" si="10"/>
        <v>-9.0625</v>
      </c>
      <c r="BG65">
        <f t="shared" si="11"/>
        <v>-6.7865999999999991</v>
      </c>
      <c r="BH65">
        <f t="shared" si="12"/>
        <v>-7.7424999999999997</v>
      </c>
      <c r="BI65">
        <f t="shared" si="13"/>
        <v>-2.164299999999999</v>
      </c>
      <c r="BJ65">
        <f t="shared" si="14"/>
        <v>-2.8991999999999996</v>
      </c>
      <c r="BK65">
        <f t="shared" si="15"/>
        <v>-2.2599999999999998</v>
      </c>
    </row>
    <row r="66" spans="2:63">
      <c r="B66" s="19">
        <v>3150</v>
      </c>
      <c r="C66" s="27">
        <f>+AVERAGE('Data #1'!W66,'Data #2'!W66,'Data #3'!W66,'Data #4'!W66,'Data #5'!W66)</f>
        <v>33.094666666666662</v>
      </c>
      <c r="D66" s="27">
        <f>+C66+STDEV('Data #1'!R66:T66,'Data #2'!R66:T66,'Data #3'!R66:T66,'Data #4'!R66:T66,'Data #5'!R66:T66)</f>
        <v>60.20545705053587</v>
      </c>
      <c r="E66" s="27">
        <f>+C66-STDEV('Data #1'!R66:T66,'Data #2'!R66:T66,'Data #3'!R66:T66,'Data #4'!R66:T66,'Data #5'!R66:T66)</f>
        <v>5.9838762827974534</v>
      </c>
      <c r="F66" s="27">
        <f>+MIN('Data #1'!R66:T66,'Data #2'!R66:T66,'Data #3'!R66:T66,'Data #4'!R66:T66,'Data #5'!R66:T66)</f>
        <v>20</v>
      </c>
      <c r="G66" s="27">
        <f>+MAX('Data #1'!R66:T66,'Data #2'!R66:T66,'Data #3'!R66:T66,'Data #4'!R66:T66,'Data #5'!R66:T66)</f>
        <v>86.539999999999992</v>
      </c>
      <c r="I66" s="19">
        <v>3150</v>
      </c>
      <c r="J66" s="27">
        <f>+AVERAGE('Data #1'!X66,'Data #2'!X66,'Data #3'!X66,'Data #4'!X66,'Data #5'!X66)</f>
        <v>29.407999999999998</v>
      </c>
      <c r="K66" s="27">
        <f t="shared" si="0"/>
        <v>39.408000000000001</v>
      </c>
      <c r="O66" s="20">
        <v>3150</v>
      </c>
      <c r="P66" s="28">
        <f>+AVERAGE('Data #1'!AH66,'Data #2'!AH66,'Data #3'!AH66,'Data #4'!AH66,'Data #5'!AH66)</f>
        <v>32.226666666666667</v>
      </c>
      <c r="Q66" s="28">
        <f>+P66+STDEV('Data #1'!AC66:AE66,'Data #2'!AC66:AE66,'Data #3'!AC66:AE66,'Data #4'!AC66:AE66,'Data #5'!AC66:AE66)</f>
        <v>57.546095306876282</v>
      </c>
      <c r="R66" s="28">
        <f>+P66-STDEV('Data #1'!AC66:AE66,'Data #2'!AC66:AE66,'Data #3'!AC66:AE66,'Data #4'!AC66:AE66,'Data #5'!AC66:AE66)</f>
        <v>6.9072380264570477</v>
      </c>
      <c r="S66" s="28">
        <f>+MIN('Data #1'!AC66:AE66,'Data #2'!AC66:AE66,'Data #3'!AC66:AE66,'Data #4'!AC66:AE66,'Data #5'!AC66:AE66)</f>
        <v>20</v>
      </c>
      <c r="T66" s="28">
        <f>+MAX('Data #1'!AC66:AE66,'Data #2'!AC66:AE66,'Data #3'!AC66:AE66,'Data #4'!AC66:AE66,'Data #5'!AC66:AE66)</f>
        <v>82.960000000000008</v>
      </c>
      <c r="V66" s="20">
        <v>3150</v>
      </c>
      <c r="W66" s="28">
        <f>+AVERAGE('Data #1'!AI66,'Data #2'!AI66,'Data #3'!AI66,'Data #4'!AI66,'Data #4'!AI66)</f>
        <v>29.224</v>
      </c>
      <c r="X66" s="28">
        <f t="shared" si="1"/>
        <v>39.224000000000004</v>
      </c>
      <c r="AB66" s="21">
        <v>3150</v>
      </c>
      <c r="AC66" s="10">
        <v>-10</v>
      </c>
      <c r="AD66" s="10">
        <v>10</v>
      </c>
      <c r="AH66">
        <f>MAX('Data #1'!C66,'Data #2'!C66,'Data #3'!C66,'Data #4'!C66,'Data #5'!C66)</f>
        <v>-19.5</v>
      </c>
      <c r="AI66">
        <f>MAX('Data #1'!D66,'Data #2'!D66,'Data #3'!D66,'Data #4'!D66,'Data #5'!D66)</f>
        <v>-17.850000000000001</v>
      </c>
      <c r="AJ66">
        <f>MAX('Data #1'!E66,'Data #2'!E66,'Data #3'!E66,'Data #4'!E66,'Data #5'!E66)</f>
        <v>-17.95</v>
      </c>
      <c r="AK66">
        <f>MAX('Data #1'!F66,'Data #2'!F66,'Data #3'!F66,'Data #4'!F66,'Data #5'!F66)</f>
        <v>-14.62</v>
      </c>
      <c r="AL66">
        <f>MAX('Data #1'!G66,'Data #2'!G66,'Data #3'!G66,'Data #4'!G66,'Data #5'!G66)</f>
        <v>-13.58</v>
      </c>
      <c r="AM66">
        <f>MAX('Data #1'!H66,'Data #2'!H66,'Data #3'!H66,'Data #4'!H66,'Data #5'!H66)</f>
        <v>-16.84</v>
      </c>
      <c r="AN66">
        <f>MIN('Data #1'!C66,'Data #2'!C66,'Data #3'!C66,'Data #4'!C66,'Data #5'!C66)</f>
        <v>-19.5</v>
      </c>
      <c r="AO66">
        <f>MIN('Data #1'!D66,'Data #2'!D66,'Data #3'!D66,'Data #4'!D66,'Data #5'!D66)</f>
        <v>-17.850000000000001</v>
      </c>
      <c r="AP66">
        <f>MIN('Data #1'!E66,'Data #2'!E66,'Data #3'!E66,'Data #4'!E66,'Data #5'!E66)</f>
        <v>-17.95</v>
      </c>
      <c r="AQ66">
        <f>MIN('Data #1'!F66,'Data #2'!F66,'Data #3'!F66,'Data #4'!F66,'Data #5'!F66)</f>
        <v>-14.62</v>
      </c>
      <c r="AR66">
        <f>MIN('Data #1'!G66,'Data #2'!G66,'Data #3'!G66,'Data #4'!G66,'Data #5'!G66)</f>
        <v>-13.58</v>
      </c>
      <c r="AS66">
        <f>MIN('Data #1'!H66,'Data #2'!H66,'Data #3'!H66,'Data #4'!H66,'Data #5'!H66)</f>
        <v>-16.84</v>
      </c>
      <c r="AT66">
        <f t="shared" si="4"/>
        <v>0</v>
      </c>
      <c r="AU66">
        <f t="shared" si="5"/>
        <v>0</v>
      </c>
      <c r="AV66">
        <f t="shared" si="6"/>
        <v>0</v>
      </c>
      <c r="AW66">
        <f t="shared" si="7"/>
        <v>0</v>
      </c>
      <c r="AX66">
        <f t="shared" si="8"/>
        <v>0</v>
      </c>
      <c r="AY66">
        <f t="shared" si="9"/>
        <v>0</v>
      </c>
      <c r="AZ66">
        <v>5.4632999999999994</v>
      </c>
      <c r="BA66">
        <v>4.6471</v>
      </c>
      <c r="BB66">
        <v>6.9262000000000006</v>
      </c>
      <c r="BC66">
        <v>1.4081000000000001</v>
      </c>
      <c r="BD66">
        <v>2.6432000000000002</v>
      </c>
      <c r="BE66">
        <v>1.7534000000000001</v>
      </c>
      <c r="BF66">
        <f t="shared" si="10"/>
        <v>-5.4632999999999994</v>
      </c>
      <c r="BG66">
        <f t="shared" si="11"/>
        <v>-4.6471</v>
      </c>
      <c r="BH66">
        <f t="shared" si="12"/>
        <v>-6.9262000000000006</v>
      </c>
      <c r="BI66">
        <f t="shared" si="13"/>
        <v>-1.4081000000000001</v>
      </c>
      <c r="BJ66">
        <f t="shared" si="14"/>
        <v>-2.6432000000000002</v>
      </c>
      <c r="BK66">
        <f t="shared" si="15"/>
        <v>-1.7534000000000001</v>
      </c>
    </row>
    <row r="67" spans="2:63">
      <c r="B67" s="19">
        <v>3350</v>
      </c>
      <c r="C67" s="27">
        <f>+AVERAGE('Data #1'!W67,'Data #2'!W67,'Data #3'!W67,'Data #4'!W67,'Data #5'!W67)</f>
        <v>32.481333333333332</v>
      </c>
      <c r="D67" s="27">
        <f>+C67+STDEV('Data #1'!R67:T67,'Data #2'!R67:T67,'Data #3'!R67:T67,'Data #4'!R67:T67,'Data #5'!R67:T67)</f>
        <v>58.327699993345902</v>
      </c>
      <c r="E67" s="27">
        <f>+C67-STDEV('Data #1'!R67:T67,'Data #2'!R67:T67,'Data #3'!R67:T67,'Data #4'!R67:T67,'Data #5'!R67:T67)</f>
        <v>6.6349666733207613</v>
      </c>
      <c r="F67" s="27">
        <f>+MIN('Data #1'!R67:T67,'Data #2'!R67:T67,'Data #3'!R67:T67,'Data #4'!R67:T67,'Data #5'!R67:T67)</f>
        <v>20</v>
      </c>
      <c r="G67" s="27">
        <f>+MAX('Data #1'!R67:T67,'Data #2'!R67:T67,'Data #3'!R67:T67,'Data #4'!R67:T67,'Data #5'!R67:T67)</f>
        <v>83.539999999999992</v>
      </c>
      <c r="I67" s="19">
        <v>3350</v>
      </c>
      <c r="J67" s="27">
        <f>+AVERAGE('Data #1'!X67,'Data #2'!X67,'Data #3'!X67,'Data #4'!X67,'Data #5'!X67)</f>
        <v>29.594000000000001</v>
      </c>
      <c r="K67" s="27">
        <f t="shared" si="0"/>
        <v>39.594000000000001</v>
      </c>
      <c r="O67" s="20">
        <v>3350</v>
      </c>
      <c r="P67" s="28">
        <f>+AVERAGE('Data #1'!AH67,'Data #2'!AH67,'Data #3'!AH67,'Data #4'!AH67,'Data #5'!AH67)</f>
        <v>31.974</v>
      </c>
      <c r="Q67" s="28">
        <f>+P67+STDEV('Data #1'!AC67:AE67,'Data #2'!AC67:AE67,'Data #3'!AC67:AE67,'Data #4'!AC67:AE67,'Data #5'!AC67:AE67)</f>
        <v>56.768366237975457</v>
      </c>
      <c r="R67" s="28">
        <f>+P67-STDEV('Data #1'!AC67:AE67,'Data #2'!AC67:AE67,'Data #3'!AC67:AE67,'Data #4'!AC67:AE67,'Data #5'!AC67:AE67)</f>
        <v>7.1796337620245438</v>
      </c>
      <c r="S67" s="28">
        <f>+MIN('Data #1'!AC67:AE67,'Data #2'!AC67:AE67,'Data #3'!AC67:AE67,'Data #4'!AC67:AE67,'Data #5'!AC67:AE67)</f>
        <v>20</v>
      </c>
      <c r="T67" s="28">
        <f>+MAX('Data #1'!AC67:AE67,'Data #2'!AC67:AE67,'Data #3'!AC67:AE67,'Data #4'!AC67:AE67,'Data #5'!AC67:AE67)</f>
        <v>81.2</v>
      </c>
      <c r="V67" s="20">
        <v>3350</v>
      </c>
      <c r="W67" s="28">
        <f>+AVERAGE('Data #1'!AI67,'Data #2'!AI67,'Data #3'!AI67,'Data #4'!AI67,'Data #4'!AI67)</f>
        <v>29.434000000000005</v>
      </c>
      <c r="X67" s="28">
        <f t="shared" si="1"/>
        <v>39.434000000000005</v>
      </c>
      <c r="AB67" s="21">
        <v>3350</v>
      </c>
      <c r="AC67" s="10">
        <v>-10</v>
      </c>
      <c r="AD67" s="10">
        <v>10</v>
      </c>
      <c r="AH67">
        <f>MAX('Data #1'!C67,'Data #2'!C67,'Data #3'!C67,'Data #4'!C67,'Data #5'!C67)</f>
        <v>-15.2</v>
      </c>
      <c r="AI67">
        <f>MAX('Data #1'!D67,'Data #2'!D67,'Data #3'!D67,'Data #4'!D67,'Data #5'!D67)</f>
        <v>-12.54</v>
      </c>
      <c r="AJ67">
        <f>MAX('Data #1'!E67,'Data #2'!E67,'Data #3'!E67,'Data #4'!E67,'Data #5'!E67)</f>
        <v>-15.57</v>
      </c>
      <c r="AK67">
        <f>MAX('Data #1'!F67,'Data #2'!F67,'Data #3'!F67,'Data #4'!F67,'Data #5'!F67)</f>
        <v>-12.87</v>
      </c>
      <c r="AL67">
        <f>MAX('Data #1'!G67,'Data #2'!G67,'Data #3'!G67,'Data #4'!G67,'Data #5'!G67)</f>
        <v>-11.2</v>
      </c>
      <c r="AM67">
        <f>MAX('Data #1'!H67,'Data #2'!H67,'Data #3'!H67,'Data #4'!H67,'Data #5'!H67)</f>
        <v>-14.03</v>
      </c>
      <c r="AN67">
        <f>MIN('Data #1'!C67,'Data #2'!C67,'Data #3'!C67,'Data #4'!C67,'Data #5'!C67)</f>
        <v>-15.2</v>
      </c>
      <c r="AO67">
        <f>MIN('Data #1'!D67,'Data #2'!D67,'Data #3'!D67,'Data #4'!D67,'Data #5'!D67)</f>
        <v>-12.54</v>
      </c>
      <c r="AP67">
        <f>MIN('Data #1'!E67,'Data #2'!E67,'Data #3'!E67,'Data #4'!E67,'Data #5'!E67)</f>
        <v>-15.57</v>
      </c>
      <c r="AQ67">
        <f>MIN('Data #1'!F67,'Data #2'!F67,'Data #3'!F67,'Data #4'!F67,'Data #5'!F67)</f>
        <v>-12.87</v>
      </c>
      <c r="AR67">
        <f>MIN('Data #1'!G67,'Data #2'!G67,'Data #3'!G67,'Data #4'!G67,'Data #5'!G67)</f>
        <v>-11.2</v>
      </c>
      <c r="AS67">
        <f>MIN('Data #1'!H67,'Data #2'!H67,'Data #3'!H67,'Data #4'!H67,'Data #5'!H67)</f>
        <v>-14.03</v>
      </c>
      <c r="AT67">
        <f t="shared" si="4"/>
        <v>0</v>
      </c>
      <c r="AU67">
        <f t="shared" si="5"/>
        <v>0</v>
      </c>
      <c r="AV67">
        <f t="shared" si="6"/>
        <v>0</v>
      </c>
      <c r="AW67">
        <f t="shared" si="7"/>
        <v>0</v>
      </c>
      <c r="AX67">
        <f t="shared" si="8"/>
        <v>0</v>
      </c>
      <c r="AY67">
        <f t="shared" si="9"/>
        <v>0</v>
      </c>
      <c r="AZ67">
        <v>4.5159000000000002</v>
      </c>
      <c r="BA67">
        <v>3.3724999999999996</v>
      </c>
      <c r="BB67">
        <v>5.8449</v>
      </c>
      <c r="BC67">
        <v>1.2423999999999999</v>
      </c>
      <c r="BD67">
        <v>1.6405000000000003</v>
      </c>
      <c r="BE67">
        <v>1.7294999999999998</v>
      </c>
      <c r="BF67">
        <f t="shared" si="10"/>
        <v>-4.5159000000000002</v>
      </c>
      <c r="BG67">
        <f t="shared" si="11"/>
        <v>-3.3724999999999996</v>
      </c>
      <c r="BH67">
        <f t="shared" si="12"/>
        <v>-5.8449</v>
      </c>
      <c r="BI67">
        <f t="shared" si="13"/>
        <v>-1.2423999999999999</v>
      </c>
      <c r="BJ67">
        <f t="shared" si="14"/>
        <v>-1.6405000000000003</v>
      </c>
      <c r="BK67">
        <f t="shared" si="15"/>
        <v>-1.7294999999999998</v>
      </c>
    </row>
    <row r="68" spans="2:63">
      <c r="B68" s="19">
        <v>3550</v>
      </c>
      <c r="C68" s="27">
        <f>+AVERAGE('Data #1'!W68,'Data #2'!W68,'Data #3'!W68,'Data #4'!W68,'Data #5'!W68)</f>
        <v>32.126666666666665</v>
      </c>
      <c r="D68" s="27">
        <f>+C68+STDEV('Data #1'!R68:T68,'Data #2'!R68:T68,'Data #3'!R68:T68,'Data #4'!R68:T68,'Data #5'!R68:T68)</f>
        <v>57.247157922857909</v>
      </c>
      <c r="E68" s="27">
        <f>+C68-STDEV('Data #1'!R68:T68,'Data #2'!R68:T68,'Data #3'!R68:T68,'Data #4'!R68:T68,'Data #5'!R68:T68)</f>
        <v>7.0061754104754215</v>
      </c>
      <c r="F68" s="27">
        <f>+MIN('Data #1'!R68:T68,'Data #2'!R68:T68,'Data #3'!R68:T68,'Data #4'!R68:T68,'Data #5'!R68:T68)</f>
        <v>20</v>
      </c>
      <c r="G68" s="27">
        <f>+MAX('Data #1'!R68:T68,'Data #2'!R68:T68,'Data #3'!R68:T68,'Data #4'!R68:T68,'Data #5'!R68:T68)</f>
        <v>82.72999999999999</v>
      </c>
      <c r="I68" s="19">
        <v>3550</v>
      </c>
      <c r="J68" s="27">
        <f>+AVERAGE('Data #1'!X68,'Data #2'!X68,'Data #3'!X68,'Data #4'!X68,'Data #5'!X68)</f>
        <v>30.095999999999997</v>
      </c>
      <c r="K68" s="27">
        <f t="shared" si="0"/>
        <v>40.095999999999997</v>
      </c>
      <c r="O68" s="20">
        <v>3550</v>
      </c>
      <c r="P68" s="28">
        <f>+AVERAGE('Data #1'!AH68,'Data #2'!AH68,'Data #3'!AH68,'Data #4'!AH68,'Data #5'!AH68)</f>
        <v>31.929333333333329</v>
      </c>
      <c r="Q68" s="28">
        <f>+P68+STDEV('Data #1'!AC68:AE68,'Data #2'!AC68:AE68,'Data #3'!AC68:AE68,'Data #4'!AC68:AE68,'Data #5'!AC68:AE68)</f>
        <v>56.626177685444006</v>
      </c>
      <c r="R68" s="28">
        <f>+P68-STDEV('Data #1'!AC68:AE68,'Data #2'!AC68:AE68,'Data #3'!AC68:AE68,'Data #4'!AC68:AE68,'Data #5'!AC68:AE68)</f>
        <v>7.2324889812226552</v>
      </c>
      <c r="S68" s="28">
        <f>+MIN('Data #1'!AC68:AE68,'Data #2'!AC68:AE68,'Data #3'!AC68:AE68,'Data #4'!AC68:AE68,'Data #5'!AC68:AE68)</f>
        <v>20</v>
      </c>
      <c r="T68" s="28">
        <f>+MAX('Data #1'!AC68:AE68,'Data #2'!AC68:AE68,'Data #3'!AC68:AE68,'Data #4'!AC68:AE68,'Data #5'!AC68:AE68)</f>
        <v>80.22</v>
      </c>
      <c r="V68" s="20">
        <v>3550</v>
      </c>
      <c r="W68" s="28">
        <f>+AVERAGE('Data #1'!AI68,'Data #2'!AI68,'Data #3'!AI68,'Data #4'!AI68,'Data #4'!AI68)</f>
        <v>29.907999999999998</v>
      </c>
      <c r="X68" s="28">
        <f t="shared" si="1"/>
        <v>39.908000000000001</v>
      </c>
      <c r="AB68" s="21">
        <v>3550</v>
      </c>
      <c r="AC68" s="10">
        <v>-10</v>
      </c>
      <c r="AD68" s="10">
        <v>10</v>
      </c>
      <c r="AH68">
        <f>MAX('Data #1'!C68,'Data #2'!C68,'Data #3'!C68,'Data #4'!C68,'Data #5'!C68)</f>
        <v>-10.62</v>
      </c>
      <c r="AI68">
        <f>MAX('Data #1'!D68,'Data #2'!D68,'Data #3'!D68,'Data #4'!D68,'Data #5'!D68)</f>
        <v>-7.59</v>
      </c>
      <c r="AJ68">
        <f>MAX('Data #1'!E68,'Data #2'!E68,'Data #3'!E68,'Data #4'!E68,'Data #5'!E68)</f>
        <v>-12.25</v>
      </c>
      <c r="AK68">
        <f>MAX('Data #1'!F68,'Data #2'!F68,'Data #3'!F68,'Data #4'!F68,'Data #5'!F68)</f>
        <v>-10.68</v>
      </c>
      <c r="AL68">
        <f>MAX('Data #1'!G68,'Data #2'!G68,'Data #3'!G68,'Data #4'!G68,'Data #5'!G68)</f>
        <v>-9.67</v>
      </c>
      <c r="AM68">
        <f>MAX('Data #1'!H68,'Data #2'!H68,'Data #3'!H68,'Data #4'!H68,'Data #5'!H68)</f>
        <v>-9.9700000000000006</v>
      </c>
      <c r="AN68">
        <f>MIN('Data #1'!C68,'Data #2'!C68,'Data #3'!C68,'Data #4'!C68,'Data #5'!C68)</f>
        <v>-10.62</v>
      </c>
      <c r="AO68">
        <f>MIN('Data #1'!D68,'Data #2'!D68,'Data #3'!D68,'Data #4'!D68,'Data #5'!D68)</f>
        <v>-7.59</v>
      </c>
      <c r="AP68">
        <f>MIN('Data #1'!E68,'Data #2'!E68,'Data #3'!E68,'Data #4'!E68,'Data #5'!E68)</f>
        <v>-12.25</v>
      </c>
      <c r="AQ68">
        <f>MIN('Data #1'!F68,'Data #2'!F68,'Data #3'!F68,'Data #4'!F68,'Data #5'!F68)</f>
        <v>-10.68</v>
      </c>
      <c r="AR68">
        <f>MIN('Data #1'!G68,'Data #2'!G68,'Data #3'!G68,'Data #4'!G68,'Data #5'!G68)</f>
        <v>-9.67</v>
      </c>
      <c r="AS68">
        <f>MIN('Data #1'!H68,'Data #2'!H68,'Data #3'!H68,'Data #4'!H68,'Data #5'!H68)</f>
        <v>-9.9700000000000006</v>
      </c>
      <c r="AT68">
        <f t="shared" si="4"/>
        <v>0</v>
      </c>
      <c r="AU68">
        <f t="shared" si="5"/>
        <v>0</v>
      </c>
      <c r="AV68">
        <f t="shared" si="6"/>
        <v>0</v>
      </c>
      <c r="AW68">
        <f t="shared" si="7"/>
        <v>0</v>
      </c>
      <c r="AX68">
        <f t="shared" si="8"/>
        <v>0</v>
      </c>
      <c r="AY68">
        <f t="shared" si="9"/>
        <v>0</v>
      </c>
      <c r="AZ68">
        <v>7.4280999999999988</v>
      </c>
      <c r="BA68">
        <v>5.4657999999999998</v>
      </c>
      <c r="BB68">
        <v>15.336100000000002</v>
      </c>
      <c r="BC68">
        <v>2.9859999999999998</v>
      </c>
      <c r="BD68">
        <v>2.7981999999999996</v>
      </c>
      <c r="BE68">
        <v>3.9002999999999997</v>
      </c>
      <c r="BF68">
        <f t="shared" si="10"/>
        <v>-7.4280999999999988</v>
      </c>
      <c r="BG68">
        <f t="shared" si="11"/>
        <v>-5.4657999999999998</v>
      </c>
      <c r="BH68">
        <f t="shared" si="12"/>
        <v>-15.336100000000002</v>
      </c>
      <c r="BI68">
        <f t="shared" si="13"/>
        <v>-2.9859999999999998</v>
      </c>
      <c r="BJ68">
        <f t="shared" si="14"/>
        <v>-2.7981999999999996</v>
      </c>
      <c r="BK68">
        <f t="shared" si="15"/>
        <v>-3.9002999999999997</v>
      </c>
    </row>
    <row r="69" spans="2:63">
      <c r="B69" s="19">
        <v>3750</v>
      </c>
      <c r="C69" s="27">
        <f>+AVERAGE('Data #1'!W69,'Data #2'!W69,'Data #3'!W69,'Data #4'!W69,'Data #5'!W69)</f>
        <v>32.112666666666669</v>
      </c>
      <c r="D69" s="27">
        <f>+C69+STDEV('Data #1'!R69:T69,'Data #2'!R69:T69,'Data #3'!R69:T69,'Data #4'!R69:T69,'Data #5'!R69:T69)</f>
        <v>57.216057862355939</v>
      </c>
      <c r="E69" s="27">
        <f>+C69-STDEV('Data #1'!R69:T69,'Data #2'!R69:T69,'Data #3'!R69:T69,'Data #4'!R69:T69,'Data #5'!R69:T69)</f>
        <v>7.0092754709773999</v>
      </c>
      <c r="F69" s="27">
        <f>+MIN('Data #1'!R69:T69,'Data #2'!R69:T69,'Data #3'!R69:T69,'Data #4'!R69:T69,'Data #5'!R69:T69)</f>
        <v>20</v>
      </c>
      <c r="G69" s="27">
        <f>+MAX('Data #1'!R69:T69,'Data #2'!R69:T69,'Data #3'!R69:T69,'Data #4'!R69:T69,'Data #5'!R69:T69)</f>
        <v>84.17</v>
      </c>
      <c r="I69" s="19">
        <v>3750</v>
      </c>
      <c r="J69" s="27">
        <f>+AVERAGE('Data #1'!X69,'Data #2'!X69,'Data #3'!X69,'Data #4'!X69,'Data #5'!X69)</f>
        <v>30.122000000000003</v>
      </c>
      <c r="K69" s="27">
        <f t="shared" si="0"/>
        <v>40.122</v>
      </c>
      <c r="O69" s="20">
        <v>3750</v>
      </c>
      <c r="P69" s="28">
        <f>+AVERAGE('Data #1'!AH69,'Data #2'!AH69,'Data #3'!AH69,'Data #4'!AH69,'Data #5'!AH69)</f>
        <v>32.251333333333335</v>
      </c>
      <c r="Q69" s="28">
        <f>+P69+STDEV('Data #1'!AC69:AE69,'Data #2'!AC69:AE69,'Data #3'!AC69:AE69,'Data #4'!AC69:AE69,'Data #5'!AC69:AE69)</f>
        <v>57.620497649393059</v>
      </c>
      <c r="R69" s="28">
        <f>+P69-STDEV('Data #1'!AC69:AE69,'Data #2'!AC69:AE69,'Data #3'!AC69:AE69,'Data #4'!AC69:AE69,'Data #5'!AC69:AE69)</f>
        <v>6.8821690172736112</v>
      </c>
      <c r="S69" s="28">
        <f>+MIN('Data #1'!AC69:AE69,'Data #2'!AC69:AE69,'Data #3'!AC69:AE69,'Data #4'!AC69:AE69,'Data #5'!AC69:AE69)</f>
        <v>20</v>
      </c>
      <c r="T69" s="28">
        <f>+MAX('Data #1'!AC69:AE69,'Data #2'!AC69:AE69,'Data #3'!AC69:AE69,'Data #4'!AC69:AE69,'Data #5'!AC69:AE69)</f>
        <v>82.539999999999992</v>
      </c>
      <c r="V69" s="20">
        <v>3750</v>
      </c>
      <c r="W69" s="28">
        <f>+AVERAGE('Data #1'!AI69,'Data #2'!AI69,'Data #3'!AI69,'Data #4'!AI69,'Data #4'!AI69)</f>
        <v>29.981999999999999</v>
      </c>
      <c r="X69" s="28">
        <f t="shared" si="1"/>
        <v>39.981999999999999</v>
      </c>
      <c r="AB69" s="21">
        <v>3750</v>
      </c>
      <c r="AC69" s="10">
        <v>-10</v>
      </c>
      <c r="AD69" s="10">
        <v>10</v>
      </c>
      <c r="AH69">
        <f>MAX('Data #1'!C69,'Data #2'!C69,'Data #3'!C69,'Data #4'!C69,'Data #5'!C69)</f>
        <v>-8.08</v>
      </c>
      <c r="AI69">
        <f>MAX('Data #1'!D69,'Data #2'!D69,'Data #3'!D69,'Data #4'!D69,'Data #5'!D69)</f>
        <v>-8.2200000000000006</v>
      </c>
      <c r="AJ69">
        <f>MAX('Data #1'!E69,'Data #2'!E69,'Data #3'!E69,'Data #4'!E69,'Data #5'!E69)</f>
        <v>-13.56</v>
      </c>
      <c r="AK69">
        <f>MAX('Data #1'!F69,'Data #2'!F69,'Data #3'!F69,'Data #4'!F69,'Data #5'!F69)</f>
        <v>-12.63</v>
      </c>
      <c r="AL69">
        <f>MAX('Data #1'!G69,'Data #2'!G69,'Data #3'!G69,'Data #4'!G69,'Data #5'!G69)</f>
        <v>-11.74</v>
      </c>
      <c r="AM69">
        <f>MAX('Data #1'!H69,'Data #2'!H69,'Data #3'!H69,'Data #4'!H69,'Data #5'!H69)</f>
        <v>-9.67</v>
      </c>
      <c r="AN69">
        <f>MIN('Data #1'!C69,'Data #2'!C69,'Data #3'!C69,'Data #4'!C69,'Data #5'!C69)</f>
        <v>-8.08</v>
      </c>
      <c r="AO69">
        <f>MIN('Data #1'!D69,'Data #2'!D69,'Data #3'!D69,'Data #4'!D69,'Data #5'!D69)</f>
        <v>-8.2200000000000006</v>
      </c>
      <c r="AP69">
        <f>MIN('Data #1'!E69,'Data #2'!E69,'Data #3'!E69,'Data #4'!E69,'Data #5'!E69)</f>
        <v>-13.56</v>
      </c>
      <c r="AQ69">
        <f>MIN('Data #1'!F69,'Data #2'!F69,'Data #3'!F69,'Data #4'!F69,'Data #5'!F69)</f>
        <v>-12.63</v>
      </c>
      <c r="AR69">
        <f>MIN('Data #1'!G69,'Data #2'!G69,'Data #3'!G69,'Data #4'!G69,'Data #5'!G69)</f>
        <v>-11.74</v>
      </c>
      <c r="AS69">
        <f>MIN('Data #1'!H69,'Data #2'!H69,'Data #3'!H69,'Data #4'!H69,'Data #5'!H69)</f>
        <v>-9.67</v>
      </c>
      <c r="AT69">
        <f t="shared" si="4"/>
        <v>0</v>
      </c>
      <c r="AU69">
        <f t="shared" si="5"/>
        <v>0</v>
      </c>
      <c r="AV69">
        <f t="shared" si="6"/>
        <v>0</v>
      </c>
      <c r="AW69">
        <f t="shared" si="7"/>
        <v>0</v>
      </c>
      <c r="AX69">
        <f t="shared" si="8"/>
        <v>0</v>
      </c>
      <c r="AY69">
        <f t="shared" si="9"/>
        <v>0</v>
      </c>
      <c r="AZ69">
        <v>8.9664000000000001</v>
      </c>
      <c r="BA69">
        <v>10.386200000000001</v>
      </c>
      <c r="BB69">
        <v>13.962100000000001</v>
      </c>
      <c r="BC69">
        <v>4.329600000000001</v>
      </c>
      <c r="BD69">
        <v>5.4657</v>
      </c>
      <c r="BE69">
        <v>6.8049999999999979</v>
      </c>
      <c r="BF69">
        <f t="shared" si="10"/>
        <v>-8.9664000000000001</v>
      </c>
      <c r="BG69">
        <f t="shared" si="11"/>
        <v>-10.386200000000001</v>
      </c>
      <c r="BH69">
        <f t="shared" si="12"/>
        <v>-13.962100000000001</v>
      </c>
      <c r="BI69">
        <f t="shared" si="13"/>
        <v>-4.329600000000001</v>
      </c>
      <c r="BJ69">
        <f t="shared" si="14"/>
        <v>-5.4657</v>
      </c>
      <c r="BK69">
        <f t="shared" si="15"/>
        <v>-6.8049999999999979</v>
      </c>
    </row>
    <row r="70" spans="2:63">
      <c r="B70" s="19">
        <v>4000</v>
      </c>
      <c r="C70" s="27">
        <f>+AVERAGE('Data #1'!W70,'Data #2'!W70,'Data #3'!W70,'Data #4'!W70,'Data #5'!W70)</f>
        <v>32.210666666666668</v>
      </c>
      <c r="D70" s="27">
        <f>+C70+STDEV('Data #1'!R70:T70,'Data #2'!R70:T70,'Data #3'!R70:T70,'Data #4'!R70:T70,'Data #5'!R70:T70)</f>
        <v>57.497461771358502</v>
      </c>
      <c r="E70" s="27">
        <f>+C70-STDEV('Data #1'!R70:T70,'Data #2'!R70:T70,'Data #3'!R70:T70,'Data #4'!R70:T70,'Data #5'!R70:T70)</f>
        <v>6.9238715619748348</v>
      </c>
      <c r="F70" s="27">
        <f>+MIN('Data #1'!R70:T70,'Data #2'!R70:T70,'Data #3'!R70:T70,'Data #4'!R70:T70,'Data #5'!R70:T70)</f>
        <v>20</v>
      </c>
      <c r="G70" s="27">
        <f>+MAX('Data #1'!R70:T70,'Data #2'!R70:T70,'Data #3'!R70:T70,'Data #4'!R70:T70,'Data #5'!R70:T70)</f>
        <v>82.79</v>
      </c>
      <c r="I70" s="19">
        <v>4000</v>
      </c>
      <c r="J70" s="27">
        <f>+AVERAGE('Data #1'!X70,'Data #2'!X70,'Data #3'!X70,'Data #4'!X70,'Data #5'!X70)</f>
        <v>29.186</v>
      </c>
      <c r="K70" s="27">
        <f t="shared" ref="K70:K86" si="16">+J70-$AC70</f>
        <v>39.186</v>
      </c>
      <c r="O70" s="20">
        <v>4000</v>
      </c>
      <c r="P70" s="28">
        <f>+AVERAGE('Data #1'!AH70,'Data #2'!AH70,'Data #3'!AH70,'Data #4'!AH70,'Data #5'!AH70)</f>
        <v>32.446000000000005</v>
      </c>
      <c r="Q70" s="28">
        <f>+P70+STDEV('Data #1'!AC70:AE70,'Data #2'!AC70:AE70,'Data #3'!AC70:AE70,'Data #4'!AC70:AE70,'Data #5'!AC70:AE70)</f>
        <v>58.212766746556092</v>
      </c>
      <c r="R70" s="28">
        <f>+P70-STDEV('Data #1'!AC70:AE70,'Data #2'!AC70:AE70,'Data #3'!AC70:AE70,'Data #4'!AC70:AE70,'Data #5'!AC70:AE70)</f>
        <v>6.6792332534439183</v>
      </c>
      <c r="S70" s="28">
        <f>+MIN('Data #1'!AC70:AE70,'Data #2'!AC70:AE70,'Data #3'!AC70:AE70,'Data #4'!AC70:AE70,'Data #5'!AC70:AE70)</f>
        <v>20</v>
      </c>
      <c r="T70" s="28">
        <f>+MAX('Data #1'!AC70:AE70,'Data #2'!AC70:AE70,'Data #3'!AC70:AE70,'Data #4'!AC70:AE70,'Data #5'!AC70:AE70)</f>
        <v>82.75</v>
      </c>
      <c r="V70" s="20">
        <v>4000</v>
      </c>
      <c r="W70" s="28">
        <f>+AVERAGE('Data #1'!AI70,'Data #2'!AI70,'Data #3'!AI70,'Data #4'!AI70,'Data #4'!AI70)</f>
        <v>29.076000000000001</v>
      </c>
      <c r="X70" s="28">
        <f t="shared" ref="X70:X86" si="17">+W70-$AC70</f>
        <v>39.076000000000001</v>
      </c>
      <c r="AB70" s="21">
        <v>4000</v>
      </c>
      <c r="AC70" s="10">
        <v>-10</v>
      </c>
      <c r="AD70" s="10">
        <v>10</v>
      </c>
      <c r="AH70">
        <f>MAX('Data #1'!C70,'Data #2'!C70,'Data #3'!C70,'Data #4'!C70,'Data #5'!C70)</f>
        <v>-15.08</v>
      </c>
      <c r="AI70">
        <f>MAX('Data #1'!D70,'Data #2'!D70,'Data #3'!D70,'Data #4'!D70,'Data #5'!D70)</f>
        <v>-13.43</v>
      </c>
      <c r="AJ70">
        <f>MAX('Data #1'!E70,'Data #2'!E70,'Data #3'!E70,'Data #4'!E70,'Data #5'!E70)</f>
        <v>-16.86</v>
      </c>
      <c r="AK70">
        <f>MAX('Data #1'!F70,'Data #2'!F70,'Data #3'!F70,'Data #4'!F70,'Data #5'!F70)</f>
        <v>-17.03</v>
      </c>
      <c r="AL70">
        <f>MAX('Data #1'!G70,'Data #2'!G70,'Data #3'!G70,'Data #4'!G70,'Data #5'!G70)</f>
        <v>-17.37</v>
      </c>
      <c r="AM70">
        <f>MAX('Data #1'!H70,'Data #2'!H70,'Data #3'!H70,'Data #4'!H70,'Data #5'!H70)</f>
        <v>-16.149999999999999</v>
      </c>
      <c r="AN70">
        <f>MIN('Data #1'!C70,'Data #2'!C70,'Data #3'!C70,'Data #4'!C70,'Data #5'!C70)</f>
        <v>-15.08</v>
      </c>
      <c r="AO70">
        <f>MIN('Data #1'!D70,'Data #2'!D70,'Data #3'!D70,'Data #4'!D70,'Data #5'!D70)</f>
        <v>-13.43</v>
      </c>
      <c r="AP70">
        <f>MIN('Data #1'!E70,'Data #2'!E70,'Data #3'!E70,'Data #4'!E70,'Data #5'!E70)</f>
        <v>-16.86</v>
      </c>
      <c r="AQ70">
        <f>MIN('Data #1'!F70,'Data #2'!F70,'Data #3'!F70,'Data #4'!F70,'Data #5'!F70)</f>
        <v>-17.03</v>
      </c>
      <c r="AR70">
        <f>MIN('Data #1'!G70,'Data #2'!G70,'Data #3'!G70,'Data #4'!G70,'Data #5'!G70)</f>
        <v>-17.37</v>
      </c>
      <c r="AS70">
        <f>MIN('Data #1'!H70,'Data #2'!H70,'Data #3'!H70,'Data #4'!H70,'Data #5'!H70)</f>
        <v>-16.149999999999999</v>
      </c>
      <c r="AT70">
        <f t="shared" si="4"/>
        <v>0</v>
      </c>
      <c r="AU70">
        <f t="shared" si="5"/>
        <v>0</v>
      </c>
      <c r="AV70">
        <f t="shared" si="6"/>
        <v>0</v>
      </c>
      <c r="AW70">
        <f t="shared" si="7"/>
        <v>0</v>
      </c>
      <c r="AX70">
        <f t="shared" si="8"/>
        <v>0</v>
      </c>
      <c r="AY70">
        <f t="shared" si="9"/>
        <v>0</v>
      </c>
      <c r="AZ70">
        <v>9.3605</v>
      </c>
      <c r="BA70">
        <v>10.365700000000002</v>
      </c>
      <c r="BB70">
        <v>11.261799999999999</v>
      </c>
      <c r="BC70">
        <v>2.4051000000000009</v>
      </c>
      <c r="BD70">
        <v>1.5035999999999987</v>
      </c>
      <c r="BE70">
        <v>3.7618000000000009</v>
      </c>
      <c r="BF70">
        <f t="shared" si="10"/>
        <v>-9.3605</v>
      </c>
      <c r="BG70">
        <f t="shared" si="11"/>
        <v>-10.365700000000002</v>
      </c>
      <c r="BH70">
        <f t="shared" si="12"/>
        <v>-11.261799999999999</v>
      </c>
      <c r="BI70">
        <f t="shared" si="13"/>
        <v>-2.4051000000000009</v>
      </c>
      <c r="BJ70">
        <f t="shared" si="14"/>
        <v>-1.5035999999999987</v>
      </c>
      <c r="BK70">
        <f t="shared" si="15"/>
        <v>-3.7618000000000009</v>
      </c>
    </row>
    <row r="71" spans="2:63">
      <c r="B71" s="19">
        <v>4250</v>
      </c>
      <c r="C71" s="27">
        <f>+AVERAGE('Data #1'!W71,'Data #2'!W71,'Data #3'!W71,'Data #4'!W71,'Data #5'!W71)</f>
        <v>31.738666666666667</v>
      </c>
      <c r="D71" s="27">
        <f>+C71+STDEV('Data #1'!R71:T71,'Data #2'!R71:T71,'Data #3'!R71:T71,'Data #4'!R71:T71,'Data #5'!R71:T71)</f>
        <v>56.047041727440231</v>
      </c>
      <c r="E71" s="27">
        <f>+C71-STDEV('Data #1'!R71:T71,'Data #2'!R71:T71,'Data #3'!R71:T71,'Data #4'!R71:T71,'Data #5'!R71:T71)</f>
        <v>7.4302916058931032</v>
      </c>
      <c r="F71" s="27">
        <f>+MIN('Data #1'!R71:T71,'Data #2'!R71:T71,'Data #3'!R71:T71,'Data #4'!R71:T71,'Data #5'!R71:T71)</f>
        <v>20</v>
      </c>
      <c r="G71" s="27">
        <f>+MAX('Data #1'!R71:T71,'Data #2'!R71:T71,'Data #3'!R71:T71,'Data #4'!R71:T71,'Data #5'!R71:T71)</f>
        <v>80.41</v>
      </c>
      <c r="I71" s="19">
        <v>4250</v>
      </c>
      <c r="J71" s="27">
        <f>+AVERAGE('Data #1'!X71,'Data #2'!X71,'Data #3'!X71,'Data #4'!X71,'Data #5'!X71)</f>
        <v>28.808</v>
      </c>
      <c r="K71" s="27">
        <f t="shared" si="16"/>
        <v>38.808</v>
      </c>
      <c r="O71" s="20">
        <v>4250</v>
      </c>
      <c r="P71" s="28">
        <f>+AVERAGE('Data #1'!AH71,'Data #2'!AH71,'Data #3'!AH71,'Data #4'!AH71,'Data #5'!AH71)</f>
        <v>32.564666666666668</v>
      </c>
      <c r="Q71" s="28">
        <f>+P71+STDEV('Data #1'!AC71:AE71,'Data #2'!AC71:AE71,'Data #3'!AC71:AE71,'Data #4'!AC71:AE71,'Data #5'!AC71:AE71)</f>
        <v>58.642903588521278</v>
      </c>
      <c r="R71" s="28">
        <f>+P71-STDEV('Data #1'!AC71:AE71,'Data #2'!AC71:AE71,'Data #3'!AC71:AE71,'Data #4'!AC71:AE71,'Data #5'!AC71:AE71)</f>
        <v>6.4864297448120567</v>
      </c>
      <c r="S71" s="28">
        <f>+MIN('Data #1'!AC71:AE71,'Data #2'!AC71:AE71,'Data #3'!AC71:AE71,'Data #4'!AC71:AE71,'Data #5'!AC71:AE71)</f>
        <v>20</v>
      </c>
      <c r="T71" s="28">
        <f>+MAX('Data #1'!AC71:AE71,'Data #2'!AC71:AE71,'Data #3'!AC71:AE71,'Data #4'!AC71:AE71,'Data #5'!AC71:AE71)</f>
        <v>88.4</v>
      </c>
      <c r="V71" s="20">
        <v>4250</v>
      </c>
      <c r="W71" s="28">
        <f>+AVERAGE('Data #1'!AI71,'Data #2'!AI71,'Data #3'!AI71,'Data #4'!AI71,'Data #4'!AI71)</f>
        <v>28.76</v>
      </c>
      <c r="X71" s="28">
        <f t="shared" si="17"/>
        <v>38.760000000000005</v>
      </c>
      <c r="AB71" s="21">
        <v>4250</v>
      </c>
      <c r="AC71" s="10">
        <v>-10</v>
      </c>
      <c r="AD71" s="10">
        <v>10</v>
      </c>
      <c r="AH71">
        <f>MAX('Data #1'!C71,'Data #2'!C71,'Data #3'!C71,'Data #4'!C71,'Data #5'!C71)</f>
        <v>-16.37</v>
      </c>
      <c r="AI71">
        <f>MAX('Data #1'!D71,'Data #2'!D71,'Data #3'!D71,'Data #4'!D71,'Data #5'!D71)</f>
        <v>-13.37</v>
      </c>
      <c r="AJ71">
        <f>MAX('Data #1'!E71,'Data #2'!E71,'Data #3'!E71,'Data #4'!E71,'Data #5'!E71)</f>
        <v>-14.22</v>
      </c>
      <c r="AK71">
        <f>MAX('Data #1'!F71,'Data #2'!F71,'Data #3'!F71,'Data #4'!F71,'Data #5'!F71)</f>
        <v>-17.27</v>
      </c>
      <c r="AL71">
        <f>MAX('Data #1'!G71,'Data #2'!G71,'Data #3'!G71,'Data #4'!G71,'Data #5'!G71)</f>
        <v>-15.2</v>
      </c>
      <c r="AM71">
        <f>MAX('Data #1'!H71,'Data #2'!H71,'Data #3'!H71,'Data #4'!H71,'Data #5'!H71)</f>
        <v>-24.6</v>
      </c>
      <c r="AN71">
        <f>MIN('Data #1'!C71,'Data #2'!C71,'Data #3'!C71,'Data #4'!C71,'Data #5'!C71)</f>
        <v>-16.37</v>
      </c>
      <c r="AO71">
        <f>MIN('Data #1'!D71,'Data #2'!D71,'Data #3'!D71,'Data #4'!D71,'Data #5'!D71)</f>
        <v>-13.37</v>
      </c>
      <c r="AP71">
        <f>MIN('Data #1'!E71,'Data #2'!E71,'Data #3'!E71,'Data #4'!E71,'Data #5'!E71)</f>
        <v>-14.22</v>
      </c>
      <c r="AQ71">
        <f>MIN('Data #1'!F71,'Data #2'!F71,'Data #3'!F71,'Data #4'!F71,'Data #5'!F71)</f>
        <v>-17.27</v>
      </c>
      <c r="AR71">
        <f>MIN('Data #1'!G71,'Data #2'!G71,'Data #3'!G71,'Data #4'!G71,'Data #5'!G71)</f>
        <v>-15.2</v>
      </c>
      <c r="AS71">
        <f>MIN('Data #1'!H71,'Data #2'!H71,'Data #3'!H71,'Data #4'!H71,'Data #5'!H71)</f>
        <v>-24.6</v>
      </c>
      <c r="AT71">
        <f t="shared" ref="AT71:AT86" si="18">AH71-AN71</f>
        <v>0</v>
      </c>
      <c r="AU71">
        <f t="shared" ref="AU71:AU86" si="19">AI71-AO71</f>
        <v>0</v>
      </c>
      <c r="AV71">
        <f t="shared" ref="AV71:AV86" si="20">AJ71-AP71</f>
        <v>0</v>
      </c>
      <c r="AW71">
        <f t="shared" ref="AW71:AW86" si="21">AK71-AQ71</f>
        <v>0</v>
      </c>
      <c r="AX71">
        <f t="shared" ref="AX71:AX86" si="22">AL71-AR71</f>
        <v>0</v>
      </c>
      <c r="AY71">
        <f t="shared" ref="AY71:AY86" si="23">AM71-AS71</f>
        <v>0</v>
      </c>
      <c r="AZ71">
        <v>7.0560000000000009</v>
      </c>
      <c r="BA71">
        <v>7.6178999999999988</v>
      </c>
      <c r="BB71">
        <v>8.4783000000000008</v>
      </c>
      <c r="BC71">
        <v>14.0025</v>
      </c>
      <c r="BD71">
        <v>11.6419</v>
      </c>
      <c r="BE71">
        <v>17.411499999999997</v>
      </c>
      <c r="BF71">
        <f t="shared" ref="BF71:BF86" si="24">AT71-AZ71</f>
        <v>-7.0560000000000009</v>
      </c>
      <c r="BG71">
        <f t="shared" ref="BG71:BG86" si="25">AU71-BA71</f>
        <v>-7.6178999999999988</v>
      </c>
      <c r="BH71">
        <f t="shared" ref="BH71:BH86" si="26">AV71-BB71</f>
        <v>-8.4783000000000008</v>
      </c>
      <c r="BI71">
        <f t="shared" ref="BI71:BI86" si="27">AW71-BC71</f>
        <v>-14.0025</v>
      </c>
      <c r="BJ71">
        <f t="shared" ref="BJ71:BJ86" si="28">AX71-BD71</f>
        <v>-11.6419</v>
      </c>
      <c r="BK71">
        <f t="shared" ref="BK71:BK86" si="29">AY71-BE71</f>
        <v>-17.411499999999997</v>
      </c>
    </row>
    <row r="72" spans="2:63">
      <c r="B72" s="19">
        <v>4500</v>
      </c>
      <c r="C72" s="27">
        <f>+AVERAGE('Data #1'!W72,'Data #2'!W72,'Data #3'!W72,'Data #4'!W72,'Data #5'!W72)</f>
        <v>31.911333333333335</v>
      </c>
      <c r="D72" s="27">
        <f>+C72+STDEV('Data #1'!R72:T72,'Data #2'!R72:T72,'Data #3'!R72:T72,'Data #4'!R72:T72,'Data #5'!R72:T72)</f>
        <v>56.573565553780007</v>
      </c>
      <c r="E72" s="27">
        <f>+C72-STDEV('Data #1'!R72:T72,'Data #2'!R72:T72,'Data #3'!R72:T72,'Data #4'!R72:T72,'Data #5'!R72:T72)</f>
        <v>7.2491011128866631</v>
      </c>
      <c r="F72" s="27">
        <f>+MIN('Data #1'!R72:T72,'Data #2'!R72:T72,'Data #3'!R72:T72,'Data #4'!R72:T72,'Data #5'!R72:T72)</f>
        <v>20</v>
      </c>
      <c r="G72" s="27">
        <f>+MAX('Data #1'!R72:T72,'Data #2'!R72:T72,'Data #3'!R72:T72,'Data #4'!R72:T72,'Data #5'!R72:T72)</f>
        <v>80.559999999999988</v>
      </c>
      <c r="I72" s="19">
        <v>4500</v>
      </c>
      <c r="J72" s="27">
        <f>+AVERAGE('Data #1'!X72,'Data #2'!X72,'Data #3'!X72,'Data #4'!X72,'Data #5'!X72)</f>
        <v>29.058</v>
      </c>
      <c r="K72" s="27">
        <f t="shared" si="16"/>
        <v>39.058</v>
      </c>
      <c r="O72" s="20">
        <v>4500</v>
      </c>
      <c r="P72" s="28">
        <f>+AVERAGE('Data #1'!AH72,'Data #2'!AH72,'Data #3'!AH72,'Data #4'!AH72,'Data #5'!AH72)</f>
        <v>33.406666666666659</v>
      </c>
      <c r="Q72" s="28">
        <f>+P72+STDEV('Data #1'!AC72:AE72,'Data #2'!AC72:AE72,'Data #3'!AC72:AE72,'Data #4'!AC72:AE72,'Data #5'!AC72:AE72)</f>
        <v>61.17663571512584</v>
      </c>
      <c r="R72" s="28">
        <f>+P72-STDEV('Data #1'!AC72:AE72,'Data #2'!AC72:AE72,'Data #3'!AC72:AE72,'Data #4'!AC72:AE72,'Data #5'!AC72:AE72)</f>
        <v>5.6366976182074779</v>
      </c>
      <c r="S72" s="28">
        <f>+MIN('Data #1'!AC72:AE72,'Data #2'!AC72:AE72,'Data #3'!AC72:AE72,'Data #4'!AC72:AE72,'Data #5'!AC72:AE72)</f>
        <v>20</v>
      </c>
      <c r="T72" s="28">
        <f>+MAX('Data #1'!AC72:AE72,'Data #2'!AC72:AE72,'Data #3'!AC72:AE72,'Data #4'!AC72:AE72,'Data #5'!AC72:AE72)</f>
        <v>89.64</v>
      </c>
      <c r="V72" s="20">
        <v>4500</v>
      </c>
      <c r="W72" s="28">
        <f>+AVERAGE('Data #1'!AI72,'Data #2'!AI72,'Data #3'!AI72,'Data #4'!AI72,'Data #4'!AI72)</f>
        <v>29.088000000000001</v>
      </c>
      <c r="X72" s="28">
        <f t="shared" si="17"/>
        <v>39.088000000000001</v>
      </c>
      <c r="AB72" s="21">
        <v>4500</v>
      </c>
      <c r="AC72" s="10">
        <v>-10</v>
      </c>
      <c r="AD72" s="10">
        <v>10</v>
      </c>
      <c r="AH72">
        <f>MAX('Data #1'!C72,'Data #2'!C72,'Data #3'!C72,'Data #4'!C72,'Data #5'!C72)</f>
        <v>-15.27</v>
      </c>
      <c r="AI72">
        <f>MAX('Data #1'!D72,'Data #2'!D72,'Data #3'!D72,'Data #4'!D72,'Data #5'!D72)</f>
        <v>-13.11</v>
      </c>
      <c r="AJ72">
        <f>MAX('Data #1'!E72,'Data #2'!E72,'Data #3'!E72,'Data #4'!E72,'Data #5'!E72)</f>
        <v>-14.42</v>
      </c>
      <c r="AK72">
        <f>MAX('Data #1'!F72,'Data #2'!F72,'Data #3'!F72,'Data #4'!F72,'Data #5'!F72)</f>
        <v>-24.2</v>
      </c>
      <c r="AL72">
        <f>MAX('Data #1'!G72,'Data #2'!G72,'Data #3'!G72,'Data #4'!G72,'Data #5'!G72)</f>
        <v>-19.32</v>
      </c>
      <c r="AM72">
        <f>MAX('Data #1'!H72,'Data #2'!H72,'Data #3'!H72,'Data #4'!H72,'Data #5'!H72)</f>
        <v>-21.26</v>
      </c>
      <c r="AN72">
        <f>MIN('Data #1'!C72,'Data #2'!C72,'Data #3'!C72,'Data #4'!C72,'Data #5'!C72)</f>
        <v>-15.27</v>
      </c>
      <c r="AO72">
        <f>MIN('Data #1'!D72,'Data #2'!D72,'Data #3'!D72,'Data #4'!D72,'Data #5'!D72)</f>
        <v>-13.11</v>
      </c>
      <c r="AP72">
        <f>MIN('Data #1'!E72,'Data #2'!E72,'Data #3'!E72,'Data #4'!E72,'Data #5'!E72)</f>
        <v>-14.42</v>
      </c>
      <c r="AQ72">
        <f>MIN('Data #1'!F72,'Data #2'!F72,'Data #3'!F72,'Data #4'!F72,'Data #5'!F72)</f>
        <v>-24.2</v>
      </c>
      <c r="AR72">
        <f>MIN('Data #1'!G72,'Data #2'!G72,'Data #3'!G72,'Data #4'!G72,'Data #5'!G72)</f>
        <v>-19.32</v>
      </c>
      <c r="AS72">
        <f>MIN('Data #1'!H72,'Data #2'!H72,'Data #3'!H72,'Data #4'!H72,'Data #5'!H72)</f>
        <v>-21.26</v>
      </c>
      <c r="AT72">
        <f t="shared" si="18"/>
        <v>0</v>
      </c>
      <c r="AU72">
        <f t="shared" si="19"/>
        <v>0</v>
      </c>
      <c r="AV72">
        <f t="shared" si="20"/>
        <v>0</v>
      </c>
      <c r="AW72">
        <f t="shared" si="21"/>
        <v>0</v>
      </c>
      <c r="AX72">
        <f t="shared" si="22"/>
        <v>0</v>
      </c>
      <c r="AY72">
        <f t="shared" si="23"/>
        <v>0</v>
      </c>
      <c r="AZ72">
        <v>14.7028</v>
      </c>
      <c r="BA72">
        <v>19.471299999999999</v>
      </c>
      <c r="BB72">
        <v>16.393900000000002</v>
      </c>
      <c r="BC72">
        <v>9.0518000000000001</v>
      </c>
      <c r="BD72">
        <v>6.9225999999999992</v>
      </c>
      <c r="BE72">
        <v>11.160300000000001</v>
      </c>
      <c r="BF72">
        <f t="shared" si="24"/>
        <v>-14.7028</v>
      </c>
      <c r="BG72">
        <f t="shared" si="25"/>
        <v>-19.471299999999999</v>
      </c>
      <c r="BH72">
        <f t="shared" si="26"/>
        <v>-16.393900000000002</v>
      </c>
      <c r="BI72">
        <f t="shared" si="27"/>
        <v>-9.0518000000000001</v>
      </c>
      <c r="BJ72">
        <f t="shared" si="28"/>
        <v>-6.9225999999999992</v>
      </c>
      <c r="BK72">
        <f t="shared" si="29"/>
        <v>-11.160300000000001</v>
      </c>
    </row>
    <row r="73" spans="2:63">
      <c r="B73" s="19">
        <v>4750</v>
      </c>
      <c r="C73" s="27">
        <f>+AVERAGE('Data #1'!W73,'Data #2'!W73,'Data #3'!W73,'Data #4'!W73,'Data #5'!W73)</f>
        <v>31.935333333333336</v>
      </c>
      <c r="D73" s="27">
        <f>+C73+STDEV('Data #1'!R73:T73,'Data #2'!R73:T73,'Data #3'!R73:T73,'Data #4'!R73:T73,'Data #5'!R73:T73)</f>
        <v>56.65036544702788</v>
      </c>
      <c r="E73" s="27">
        <f>+C73-STDEV('Data #1'!R73:T73,'Data #2'!R73:T73,'Data #3'!R73:T73,'Data #4'!R73:T73,'Data #5'!R73:T73)</f>
        <v>7.2203012196387917</v>
      </c>
      <c r="F73" s="27">
        <f>+MIN('Data #1'!R73:T73,'Data #2'!R73:T73,'Data #3'!R73:T73,'Data #4'!R73:T73,'Data #5'!R73:T73)</f>
        <v>20</v>
      </c>
      <c r="G73" s="27">
        <f>+MAX('Data #1'!R73:T73,'Data #2'!R73:T73,'Data #3'!R73:T73,'Data #4'!R73:T73,'Data #5'!R73:T73)</f>
        <v>81.34</v>
      </c>
      <c r="I73" s="19">
        <v>4750</v>
      </c>
      <c r="J73" s="27">
        <f>+AVERAGE('Data #1'!X73,'Data #2'!X73,'Data #3'!X73,'Data #4'!X73,'Data #5'!X73)</f>
        <v>29.477999999999998</v>
      </c>
      <c r="K73" s="27">
        <f t="shared" si="16"/>
        <v>39.477999999999994</v>
      </c>
      <c r="O73" s="20">
        <v>4750</v>
      </c>
      <c r="P73" s="28">
        <f>+AVERAGE('Data #1'!AH73,'Data #2'!AH73,'Data #3'!AH73,'Data #4'!AH73,'Data #5'!AH73)</f>
        <v>34.722666666666669</v>
      </c>
      <c r="Q73" s="28">
        <f>+P73+STDEV('Data #1'!AC73:AE73,'Data #2'!AC73:AE73,'Data #3'!AC73:AE73,'Data #4'!AC73:AE73,'Data #5'!AC73:AE73)</f>
        <v>65.240842156661074</v>
      </c>
      <c r="R73" s="28">
        <f>+P73-STDEV('Data #1'!AC73:AE73,'Data #2'!AC73:AE73,'Data #3'!AC73:AE73,'Data #4'!AC73:AE73,'Data #5'!AC73:AE73)</f>
        <v>4.2044911766722635</v>
      </c>
      <c r="S73" s="28">
        <f>+MIN('Data #1'!AC73:AE73,'Data #2'!AC73:AE73,'Data #3'!AC73:AE73,'Data #4'!AC73:AE73,'Data #5'!AC73:AE73)</f>
        <v>20</v>
      </c>
      <c r="T73" s="28">
        <f>+MAX('Data #1'!AC73:AE73,'Data #2'!AC73:AE73,'Data #3'!AC73:AE73,'Data #4'!AC73:AE73,'Data #5'!AC73:AE73)</f>
        <v>96.03</v>
      </c>
      <c r="V73" s="20">
        <v>4750</v>
      </c>
      <c r="W73" s="28">
        <f>+AVERAGE('Data #1'!AI73,'Data #2'!AI73,'Data #3'!AI73,'Data #4'!AI73,'Data #4'!AI73)</f>
        <v>29.492000000000001</v>
      </c>
      <c r="X73" s="28">
        <f t="shared" si="17"/>
        <v>39.492000000000004</v>
      </c>
      <c r="AB73" s="21">
        <v>4750</v>
      </c>
      <c r="AC73" s="10">
        <v>-10</v>
      </c>
      <c r="AD73" s="10">
        <v>10</v>
      </c>
      <c r="AH73">
        <f>MAX('Data #1'!C73,'Data #2'!C73,'Data #3'!C73,'Data #4'!C73,'Data #5'!C73)</f>
        <v>-11.89</v>
      </c>
      <c r="AI73">
        <f>MAX('Data #1'!D73,'Data #2'!D73,'Data #3'!D73,'Data #4'!D73,'Data #5'!D73)</f>
        <v>-11.02</v>
      </c>
      <c r="AJ73">
        <f>MAX('Data #1'!E73,'Data #2'!E73,'Data #3'!E73,'Data #4'!E73,'Data #5'!E73)</f>
        <v>-13.95</v>
      </c>
      <c r="AK73">
        <f>MAX('Data #1'!F73,'Data #2'!F73,'Data #3'!F73,'Data #4'!F73,'Data #5'!F73)</f>
        <v>-21.42</v>
      </c>
      <c r="AL73">
        <f>MAX('Data #1'!G73,'Data #2'!G73,'Data #3'!G73,'Data #4'!G73,'Data #5'!G73)</f>
        <v>-28.57</v>
      </c>
      <c r="AM73">
        <f>MAX('Data #1'!H73,'Data #2'!H73,'Data #3'!H73,'Data #4'!H73,'Data #5'!H73)</f>
        <v>-28.47</v>
      </c>
      <c r="AN73">
        <f>MIN('Data #1'!C73,'Data #2'!C73,'Data #3'!C73,'Data #4'!C73,'Data #5'!C73)</f>
        <v>-11.89</v>
      </c>
      <c r="AO73">
        <f>MIN('Data #1'!D73,'Data #2'!D73,'Data #3'!D73,'Data #4'!D73,'Data #5'!D73)</f>
        <v>-11.02</v>
      </c>
      <c r="AP73">
        <f>MIN('Data #1'!E73,'Data #2'!E73,'Data #3'!E73,'Data #4'!E73,'Data #5'!E73)</f>
        <v>-13.95</v>
      </c>
      <c r="AQ73">
        <f>MIN('Data #1'!F73,'Data #2'!F73,'Data #3'!F73,'Data #4'!F73,'Data #5'!F73)</f>
        <v>-21.42</v>
      </c>
      <c r="AR73">
        <f>MIN('Data #1'!G73,'Data #2'!G73,'Data #3'!G73,'Data #4'!G73,'Data #5'!G73)</f>
        <v>-28.57</v>
      </c>
      <c r="AS73">
        <f>MIN('Data #1'!H73,'Data #2'!H73,'Data #3'!H73,'Data #4'!H73,'Data #5'!H73)</f>
        <v>-28.47</v>
      </c>
      <c r="AT73">
        <f t="shared" si="18"/>
        <v>0</v>
      </c>
      <c r="AU73">
        <f t="shared" si="19"/>
        <v>0</v>
      </c>
      <c r="AV73">
        <f t="shared" si="20"/>
        <v>0</v>
      </c>
      <c r="AW73">
        <f t="shared" si="21"/>
        <v>0</v>
      </c>
      <c r="AX73">
        <f t="shared" si="22"/>
        <v>0</v>
      </c>
      <c r="AY73">
        <f t="shared" si="23"/>
        <v>0</v>
      </c>
      <c r="AZ73">
        <v>4.1471000000000009</v>
      </c>
      <c r="BA73">
        <v>2.870000000000001</v>
      </c>
      <c r="BB73">
        <v>3.9433999999999996</v>
      </c>
      <c r="BC73">
        <v>6.7271999999999981</v>
      </c>
      <c r="BD73">
        <v>8.4262999999999977</v>
      </c>
      <c r="BE73">
        <v>9.0998999999999999</v>
      </c>
      <c r="BF73">
        <f t="shared" si="24"/>
        <v>-4.1471000000000009</v>
      </c>
      <c r="BG73">
        <f t="shared" si="25"/>
        <v>-2.870000000000001</v>
      </c>
      <c r="BH73">
        <f t="shared" si="26"/>
        <v>-3.9433999999999996</v>
      </c>
      <c r="BI73">
        <f t="shared" si="27"/>
        <v>-6.7271999999999981</v>
      </c>
      <c r="BJ73">
        <f t="shared" si="28"/>
        <v>-8.4262999999999977</v>
      </c>
      <c r="BK73">
        <f t="shared" si="29"/>
        <v>-9.0998999999999999</v>
      </c>
    </row>
    <row r="74" spans="2:63">
      <c r="B74" s="19">
        <v>5000</v>
      </c>
      <c r="C74" s="27">
        <f>+AVERAGE('Data #1'!W74,'Data #2'!W74,'Data #3'!W74,'Data #4'!W74,'Data #5'!W74)</f>
        <v>31.929333333333329</v>
      </c>
      <c r="D74" s="27">
        <f>+C74+STDEV('Data #1'!R74:T74,'Data #2'!R74:T74,'Data #3'!R74:T74,'Data #4'!R74:T74,'Data #5'!R74:T74)</f>
        <v>56.634201409618754</v>
      </c>
      <c r="E74" s="27">
        <f>+C74-STDEV('Data #1'!R74:T74,'Data #2'!R74:T74,'Data #3'!R74:T74,'Data #4'!R74:T74,'Data #5'!R74:T74)</f>
        <v>7.2244652570479033</v>
      </c>
      <c r="F74" s="27">
        <f>+MIN('Data #1'!R74:T74,'Data #2'!R74:T74,'Data #3'!R74:T74,'Data #4'!R74:T74,'Data #5'!R74:T74)</f>
        <v>20</v>
      </c>
      <c r="G74" s="27">
        <f>+MAX('Data #1'!R74:T74,'Data #2'!R74:T74,'Data #3'!R74:T74,'Data #4'!R74:T74,'Data #5'!R74:T74)</f>
        <v>81.459999999999994</v>
      </c>
      <c r="I74" s="19">
        <v>5000</v>
      </c>
      <c r="J74" s="27">
        <f>+AVERAGE('Data #1'!X74,'Data #2'!X74,'Data #3'!X74,'Data #4'!X74,'Data #5'!X74)</f>
        <v>28.53</v>
      </c>
      <c r="K74" s="27">
        <f t="shared" si="16"/>
        <v>38.53</v>
      </c>
      <c r="O74" s="20">
        <v>5000</v>
      </c>
      <c r="P74" s="28">
        <f>+AVERAGE('Data #1'!AH74,'Data #2'!AH74,'Data #3'!AH74,'Data #4'!AH74,'Data #5'!AH74)</f>
        <v>33.808666666666667</v>
      </c>
      <c r="Q74" s="28">
        <f>+P74+STDEV('Data #1'!AC74:AE74,'Data #2'!AC74:AE74,'Data #3'!AC74:AE74,'Data #4'!AC74:AE74,'Data #5'!AC74:AE74)</f>
        <v>62.395944523050531</v>
      </c>
      <c r="R74" s="28">
        <f>+P74-STDEV('Data #1'!AC74:AE74,'Data #2'!AC74:AE74,'Data #3'!AC74:AE74,'Data #4'!AC74:AE74,'Data #5'!AC74:AE74)</f>
        <v>5.2213888102828037</v>
      </c>
      <c r="S74" s="28">
        <f>+MIN('Data #1'!AC74:AE74,'Data #2'!AC74:AE74,'Data #3'!AC74:AE74,'Data #4'!AC74:AE74,'Data #5'!AC74:AE74)</f>
        <v>20</v>
      </c>
      <c r="T74" s="28">
        <f>+MAX('Data #1'!AC74:AE74,'Data #2'!AC74:AE74,'Data #3'!AC74:AE74,'Data #4'!AC74:AE74,'Data #5'!AC74:AE74)</f>
        <v>89.61</v>
      </c>
      <c r="V74" s="20">
        <v>5000</v>
      </c>
      <c r="W74" s="28">
        <f>+AVERAGE('Data #1'!AI74,'Data #2'!AI74,'Data #3'!AI74,'Data #4'!AI74,'Data #4'!AI74)</f>
        <v>28.576000000000001</v>
      </c>
      <c r="X74" s="28">
        <f t="shared" si="17"/>
        <v>38.576000000000001</v>
      </c>
      <c r="AB74" s="21">
        <v>5000</v>
      </c>
      <c r="AC74" s="10">
        <v>-10</v>
      </c>
      <c r="AD74" s="10">
        <v>10</v>
      </c>
      <c r="AH74">
        <f>MAX('Data #1'!C74,'Data #2'!C74,'Data #3'!C74,'Data #4'!C74,'Data #5'!C74)</f>
        <v>-16.850000000000001</v>
      </c>
      <c r="AI74">
        <f>MAX('Data #1'!D74,'Data #2'!D74,'Data #3'!D74,'Data #4'!D74,'Data #5'!D74)</f>
        <v>-15.33</v>
      </c>
      <c r="AJ74">
        <f>MAX('Data #1'!E74,'Data #2'!E74,'Data #3'!E74,'Data #4'!E74,'Data #5'!E74)</f>
        <v>-18.809999999999999</v>
      </c>
      <c r="AK74">
        <f>MAX('Data #1'!F74,'Data #2'!F74,'Data #3'!F74,'Data #4'!F74,'Data #5'!F74)</f>
        <v>-25.97</v>
      </c>
      <c r="AL74">
        <f>MAX('Data #1'!G74,'Data #2'!G74,'Data #3'!G74,'Data #4'!G74,'Data #5'!G74)</f>
        <v>-25.79</v>
      </c>
      <c r="AM74">
        <f>MAX('Data #1'!H74,'Data #2'!H74,'Data #3'!H74,'Data #4'!H74,'Data #5'!H74)</f>
        <v>-26.73</v>
      </c>
      <c r="AN74">
        <f>MIN('Data #1'!C74,'Data #2'!C74,'Data #3'!C74,'Data #4'!C74,'Data #5'!C74)</f>
        <v>-16.850000000000001</v>
      </c>
      <c r="AO74">
        <f>MIN('Data #1'!D74,'Data #2'!D74,'Data #3'!D74,'Data #4'!D74,'Data #5'!D74)</f>
        <v>-15.33</v>
      </c>
      <c r="AP74">
        <f>MIN('Data #1'!E74,'Data #2'!E74,'Data #3'!E74,'Data #4'!E74,'Data #5'!E74)</f>
        <v>-18.809999999999999</v>
      </c>
      <c r="AQ74">
        <f>MIN('Data #1'!F74,'Data #2'!F74,'Data #3'!F74,'Data #4'!F74,'Data #5'!F74)</f>
        <v>-25.97</v>
      </c>
      <c r="AR74">
        <f>MIN('Data #1'!G74,'Data #2'!G74,'Data #3'!G74,'Data #4'!G74,'Data #5'!G74)</f>
        <v>-25.79</v>
      </c>
      <c r="AS74">
        <f>MIN('Data #1'!H74,'Data #2'!H74,'Data #3'!H74,'Data #4'!H74,'Data #5'!H74)</f>
        <v>-26.73</v>
      </c>
      <c r="AT74">
        <f t="shared" si="18"/>
        <v>0</v>
      </c>
      <c r="AU74">
        <f t="shared" si="19"/>
        <v>0</v>
      </c>
      <c r="AV74">
        <f t="shared" si="20"/>
        <v>0</v>
      </c>
      <c r="AW74">
        <f t="shared" si="21"/>
        <v>0</v>
      </c>
      <c r="AX74">
        <f t="shared" si="22"/>
        <v>0</v>
      </c>
      <c r="AY74">
        <f t="shared" si="23"/>
        <v>0</v>
      </c>
      <c r="AZ74">
        <v>4.5882000000000005</v>
      </c>
      <c r="BA74">
        <v>5.4704000000000006</v>
      </c>
      <c r="BB74">
        <v>6.1844999999999999</v>
      </c>
      <c r="BC74">
        <v>3.5709999999999997</v>
      </c>
      <c r="BD74">
        <v>4.3593000000000011</v>
      </c>
      <c r="BE74">
        <v>11.208800000000002</v>
      </c>
      <c r="BF74">
        <f t="shared" si="24"/>
        <v>-4.5882000000000005</v>
      </c>
      <c r="BG74">
        <f t="shared" si="25"/>
        <v>-5.4704000000000006</v>
      </c>
      <c r="BH74">
        <f t="shared" si="26"/>
        <v>-6.1844999999999999</v>
      </c>
      <c r="BI74">
        <f t="shared" si="27"/>
        <v>-3.5709999999999997</v>
      </c>
      <c r="BJ74">
        <f t="shared" si="28"/>
        <v>-4.3593000000000011</v>
      </c>
      <c r="BK74">
        <f t="shared" si="29"/>
        <v>-11.208800000000002</v>
      </c>
    </row>
    <row r="75" spans="2:63">
      <c r="B75" s="19">
        <v>5300</v>
      </c>
      <c r="C75" s="27">
        <f>+AVERAGE('Data #1'!W75,'Data #2'!W75,'Data #3'!W75,'Data #4'!W75,'Data #5'!W75)</f>
        <v>32.150666666666666</v>
      </c>
      <c r="D75" s="27">
        <f>+C75+STDEV('Data #1'!R75:T75,'Data #2'!R75:T75,'Data #3'!R75:T75,'Data #4'!R75:T75,'Data #5'!R75:T75)</f>
        <v>57.30710420308683</v>
      </c>
      <c r="E75" s="27">
        <f>+C75-STDEV('Data #1'!R75:T75,'Data #2'!R75:T75,'Data #3'!R75:T75,'Data #4'!R75:T75,'Data #5'!R75:T75)</f>
        <v>6.9942291302465023</v>
      </c>
      <c r="F75" s="27">
        <f>+MIN('Data #1'!R75:T75,'Data #2'!R75:T75,'Data #3'!R75:T75,'Data #4'!R75:T75,'Data #5'!R75:T75)</f>
        <v>20</v>
      </c>
      <c r="G75" s="27">
        <f>+MAX('Data #1'!R75:T75,'Data #2'!R75:T75,'Data #3'!R75:T75,'Data #4'!R75:T75,'Data #5'!R75:T75)</f>
        <v>81.47</v>
      </c>
      <c r="I75" s="19">
        <v>5300</v>
      </c>
      <c r="J75" s="27">
        <f>+AVERAGE('Data #1'!X75,'Data #2'!X75,'Data #3'!X75,'Data #4'!X75,'Data #5'!X75)</f>
        <v>27.814</v>
      </c>
      <c r="K75" s="27">
        <f t="shared" si="16"/>
        <v>37.814</v>
      </c>
      <c r="O75" s="20">
        <v>5300</v>
      </c>
      <c r="P75" s="28">
        <f>+AVERAGE('Data #1'!AH75,'Data #2'!AH75,'Data #3'!AH75,'Data #4'!AH75,'Data #5'!AH75)</f>
        <v>32.498666666666665</v>
      </c>
      <c r="Q75" s="28">
        <f>+P75+STDEV('Data #1'!AC75:AE75,'Data #2'!AC75:AE75,'Data #3'!AC75:AE75,'Data #4'!AC75:AE75,'Data #5'!AC75:AE75)</f>
        <v>58.375089158046364</v>
      </c>
      <c r="R75" s="28">
        <f>+P75-STDEV('Data #1'!AC75:AE75,'Data #2'!AC75:AE75,'Data #3'!AC75:AE75,'Data #4'!AC75:AE75,'Data #5'!AC75:AE75)</f>
        <v>6.6222441752869692</v>
      </c>
      <c r="S75" s="28">
        <f>+MIN('Data #1'!AC75:AE75,'Data #2'!AC75:AE75,'Data #3'!AC75:AE75,'Data #4'!AC75:AE75,'Data #5'!AC75:AE75)</f>
        <v>20</v>
      </c>
      <c r="T75" s="28">
        <f>+MAX('Data #1'!AC75:AE75,'Data #2'!AC75:AE75,'Data #3'!AC75:AE75,'Data #4'!AC75:AE75,'Data #5'!AC75:AE75)</f>
        <v>83.27</v>
      </c>
      <c r="V75" s="20">
        <v>5300</v>
      </c>
      <c r="W75" s="28">
        <f>+AVERAGE('Data #1'!AI75,'Data #2'!AI75,'Data #3'!AI75,'Data #4'!AI75,'Data #4'!AI75)</f>
        <v>27.824000000000002</v>
      </c>
      <c r="X75" s="28">
        <f t="shared" si="17"/>
        <v>37.823999999999998</v>
      </c>
      <c r="AB75" s="21">
        <v>5300</v>
      </c>
      <c r="AC75" s="10">
        <v>-10</v>
      </c>
      <c r="AD75" s="10">
        <v>10</v>
      </c>
      <c r="AH75">
        <f>MAX('Data #1'!C75,'Data #2'!C75,'Data #3'!C75,'Data #4'!C75,'Data #5'!C75)</f>
        <v>-22.4</v>
      </c>
      <c r="AI75">
        <f>MAX('Data #1'!D75,'Data #2'!D75,'Data #3'!D75,'Data #4'!D75,'Data #5'!D75)</f>
        <v>-20.71</v>
      </c>
      <c r="AJ75">
        <f>MAX('Data #1'!E75,'Data #2'!E75,'Data #3'!E75,'Data #4'!E75,'Data #5'!E75)</f>
        <v>-21.94</v>
      </c>
      <c r="AK75">
        <f>MAX('Data #1'!F75,'Data #2'!F75,'Data #3'!F75,'Data #4'!F75,'Data #5'!F75)</f>
        <v>-22.57</v>
      </c>
      <c r="AL75">
        <f>MAX('Data #1'!G75,'Data #2'!G75,'Data #3'!G75,'Data #4'!G75,'Data #5'!G75)</f>
        <v>-23.4</v>
      </c>
      <c r="AM75">
        <f>MAX('Data #1'!H75,'Data #2'!H75,'Data #3'!H75,'Data #4'!H75,'Data #5'!H75)</f>
        <v>-24.15</v>
      </c>
      <c r="AN75">
        <f>MIN('Data #1'!C75,'Data #2'!C75,'Data #3'!C75,'Data #4'!C75,'Data #5'!C75)</f>
        <v>-22.4</v>
      </c>
      <c r="AO75">
        <f>MIN('Data #1'!D75,'Data #2'!D75,'Data #3'!D75,'Data #4'!D75,'Data #5'!D75)</f>
        <v>-20.71</v>
      </c>
      <c r="AP75">
        <f>MIN('Data #1'!E75,'Data #2'!E75,'Data #3'!E75,'Data #4'!E75,'Data #5'!E75)</f>
        <v>-21.94</v>
      </c>
      <c r="AQ75">
        <f>MIN('Data #1'!F75,'Data #2'!F75,'Data #3'!F75,'Data #4'!F75,'Data #5'!F75)</f>
        <v>-22.57</v>
      </c>
      <c r="AR75">
        <f>MIN('Data #1'!G75,'Data #2'!G75,'Data #3'!G75,'Data #4'!G75,'Data #5'!G75)</f>
        <v>-23.4</v>
      </c>
      <c r="AS75">
        <f>MIN('Data #1'!H75,'Data #2'!H75,'Data #3'!H75,'Data #4'!H75,'Data #5'!H75)</f>
        <v>-24.15</v>
      </c>
      <c r="AT75">
        <f t="shared" si="18"/>
        <v>0</v>
      </c>
      <c r="AU75">
        <f t="shared" si="19"/>
        <v>0</v>
      </c>
      <c r="AV75">
        <f t="shared" si="20"/>
        <v>0</v>
      </c>
      <c r="AW75">
        <f t="shared" si="21"/>
        <v>0</v>
      </c>
      <c r="AX75">
        <f t="shared" si="22"/>
        <v>0</v>
      </c>
      <c r="AY75">
        <f t="shared" si="23"/>
        <v>0</v>
      </c>
      <c r="AZ75">
        <v>6.1509</v>
      </c>
      <c r="BA75">
        <v>5.1151</v>
      </c>
      <c r="BB75">
        <v>4.6010999999999989</v>
      </c>
      <c r="BC75">
        <v>4.6610000000000014</v>
      </c>
      <c r="BD75">
        <v>5.5005999999999986</v>
      </c>
      <c r="BE75">
        <v>6.2297000000000011</v>
      </c>
      <c r="BF75">
        <f t="shared" si="24"/>
        <v>-6.1509</v>
      </c>
      <c r="BG75">
        <f t="shared" si="25"/>
        <v>-5.1151</v>
      </c>
      <c r="BH75">
        <f t="shared" si="26"/>
        <v>-4.6010999999999989</v>
      </c>
      <c r="BI75">
        <f t="shared" si="27"/>
        <v>-4.6610000000000014</v>
      </c>
      <c r="BJ75">
        <f t="shared" si="28"/>
        <v>-5.5005999999999986</v>
      </c>
      <c r="BK75">
        <f t="shared" si="29"/>
        <v>-6.2297000000000011</v>
      </c>
    </row>
    <row r="76" spans="2:63">
      <c r="B76" s="19">
        <v>5600</v>
      </c>
      <c r="C76" s="27">
        <f>+AVERAGE('Data #1'!W76,'Data #2'!W76,'Data #3'!W76,'Data #4'!W76,'Data #5'!W76)</f>
        <v>32.331333333333333</v>
      </c>
      <c r="D76" s="27">
        <f>+C76+STDEV('Data #1'!R76:T76,'Data #2'!R76:T76,'Data #3'!R76:T76,'Data #4'!R76:T76,'Data #5'!R76:T76)</f>
        <v>57.865779218581487</v>
      </c>
      <c r="E76" s="27">
        <f>+C76-STDEV('Data #1'!R76:T76,'Data #2'!R76:T76,'Data #3'!R76:T76,'Data #4'!R76:T76,'Data #5'!R76:T76)</f>
        <v>6.7968874480851795</v>
      </c>
      <c r="F76" s="27">
        <f>+MIN('Data #1'!R76:T76,'Data #2'!R76:T76,'Data #3'!R76:T76,'Data #4'!R76:T76,'Data #5'!R76:T76)</f>
        <v>20</v>
      </c>
      <c r="G76" s="27">
        <f>+MAX('Data #1'!R76:T76,'Data #2'!R76:T76,'Data #3'!R76:T76,'Data #4'!R76:T76,'Data #5'!R76:T76)</f>
        <v>83.28</v>
      </c>
      <c r="I76" s="19">
        <v>5600</v>
      </c>
      <c r="J76" s="27">
        <f>+AVERAGE('Data #1'!X76,'Data #2'!X76,'Data #3'!X76,'Data #4'!X76,'Data #5'!X76)</f>
        <v>27.836000000000002</v>
      </c>
      <c r="K76" s="27">
        <f t="shared" si="16"/>
        <v>37.835999999999999</v>
      </c>
      <c r="O76" s="20">
        <v>5600</v>
      </c>
      <c r="P76" s="28">
        <f>+AVERAGE('Data #1'!AH76,'Data #2'!AH76,'Data #3'!AH76,'Data #4'!AH76,'Data #5'!AH76)</f>
        <v>31.865333333333332</v>
      </c>
      <c r="Q76" s="28">
        <f>+P76+STDEV('Data #1'!AC76:AE76,'Data #2'!AC76:AE76,'Data #3'!AC76:AE76,'Data #4'!AC76:AE76,'Data #5'!AC76:AE76)</f>
        <v>56.433726171829434</v>
      </c>
      <c r="R76" s="28">
        <f>+P76-STDEV('Data #1'!AC76:AE76,'Data #2'!AC76:AE76,'Data #3'!AC76:AE76,'Data #4'!AC76:AE76,'Data #5'!AC76:AE76)</f>
        <v>7.2969404948372336</v>
      </c>
      <c r="S76" s="28">
        <f>+MIN('Data #1'!AC76:AE76,'Data #2'!AC76:AE76,'Data #3'!AC76:AE76,'Data #4'!AC76:AE76,'Data #5'!AC76:AE76)</f>
        <v>20</v>
      </c>
      <c r="T76" s="28">
        <f>+MAX('Data #1'!AC76:AE76,'Data #2'!AC76:AE76,'Data #3'!AC76:AE76,'Data #4'!AC76:AE76,'Data #5'!AC76:AE76)</f>
        <v>80.81</v>
      </c>
      <c r="V76" s="20">
        <v>5600</v>
      </c>
      <c r="W76" s="28">
        <f>+AVERAGE('Data #1'!AI76,'Data #2'!AI76,'Data #3'!AI76,'Data #4'!AI76,'Data #4'!AI76)</f>
        <v>27.844000000000001</v>
      </c>
      <c r="X76" s="28">
        <f t="shared" si="17"/>
        <v>37.844000000000001</v>
      </c>
      <c r="AB76" s="21">
        <v>5600</v>
      </c>
      <c r="AC76" s="10">
        <v>-10</v>
      </c>
      <c r="AD76" s="10">
        <v>10</v>
      </c>
      <c r="AH76">
        <f>MAX('Data #1'!C76,'Data #2'!C76,'Data #3'!C76,'Data #4'!C76,'Data #5'!C76)</f>
        <v>-24.1</v>
      </c>
      <c r="AI76">
        <f>MAX('Data #1'!D76,'Data #2'!D76,'Data #3'!D76,'Data #4'!D76,'Data #5'!D76)</f>
        <v>-21.19</v>
      </c>
      <c r="AJ76">
        <f>MAX('Data #1'!E76,'Data #2'!E76,'Data #3'!E76,'Data #4'!E76,'Data #5'!E76)</f>
        <v>-22.14</v>
      </c>
      <c r="AK76">
        <f>MAX('Data #1'!F76,'Data #2'!F76,'Data #3'!F76,'Data #4'!F76,'Data #5'!F76)</f>
        <v>-19.28</v>
      </c>
      <c r="AL76">
        <f>MAX('Data #1'!G76,'Data #2'!G76,'Data #3'!G76,'Data #4'!G76,'Data #5'!G76)</f>
        <v>-19.45</v>
      </c>
      <c r="AM76">
        <f>MAX('Data #1'!H76,'Data #2'!H76,'Data #3'!H76,'Data #4'!H76,'Data #5'!H76)</f>
        <v>-21.59</v>
      </c>
      <c r="AN76">
        <f>MIN('Data #1'!C76,'Data #2'!C76,'Data #3'!C76,'Data #4'!C76,'Data #5'!C76)</f>
        <v>-24.1</v>
      </c>
      <c r="AO76">
        <f>MIN('Data #1'!D76,'Data #2'!D76,'Data #3'!D76,'Data #4'!D76,'Data #5'!D76)</f>
        <v>-21.19</v>
      </c>
      <c r="AP76">
        <f>MIN('Data #1'!E76,'Data #2'!E76,'Data #3'!E76,'Data #4'!E76,'Data #5'!E76)</f>
        <v>-22.14</v>
      </c>
      <c r="AQ76">
        <f>MIN('Data #1'!F76,'Data #2'!F76,'Data #3'!F76,'Data #4'!F76,'Data #5'!F76)</f>
        <v>-19.28</v>
      </c>
      <c r="AR76">
        <f>MIN('Data #1'!G76,'Data #2'!G76,'Data #3'!G76,'Data #4'!G76,'Data #5'!G76)</f>
        <v>-19.45</v>
      </c>
      <c r="AS76">
        <f>MIN('Data #1'!H76,'Data #2'!H76,'Data #3'!H76,'Data #4'!H76,'Data #5'!H76)</f>
        <v>-21.59</v>
      </c>
      <c r="AT76">
        <f t="shared" si="18"/>
        <v>0</v>
      </c>
      <c r="AU76">
        <f t="shared" si="19"/>
        <v>0</v>
      </c>
      <c r="AV76">
        <f t="shared" si="20"/>
        <v>0</v>
      </c>
      <c r="AW76">
        <f t="shared" si="21"/>
        <v>0</v>
      </c>
      <c r="AX76">
        <f t="shared" si="22"/>
        <v>0</v>
      </c>
      <c r="AY76">
        <f t="shared" si="23"/>
        <v>0</v>
      </c>
      <c r="AZ76">
        <v>3.677999999999999</v>
      </c>
      <c r="BA76">
        <v>4.3356999999999992</v>
      </c>
      <c r="BB76">
        <v>1.2485999999999997</v>
      </c>
      <c r="BC76">
        <v>7.2838999999999992</v>
      </c>
      <c r="BD76">
        <v>6.127600000000001</v>
      </c>
      <c r="BE76">
        <v>9.1820999999999984</v>
      </c>
      <c r="BF76">
        <f t="shared" si="24"/>
        <v>-3.677999999999999</v>
      </c>
      <c r="BG76">
        <f t="shared" si="25"/>
        <v>-4.3356999999999992</v>
      </c>
      <c r="BH76">
        <f t="shared" si="26"/>
        <v>-1.2485999999999997</v>
      </c>
      <c r="BI76">
        <f t="shared" si="27"/>
        <v>-7.2838999999999992</v>
      </c>
      <c r="BJ76">
        <f t="shared" si="28"/>
        <v>-6.127600000000001</v>
      </c>
      <c r="BK76">
        <f t="shared" si="29"/>
        <v>-9.1820999999999984</v>
      </c>
    </row>
    <row r="77" spans="2:63">
      <c r="B77" s="19">
        <v>6000</v>
      </c>
      <c r="C77" s="27">
        <f>+AVERAGE('Data #1'!W77,'Data #2'!W77,'Data #3'!W77,'Data #4'!W77,'Data #5'!W77)</f>
        <v>32.203333333333333</v>
      </c>
      <c r="D77" s="27">
        <f>+C77+STDEV('Data #1'!R77:T77,'Data #2'!R77:T77,'Data #3'!R77:T77,'Data #4'!R77:T77,'Data #5'!R77:T77)</f>
        <v>57.466918551889265</v>
      </c>
      <c r="E77" s="27">
        <f>+C77-STDEV('Data #1'!R77:T77,'Data #2'!R77:T77,'Data #3'!R77:T77,'Data #4'!R77:T77,'Data #5'!R77:T77)</f>
        <v>6.9397481147773981</v>
      </c>
      <c r="F77" s="27">
        <f>+MIN('Data #1'!R77:T77,'Data #2'!R77:T77,'Data #3'!R77:T77,'Data #4'!R77:T77,'Data #5'!R77:T77)</f>
        <v>20</v>
      </c>
      <c r="G77" s="27">
        <f>+MAX('Data #1'!R77:T77,'Data #2'!R77:T77,'Data #3'!R77:T77,'Data #4'!R77:T77,'Data #5'!R77:T77)</f>
        <v>81.199999999999989</v>
      </c>
      <c r="I77" s="19">
        <v>6000</v>
      </c>
      <c r="J77" s="27">
        <f>+AVERAGE('Data #1'!X77,'Data #2'!X77,'Data #3'!X77,'Data #4'!X77,'Data #5'!X77)</f>
        <v>28.895999999999997</v>
      </c>
      <c r="K77" s="27">
        <f t="shared" si="16"/>
        <v>38.896000000000001</v>
      </c>
      <c r="O77" s="20">
        <v>6000</v>
      </c>
      <c r="P77" s="28">
        <f>+AVERAGE('Data #1'!AH77,'Data #2'!AH77,'Data #3'!AH77,'Data #4'!AH77,'Data #5'!AH77)</f>
        <v>31.658666666666669</v>
      </c>
      <c r="Q77" s="28">
        <f>+P77+STDEV('Data #1'!AC77:AE77,'Data #2'!AC77:AE77,'Data #3'!AC77:AE77,'Data #4'!AC77:AE77,'Data #5'!AC77:AE77)</f>
        <v>55.79526302592005</v>
      </c>
      <c r="R77" s="28">
        <f>+P77-STDEV('Data #1'!AC77:AE77,'Data #2'!AC77:AE77,'Data #3'!AC77:AE77,'Data #4'!AC77:AE77,'Data #5'!AC77:AE77)</f>
        <v>7.5220703074132835</v>
      </c>
      <c r="S77" s="28">
        <f>+MIN('Data #1'!AC77:AE77,'Data #2'!AC77:AE77,'Data #3'!AC77:AE77,'Data #4'!AC77:AE77,'Data #5'!AC77:AE77)</f>
        <v>20</v>
      </c>
      <c r="T77" s="28">
        <f>+MAX('Data #1'!AC77:AE77,'Data #2'!AC77:AE77,'Data #3'!AC77:AE77,'Data #4'!AC77:AE77,'Data #5'!AC77:AE77)</f>
        <v>78.84</v>
      </c>
      <c r="V77" s="20">
        <v>6000</v>
      </c>
      <c r="W77" s="28">
        <f>+AVERAGE('Data #1'!AI77,'Data #2'!AI77,'Data #3'!AI77,'Data #4'!AI77,'Data #4'!AI77)</f>
        <v>28.893999999999998</v>
      </c>
      <c r="X77" s="28">
        <f t="shared" si="17"/>
        <v>38.893999999999998</v>
      </c>
      <c r="AB77" s="21">
        <v>6000</v>
      </c>
      <c r="AC77" s="10">
        <v>-10</v>
      </c>
      <c r="AD77" s="10">
        <v>10</v>
      </c>
      <c r="AH77">
        <f>MAX('Data #1'!C77,'Data #2'!C77,'Data #3'!C77,'Data #4'!C77,'Data #5'!C77)</f>
        <v>-16.72</v>
      </c>
      <c r="AI77">
        <f>MAX('Data #1'!D77,'Data #2'!D77,'Data #3'!D77,'Data #4'!D77,'Data #5'!D77)</f>
        <v>-16.170000000000002</v>
      </c>
      <c r="AJ77">
        <f>MAX('Data #1'!E77,'Data #2'!E77,'Data #3'!E77,'Data #4'!E77,'Data #5'!E77)</f>
        <v>-16.72</v>
      </c>
      <c r="AK77">
        <f>MAX('Data #1'!F77,'Data #2'!F77,'Data #3'!F77,'Data #4'!F77,'Data #5'!F77)</f>
        <v>-13.81</v>
      </c>
      <c r="AL77">
        <f>MAX('Data #1'!G77,'Data #2'!G77,'Data #3'!G77,'Data #4'!G77,'Data #5'!G77)</f>
        <v>-13.29</v>
      </c>
      <c r="AM77">
        <f>MAX('Data #1'!H77,'Data #2'!H77,'Data #3'!H77,'Data #4'!H77,'Data #5'!H77)</f>
        <v>-14.37</v>
      </c>
      <c r="AN77">
        <f>MIN('Data #1'!C77,'Data #2'!C77,'Data #3'!C77,'Data #4'!C77,'Data #5'!C77)</f>
        <v>-16.72</v>
      </c>
      <c r="AO77">
        <f>MIN('Data #1'!D77,'Data #2'!D77,'Data #3'!D77,'Data #4'!D77,'Data #5'!D77)</f>
        <v>-16.170000000000002</v>
      </c>
      <c r="AP77">
        <f>MIN('Data #1'!E77,'Data #2'!E77,'Data #3'!E77,'Data #4'!E77,'Data #5'!E77)</f>
        <v>-16.72</v>
      </c>
      <c r="AQ77">
        <f>MIN('Data #1'!F77,'Data #2'!F77,'Data #3'!F77,'Data #4'!F77,'Data #5'!F77)</f>
        <v>-13.81</v>
      </c>
      <c r="AR77">
        <f>MIN('Data #1'!G77,'Data #2'!G77,'Data #3'!G77,'Data #4'!G77,'Data #5'!G77)</f>
        <v>-13.29</v>
      </c>
      <c r="AS77">
        <f>MIN('Data #1'!H77,'Data #2'!H77,'Data #3'!H77,'Data #4'!H77,'Data #5'!H77)</f>
        <v>-14.37</v>
      </c>
      <c r="AT77">
        <f t="shared" si="18"/>
        <v>0</v>
      </c>
      <c r="AU77">
        <f t="shared" si="19"/>
        <v>0</v>
      </c>
      <c r="AV77">
        <f t="shared" si="20"/>
        <v>0</v>
      </c>
      <c r="AW77">
        <f t="shared" si="21"/>
        <v>0</v>
      </c>
      <c r="AX77">
        <f t="shared" si="22"/>
        <v>0</v>
      </c>
      <c r="AY77">
        <f t="shared" si="23"/>
        <v>0</v>
      </c>
      <c r="AZ77">
        <v>3.3978000000000002</v>
      </c>
      <c r="BA77">
        <v>2.7677999999999994</v>
      </c>
      <c r="BB77">
        <v>2.9685000000000006</v>
      </c>
      <c r="BC77">
        <v>3.2467999999999986</v>
      </c>
      <c r="BD77">
        <v>2.4954999999999998</v>
      </c>
      <c r="BE77">
        <v>1.8239000000000019</v>
      </c>
      <c r="BF77">
        <f t="shared" si="24"/>
        <v>-3.3978000000000002</v>
      </c>
      <c r="BG77">
        <f t="shared" si="25"/>
        <v>-2.7677999999999994</v>
      </c>
      <c r="BH77">
        <f t="shared" si="26"/>
        <v>-2.9685000000000006</v>
      </c>
      <c r="BI77">
        <f t="shared" si="27"/>
        <v>-3.2467999999999986</v>
      </c>
      <c r="BJ77">
        <f t="shared" si="28"/>
        <v>-2.4954999999999998</v>
      </c>
      <c r="BK77">
        <f t="shared" si="29"/>
        <v>-1.8239000000000019</v>
      </c>
    </row>
    <row r="78" spans="2:63">
      <c r="B78" s="19">
        <v>6300</v>
      </c>
      <c r="C78" s="27">
        <f>+AVERAGE('Data #1'!W78,'Data #2'!W78,'Data #3'!W78,'Data #4'!W78,'Data #5'!W78)</f>
        <v>32.246000000000002</v>
      </c>
      <c r="D78" s="27">
        <f>+C78+STDEV('Data #1'!R78:T78,'Data #2'!R78:T78,'Data #3'!R78:T78,'Data #4'!R78:T78,'Data #5'!R78:T78)</f>
        <v>57.598335987044663</v>
      </c>
      <c r="E78" s="27">
        <f>+C78-STDEV('Data #1'!R78:T78,'Data #2'!R78:T78,'Data #3'!R78:T78,'Data #4'!R78:T78,'Data #5'!R78:T78)</f>
        <v>6.893664012955341</v>
      </c>
      <c r="F78" s="27">
        <f>+MIN('Data #1'!R78:T78,'Data #2'!R78:T78,'Data #3'!R78:T78,'Data #4'!R78:T78,'Data #5'!R78:T78)</f>
        <v>20</v>
      </c>
      <c r="G78" s="27">
        <f>+MAX('Data #1'!R78:T78,'Data #2'!R78:T78,'Data #3'!R78:T78,'Data #4'!R78:T78,'Data #5'!R78:T78)</f>
        <v>81.77000000000001</v>
      </c>
      <c r="I78" s="19">
        <v>6300</v>
      </c>
      <c r="J78" s="27">
        <f>+AVERAGE('Data #1'!X78,'Data #2'!X78,'Data #3'!X78,'Data #4'!X78,'Data #5'!X78)</f>
        <v>27.368000000000002</v>
      </c>
      <c r="K78" s="27">
        <f t="shared" si="16"/>
        <v>37.368000000000002</v>
      </c>
      <c r="O78" s="20">
        <v>6300</v>
      </c>
      <c r="P78" s="28">
        <f>+AVERAGE('Data #1'!AH78,'Data #2'!AH78,'Data #3'!AH78,'Data #4'!AH78,'Data #5'!AH78)</f>
        <v>31.446666666666669</v>
      </c>
      <c r="Q78" s="28">
        <f>+P78+STDEV('Data #1'!AC78:AE78,'Data #2'!AC78:AE78,'Data #3'!AC78:AE78,'Data #4'!AC78:AE78,'Data #5'!AC78:AE78)</f>
        <v>55.144326185418024</v>
      </c>
      <c r="R78" s="28">
        <f>+P78-STDEV('Data #1'!AC78:AE78,'Data #2'!AC78:AE78,'Data #3'!AC78:AE78,'Data #4'!AC78:AE78,'Data #5'!AC78:AE78)</f>
        <v>7.7490071479153109</v>
      </c>
      <c r="S78" s="28">
        <f>+MIN('Data #1'!AC78:AE78,'Data #2'!AC78:AE78,'Data #3'!AC78:AE78,'Data #4'!AC78:AE78,'Data #5'!AC78:AE78)</f>
        <v>20</v>
      </c>
      <c r="T78" s="28">
        <f>+MAX('Data #1'!AC78:AE78,'Data #2'!AC78:AE78,'Data #3'!AC78:AE78,'Data #4'!AC78:AE78,'Data #5'!AC78:AE78)</f>
        <v>77.819999999999993</v>
      </c>
      <c r="V78" s="20">
        <v>6300</v>
      </c>
      <c r="W78" s="28">
        <f>+AVERAGE('Data #1'!AI78,'Data #2'!AI78,'Data #3'!AI78,'Data #4'!AI78,'Data #4'!AI78)</f>
        <v>27.315999999999995</v>
      </c>
      <c r="X78" s="28">
        <f t="shared" si="17"/>
        <v>37.315999999999995</v>
      </c>
      <c r="AB78" s="21">
        <v>6300</v>
      </c>
      <c r="AC78" s="10">
        <v>-10</v>
      </c>
      <c r="AD78" s="10">
        <v>10</v>
      </c>
      <c r="AH78">
        <f>MAX('Data #1'!C78,'Data #2'!C78,'Data #3'!C78,'Data #4'!C78,'Data #5'!C78)</f>
        <v>-24.3</v>
      </c>
      <c r="AI78">
        <f>MAX('Data #1'!D78,'Data #2'!D78,'Data #3'!D78,'Data #4'!D78,'Data #5'!D78)</f>
        <v>-23.94</v>
      </c>
      <c r="AJ78">
        <f>MAX('Data #1'!E78,'Data #2'!E78,'Data #3'!E78,'Data #4'!E78,'Data #5'!E78)</f>
        <v>-24.93</v>
      </c>
      <c r="AK78">
        <f>MAX('Data #1'!F78,'Data #2'!F78,'Data #3'!F78,'Data #4'!F78,'Data #5'!F78)</f>
        <v>-20.46</v>
      </c>
      <c r="AL78">
        <f>MAX('Data #1'!G78,'Data #2'!G78,'Data #3'!G78,'Data #4'!G78,'Data #5'!G78)</f>
        <v>-21.24</v>
      </c>
      <c r="AM78">
        <f>MAX('Data #1'!H78,'Data #2'!H78,'Data #3'!H78,'Data #4'!H78,'Data #5'!H78)</f>
        <v>-20.260000000000002</v>
      </c>
      <c r="AN78">
        <f>MIN('Data #1'!C78,'Data #2'!C78,'Data #3'!C78,'Data #4'!C78,'Data #5'!C78)</f>
        <v>-24.3</v>
      </c>
      <c r="AO78">
        <f>MIN('Data #1'!D78,'Data #2'!D78,'Data #3'!D78,'Data #4'!D78,'Data #5'!D78)</f>
        <v>-23.94</v>
      </c>
      <c r="AP78">
        <f>MIN('Data #1'!E78,'Data #2'!E78,'Data #3'!E78,'Data #4'!E78,'Data #5'!E78)</f>
        <v>-24.93</v>
      </c>
      <c r="AQ78">
        <f>MIN('Data #1'!F78,'Data #2'!F78,'Data #3'!F78,'Data #4'!F78,'Data #5'!F78)</f>
        <v>-20.46</v>
      </c>
      <c r="AR78">
        <f>MIN('Data #1'!G78,'Data #2'!G78,'Data #3'!G78,'Data #4'!G78,'Data #5'!G78)</f>
        <v>-21.24</v>
      </c>
      <c r="AS78">
        <f>MIN('Data #1'!H78,'Data #2'!H78,'Data #3'!H78,'Data #4'!H78,'Data #5'!H78)</f>
        <v>-20.260000000000002</v>
      </c>
      <c r="AT78">
        <f t="shared" si="18"/>
        <v>0</v>
      </c>
      <c r="AU78">
        <f t="shared" si="19"/>
        <v>0</v>
      </c>
      <c r="AV78">
        <f t="shared" si="20"/>
        <v>0</v>
      </c>
      <c r="AW78">
        <f t="shared" si="21"/>
        <v>0</v>
      </c>
      <c r="AX78">
        <f t="shared" si="22"/>
        <v>0</v>
      </c>
      <c r="AY78">
        <f t="shared" si="23"/>
        <v>0</v>
      </c>
      <c r="AZ78">
        <v>4.2952999999999992</v>
      </c>
      <c r="BA78">
        <v>3.2652999999999999</v>
      </c>
      <c r="BB78">
        <v>4.1280000000000001</v>
      </c>
      <c r="BC78">
        <v>4.1334</v>
      </c>
      <c r="BD78">
        <v>5.2881999999999998</v>
      </c>
      <c r="BE78">
        <v>4.7535999999999987</v>
      </c>
      <c r="BF78">
        <f t="shared" si="24"/>
        <v>-4.2952999999999992</v>
      </c>
      <c r="BG78">
        <f t="shared" si="25"/>
        <v>-3.2652999999999999</v>
      </c>
      <c r="BH78">
        <f t="shared" si="26"/>
        <v>-4.1280000000000001</v>
      </c>
      <c r="BI78">
        <f t="shared" si="27"/>
        <v>-4.1334</v>
      </c>
      <c r="BJ78">
        <f t="shared" si="28"/>
        <v>-5.2881999999999998</v>
      </c>
      <c r="BK78">
        <f t="shared" si="29"/>
        <v>-4.7535999999999987</v>
      </c>
    </row>
    <row r="79" spans="2:63">
      <c r="B79" s="19">
        <v>6700</v>
      </c>
      <c r="C79" s="27">
        <f>+AVERAGE('Data #1'!W79,'Data #2'!W79,'Data #3'!W79,'Data #4'!W79,'Data #5'!W79)</f>
        <v>31.817999999999994</v>
      </c>
      <c r="D79" s="27">
        <f>+C79+STDEV('Data #1'!R79:T79,'Data #2'!R79:T79,'Data #3'!R79:T79,'Data #4'!R79:T79,'Data #5'!R79:T79)</f>
        <v>56.284027817013055</v>
      </c>
      <c r="E79" s="27">
        <f>+C79-STDEV('Data #1'!R79:T79,'Data #2'!R79:T79,'Data #3'!R79:T79,'Data #4'!R79:T79,'Data #5'!R79:T79)</f>
        <v>7.3519721829869304</v>
      </c>
      <c r="F79" s="27">
        <f>+MIN('Data #1'!R79:T79,'Data #2'!R79:T79,'Data #3'!R79:T79,'Data #4'!R79:T79,'Data #5'!R79:T79)</f>
        <v>20</v>
      </c>
      <c r="G79" s="27">
        <f>+MAX('Data #1'!R79:T79,'Data #2'!R79:T79,'Data #3'!R79:T79,'Data #4'!R79:T79,'Data #5'!R79:T79)</f>
        <v>79.42</v>
      </c>
      <c r="I79" s="19">
        <v>6700</v>
      </c>
      <c r="J79" s="27">
        <f>+AVERAGE('Data #1'!X79,'Data #2'!X79,'Data #3'!X79,'Data #4'!X79,'Data #5'!X79)</f>
        <v>26.124000000000002</v>
      </c>
      <c r="K79" s="27">
        <f t="shared" si="16"/>
        <v>36.124000000000002</v>
      </c>
      <c r="O79" s="20">
        <v>6700</v>
      </c>
      <c r="P79" s="28">
        <f>+AVERAGE('Data #1'!AH79,'Data #2'!AH79,'Data #3'!AH79,'Data #4'!AH79,'Data #5'!AH79)</f>
        <v>32.519333333333336</v>
      </c>
      <c r="Q79" s="28">
        <f>+P79+STDEV('Data #1'!AC79:AE79,'Data #2'!AC79:AE79,'Data #3'!AC79:AE79,'Data #4'!AC79:AE79,'Data #5'!AC79:AE79)</f>
        <v>58.437528119089166</v>
      </c>
      <c r="R79" s="28">
        <f>+P79-STDEV('Data #1'!AC79:AE79,'Data #2'!AC79:AE79,'Data #3'!AC79:AE79,'Data #4'!AC79:AE79,'Data #5'!AC79:AE79)</f>
        <v>6.6011385475775022</v>
      </c>
      <c r="S79" s="28">
        <f>+MIN('Data #1'!AC79:AE79,'Data #2'!AC79:AE79,'Data #3'!AC79:AE79,'Data #4'!AC79:AE79,'Data #5'!AC79:AE79)</f>
        <v>20</v>
      </c>
      <c r="T79" s="28">
        <f>+MAX('Data #1'!AC79:AE79,'Data #2'!AC79:AE79,'Data #3'!AC79:AE79,'Data #4'!AC79:AE79,'Data #5'!AC79:AE79)</f>
        <v>83.15</v>
      </c>
      <c r="V79" s="20">
        <v>6700</v>
      </c>
      <c r="W79" s="28">
        <f>+AVERAGE('Data #1'!AI79,'Data #2'!AI79,'Data #3'!AI79,'Data #4'!AI79,'Data #4'!AI79)</f>
        <v>26.006</v>
      </c>
      <c r="X79" s="28">
        <f t="shared" si="17"/>
        <v>36.006</v>
      </c>
      <c r="AB79" s="21">
        <v>6700</v>
      </c>
      <c r="AC79" s="10">
        <v>-10</v>
      </c>
      <c r="AD79" s="10">
        <v>10</v>
      </c>
      <c r="AH79">
        <f>MAX('Data #1'!C79,'Data #2'!C79,'Data #3'!C79,'Data #4'!C79,'Data #5'!C79)</f>
        <v>-28.57</v>
      </c>
      <c r="AI79">
        <f>MAX('Data #1'!D79,'Data #2'!D79,'Data #3'!D79,'Data #4'!D79,'Data #5'!D79)</f>
        <v>-28.04</v>
      </c>
      <c r="AJ79">
        <f>MAX('Data #1'!E79,'Data #2'!E79,'Data #3'!E79,'Data #4'!E79,'Data #5'!E79)</f>
        <v>-28.8</v>
      </c>
      <c r="AK79">
        <f>MAX('Data #1'!F79,'Data #2'!F79,'Data #3'!F79,'Data #4'!F79,'Data #5'!F79)</f>
        <v>-32.46</v>
      </c>
      <c r="AL79">
        <f>MAX('Data #1'!G79,'Data #2'!G79,'Data #3'!G79,'Data #4'!G79,'Data #5'!G79)</f>
        <v>-33.119999999999997</v>
      </c>
      <c r="AM79">
        <f>MAX('Data #1'!H79,'Data #2'!H79,'Data #3'!H79,'Data #4'!H79,'Data #5'!H79)</f>
        <v>-32.119999999999997</v>
      </c>
      <c r="AN79">
        <f>MIN('Data #1'!C79,'Data #2'!C79,'Data #3'!C79,'Data #4'!C79,'Data #5'!C79)</f>
        <v>-28.57</v>
      </c>
      <c r="AO79">
        <f>MIN('Data #1'!D79,'Data #2'!D79,'Data #3'!D79,'Data #4'!D79,'Data #5'!D79)</f>
        <v>-28.04</v>
      </c>
      <c r="AP79">
        <f>MIN('Data #1'!E79,'Data #2'!E79,'Data #3'!E79,'Data #4'!E79,'Data #5'!E79)</f>
        <v>-28.8</v>
      </c>
      <c r="AQ79">
        <f>MIN('Data #1'!F79,'Data #2'!F79,'Data #3'!F79,'Data #4'!F79,'Data #5'!F79)</f>
        <v>-32.46</v>
      </c>
      <c r="AR79">
        <f>MIN('Data #1'!G79,'Data #2'!G79,'Data #3'!G79,'Data #4'!G79,'Data #5'!G79)</f>
        <v>-33.119999999999997</v>
      </c>
      <c r="AS79">
        <f>MIN('Data #1'!H79,'Data #2'!H79,'Data #3'!H79,'Data #4'!H79,'Data #5'!H79)</f>
        <v>-32.119999999999997</v>
      </c>
      <c r="AT79">
        <f t="shared" si="18"/>
        <v>0</v>
      </c>
      <c r="AU79">
        <f t="shared" si="19"/>
        <v>0</v>
      </c>
      <c r="AV79">
        <f t="shared" si="20"/>
        <v>0</v>
      </c>
      <c r="AW79">
        <f t="shared" si="21"/>
        <v>0</v>
      </c>
      <c r="AX79">
        <f t="shared" si="22"/>
        <v>0</v>
      </c>
      <c r="AY79">
        <f t="shared" si="23"/>
        <v>0</v>
      </c>
      <c r="AZ79">
        <v>4.7732000000000028</v>
      </c>
      <c r="BA79">
        <v>4.6235999999999997</v>
      </c>
      <c r="BB79">
        <v>4.8618999999999986</v>
      </c>
      <c r="BC79">
        <v>6.8136999999999972</v>
      </c>
      <c r="BD79">
        <v>6.8289999999999971</v>
      </c>
      <c r="BE79">
        <v>6.3028999999999975</v>
      </c>
      <c r="BF79">
        <f t="shared" si="24"/>
        <v>-4.7732000000000028</v>
      </c>
      <c r="BG79">
        <f t="shared" si="25"/>
        <v>-4.6235999999999997</v>
      </c>
      <c r="BH79">
        <f t="shared" si="26"/>
        <v>-4.8618999999999986</v>
      </c>
      <c r="BI79">
        <f t="shared" si="27"/>
        <v>-6.8136999999999972</v>
      </c>
      <c r="BJ79">
        <f t="shared" si="28"/>
        <v>-6.8289999999999971</v>
      </c>
      <c r="BK79">
        <f t="shared" si="29"/>
        <v>-6.3028999999999975</v>
      </c>
    </row>
    <row r="80" spans="2:63">
      <c r="B80" s="19">
        <v>7100</v>
      </c>
      <c r="C80" s="27">
        <f>+AVERAGE('Data #1'!W80,'Data #2'!W80,'Data #3'!W80,'Data #4'!W80,'Data #5'!W80)</f>
        <v>30.667999999999996</v>
      </c>
      <c r="D80" s="27">
        <f>+C80+STDEV('Data #1'!R80:T80,'Data #2'!R80:T80,'Data #3'!R80:T80,'Data #4'!R80:T80,'Data #5'!R80:T80)</f>
        <v>52.753551256097595</v>
      </c>
      <c r="E80" s="27">
        <f>+C80-STDEV('Data #1'!R80:T80,'Data #2'!R80:T80,'Data #3'!R80:T80,'Data #4'!R80:T80,'Data #5'!R80:T80)</f>
        <v>8.5824487439023969</v>
      </c>
      <c r="F80" s="27">
        <f>+MIN('Data #1'!R80:T80,'Data #2'!R80:T80,'Data #3'!R80:T80,'Data #4'!R80:T80,'Data #5'!R80:T80)</f>
        <v>20</v>
      </c>
      <c r="G80" s="27">
        <f>+MAX('Data #1'!R80:T80,'Data #2'!R80:T80,'Data #3'!R80:T80,'Data #4'!R80:T80,'Data #5'!R80:T80)</f>
        <v>73.77</v>
      </c>
      <c r="I80" s="19">
        <v>7100</v>
      </c>
      <c r="J80" s="27">
        <f>+AVERAGE('Data #1'!X80,'Data #2'!X80,'Data #3'!X80,'Data #4'!X80,'Data #5'!X80)</f>
        <v>24.821999999999999</v>
      </c>
      <c r="K80" s="27">
        <f t="shared" si="16"/>
        <v>34.822000000000003</v>
      </c>
      <c r="O80" s="20">
        <v>7100</v>
      </c>
      <c r="P80" s="28">
        <f>+AVERAGE('Data #1'!AH80,'Data #2'!AH80,'Data #3'!AH80,'Data #4'!AH80,'Data #5'!AH80)</f>
        <v>33.198</v>
      </c>
      <c r="Q80" s="28">
        <f>+P80+STDEV('Data #1'!AC80:AE80,'Data #2'!AC80:AE80,'Data #3'!AC80:AE80,'Data #4'!AC80:AE80,'Data #5'!AC80:AE80)</f>
        <v>60.525921148263627</v>
      </c>
      <c r="R80" s="28">
        <f>+P80-STDEV('Data #1'!AC80:AE80,'Data #2'!AC80:AE80,'Data #3'!AC80:AE80,'Data #4'!AC80:AE80,'Data #5'!AC80:AE80)</f>
        <v>5.8700788517363733</v>
      </c>
      <c r="S80" s="28">
        <f>+MIN('Data #1'!AC80:AE80,'Data #2'!AC80:AE80,'Data #3'!AC80:AE80,'Data #4'!AC80:AE80,'Data #5'!AC80:AE80)</f>
        <v>20</v>
      </c>
      <c r="T80" s="28">
        <f>+MAX('Data #1'!AC80:AE80,'Data #2'!AC80:AE80,'Data #3'!AC80:AE80,'Data #4'!AC80:AE80,'Data #5'!AC80:AE80)</f>
        <v>87.61</v>
      </c>
      <c r="V80" s="20">
        <v>7100</v>
      </c>
      <c r="W80" s="28">
        <f>+AVERAGE('Data #1'!AI80,'Data #2'!AI80,'Data #3'!AI80,'Data #4'!AI80,'Data #4'!AI80)</f>
        <v>24.488</v>
      </c>
      <c r="X80" s="28">
        <f t="shared" si="17"/>
        <v>34.488</v>
      </c>
      <c r="AB80" s="21">
        <v>7100</v>
      </c>
      <c r="AC80" s="10">
        <v>-10</v>
      </c>
      <c r="AD80" s="10">
        <v>10</v>
      </c>
      <c r="AH80">
        <f>MAX('Data #1'!C80,'Data #2'!C80,'Data #3'!C80,'Data #4'!C80,'Data #5'!C80)</f>
        <v>-29.29</v>
      </c>
      <c r="AI80">
        <f>MAX('Data #1'!D80,'Data #2'!D80,'Data #3'!D80,'Data #4'!D80,'Data #5'!D80)</f>
        <v>-28.74</v>
      </c>
      <c r="AJ80">
        <f>MAX('Data #1'!E80,'Data #2'!E80,'Data #3'!E80,'Data #4'!E80,'Data #5'!E80)</f>
        <v>-29.66</v>
      </c>
      <c r="AK80">
        <f>MAX('Data #1'!F80,'Data #2'!F80,'Data #3'!F80,'Data #4'!F80,'Data #5'!F80)</f>
        <v>-43.09</v>
      </c>
      <c r="AL80">
        <f>MAX('Data #1'!G80,'Data #2'!G80,'Data #3'!G80,'Data #4'!G80,'Data #5'!G80)</f>
        <v>-45.17</v>
      </c>
      <c r="AM80">
        <f>MAX('Data #1'!H80,'Data #2'!H80,'Data #3'!H80,'Data #4'!H80,'Data #5'!H80)</f>
        <v>-42.39</v>
      </c>
      <c r="AN80">
        <f>MIN('Data #1'!C80,'Data #2'!C80,'Data #3'!C80,'Data #4'!C80,'Data #5'!C80)</f>
        <v>-29.29</v>
      </c>
      <c r="AO80">
        <f>MIN('Data #1'!D80,'Data #2'!D80,'Data #3'!D80,'Data #4'!D80,'Data #5'!D80)</f>
        <v>-28.74</v>
      </c>
      <c r="AP80">
        <f>MIN('Data #1'!E80,'Data #2'!E80,'Data #3'!E80,'Data #4'!E80,'Data #5'!E80)</f>
        <v>-29.66</v>
      </c>
      <c r="AQ80">
        <f>MIN('Data #1'!F80,'Data #2'!F80,'Data #3'!F80,'Data #4'!F80,'Data #5'!F80)</f>
        <v>-43.09</v>
      </c>
      <c r="AR80">
        <f>MIN('Data #1'!G80,'Data #2'!G80,'Data #3'!G80,'Data #4'!G80,'Data #5'!G80)</f>
        <v>-45.17</v>
      </c>
      <c r="AS80">
        <f>MIN('Data #1'!H80,'Data #2'!H80,'Data #3'!H80,'Data #4'!H80,'Data #5'!H80)</f>
        <v>-42.39</v>
      </c>
      <c r="AT80">
        <f t="shared" si="18"/>
        <v>0</v>
      </c>
      <c r="AU80">
        <f t="shared" si="19"/>
        <v>0</v>
      </c>
      <c r="AV80">
        <f t="shared" si="20"/>
        <v>0</v>
      </c>
      <c r="AW80">
        <f t="shared" si="21"/>
        <v>0</v>
      </c>
      <c r="AX80">
        <f t="shared" si="22"/>
        <v>0</v>
      </c>
      <c r="AY80">
        <f t="shared" si="23"/>
        <v>0</v>
      </c>
      <c r="AZ80">
        <v>4.3525999999999989</v>
      </c>
      <c r="BA80">
        <v>5.3327000000000027</v>
      </c>
      <c r="BB80">
        <v>4.5299999999999976</v>
      </c>
      <c r="BC80">
        <v>2.8580000000000041</v>
      </c>
      <c r="BD80">
        <v>2.9050000000000011</v>
      </c>
      <c r="BE80">
        <v>2.3109999999999999</v>
      </c>
      <c r="BF80">
        <f t="shared" si="24"/>
        <v>-4.3525999999999989</v>
      </c>
      <c r="BG80">
        <f t="shared" si="25"/>
        <v>-5.3327000000000027</v>
      </c>
      <c r="BH80">
        <f t="shared" si="26"/>
        <v>-4.5299999999999976</v>
      </c>
      <c r="BI80">
        <f t="shared" si="27"/>
        <v>-2.8580000000000041</v>
      </c>
      <c r="BJ80">
        <f t="shared" si="28"/>
        <v>-2.9050000000000011</v>
      </c>
      <c r="BK80">
        <f t="shared" si="29"/>
        <v>-2.3109999999999999</v>
      </c>
    </row>
    <row r="81" spans="2:63">
      <c r="B81" s="19">
        <v>7500</v>
      </c>
      <c r="C81" s="27">
        <f>+AVERAGE('Data #1'!W81,'Data #2'!W81,'Data #3'!W81,'Data #4'!W81,'Data #5'!W81)</f>
        <v>28.707999999999998</v>
      </c>
      <c r="D81" s="27">
        <f>+C81+STDEV('Data #1'!R81:T81,'Data #2'!R81:T81,'Data #3'!R81:T81,'Data #4'!R81:T81,'Data #5'!R81:T81)</f>
        <v>46.756601924486318</v>
      </c>
      <c r="E81" s="27">
        <f>+C81-STDEV('Data #1'!R81:T81,'Data #2'!R81:T81,'Data #3'!R81:T81,'Data #4'!R81:T81,'Data #5'!R81:T81)</f>
        <v>10.659398075513678</v>
      </c>
      <c r="F81" s="27">
        <f>+MIN('Data #1'!R81:T81,'Data #2'!R81:T81,'Data #3'!R81:T81,'Data #4'!R81:T81,'Data #5'!R81:T81)</f>
        <v>20</v>
      </c>
      <c r="G81" s="27">
        <f>+MAX('Data #1'!R81:T81,'Data #2'!R81:T81,'Data #3'!R81:T81,'Data #4'!R81:T81,'Data #5'!R81:T81)</f>
        <v>65.95</v>
      </c>
      <c r="I81" s="19">
        <v>7500</v>
      </c>
      <c r="J81" s="27">
        <f>+AVERAGE('Data #1'!X81,'Data #2'!X81,'Data #3'!X81,'Data #4'!X81,'Data #5'!X81)</f>
        <v>13.331999999999999</v>
      </c>
      <c r="K81" s="27">
        <f t="shared" si="16"/>
        <v>23.332000000000001</v>
      </c>
      <c r="O81" s="20">
        <v>7500</v>
      </c>
      <c r="P81" s="28">
        <f>+AVERAGE('Data #1'!AH81,'Data #2'!AH81,'Data #3'!AH81,'Data #4'!AH81,'Data #5'!AH81)</f>
        <v>28.875333333333334</v>
      </c>
      <c r="Q81" s="28">
        <f>+P81+STDEV('Data #1'!AC81:AE81,'Data #2'!AC81:AE81,'Data #3'!AC81:AE81,'Data #4'!AC81:AE81,'Data #5'!AC81:AE81)</f>
        <v>47.521596408455558</v>
      </c>
      <c r="R81" s="28">
        <f>+P81-STDEV('Data #1'!AC81:AE81,'Data #2'!AC81:AE81,'Data #3'!AC81:AE81,'Data #4'!AC81:AE81,'Data #5'!AC81:AE81)</f>
        <v>10.229070258211109</v>
      </c>
      <c r="S81" s="28">
        <f>+MIN('Data #1'!AC81:AE81,'Data #2'!AC81:AE81,'Data #3'!AC81:AE81,'Data #4'!AC81:AE81,'Data #5'!AC81:AE81)</f>
        <v>20</v>
      </c>
      <c r="T81" s="28">
        <f>+MAX('Data #1'!AC81:AE81,'Data #2'!AC81:AE81,'Data #3'!AC81:AE81,'Data #4'!AC81:AE81,'Data #5'!AC81:AE81)</f>
        <v>74.040000000000006</v>
      </c>
      <c r="V81" s="20">
        <v>7500</v>
      </c>
      <c r="W81" s="28">
        <f>+AVERAGE('Data #1'!AI81,'Data #2'!AI81,'Data #3'!AI81,'Data #4'!AI81,'Data #4'!AI81)</f>
        <v>13.45</v>
      </c>
      <c r="X81" s="28">
        <f t="shared" si="17"/>
        <v>23.45</v>
      </c>
      <c r="AB81" s="21">
        <v>7500</v>
      </c>
      <c r="AC81" s="10">
        <v>-10</v>
      </c>
      <c r="AD81" s="10">
        <v>10</v>
      </c>
      <c r="AH81">
        <f>MAX('Data #1'!C81,'Data #2'!C81,'Data #3'!C81,'Data #4'!C81,'Data #5'!C81)</f>
        <v>-79.290000000000006</v>
      </c>
      <c r="AI81">
        <f>MAX('Data #1'!D81,'Data #2'!D81,'Data #3'!D81,'Data #4'!D81,'Data #5'!D81)</f>
        <v>-74.66</v>
      </c>
      <c r="AJ81">
        <f>MAX('Data #1'!E81,'Data #2'!E81,'Data #3'!E81,'Data #4'!E81,'Data #5'!E81)</f>
        <v>-76.69</v>
      </c>
      <c r="AK81">
        <f>MAX('Data #1'!F81,'Data #2'!F81,'Data #3'!F81,'Data #4'!F81,'Data #5'!F81)</f>
        <v>-73.069999999999993</v>
      </c>
      <c r="AL81">
        <f>MAX('Data #1'!G81,'Data #2'!G81,'Data #3'!G81,'Data #4'!G81,'Data #5'!G81)</f>
        <v>-71.52</v>
      </c>
      <c r="AM81">
        <f>MAX('Data #1'!H81,'Data #2'!H81,'Data #3'!H81,'Data #4'!H81,'Data #5'!H81)</f>
        <v>-86.79</v>
      </c>
      <c r="AN81">
        <f>MIN('Data #1'!C81,'Data #2'!C81,'Data #3'!C81,'Data #4'!C81,'Data #5'!C81)</f>
        <v>-79.290000000000006</v>
      </c>
      <c r="AO81">
        <f>MIN('Data #1'!D81,'Data #2'!D81,'Data #3'!D81,'Data #4'!D81,'Data #5'!D81)</f>
        <v>-74.66</v>
      </c>
      <c r="AP81">
        <f>MIN('Data #1'!E81,'Data #2'!E81,'Data #3'!E81,'Data #4'!E81,'Data #5'!E81)</f>
        <v>-76.69</v>
      </c>
      <c r="AQ81">
        <f>MIN('Data #1'!F81,'Data #2'!F81,'Data #3'!F81,'Data #4'!F81,'Data #5'!F81)</f>
        <v>-73.069999999999993</v>
      </c>
      <c r="AR81">
        <f>MIN('Data #1'!G81,'Data #2'!G81,'Data #3'!G81,'Data #4'!G81,'Data #5'!G81)</f>
        <v>-71.52</v>
      </c>
      <c r="AS81">
        <f>MIN('Data #1'!H81,'Data #2'!H81,'Data #3'!H81,'Data #4'!H81,'Data #5'!H81)</f>
        <v>-86.79</v>
      </c>
      <c r="AT81">
        <f t="shared" si="18"/>
        <v>0</v>
      </c>
      <c r="AU81">
        <f t="shared" si="19"/>
        <v>0</v>
      </c>
      <c r="AV81">
        <f t="shared" si="20"/>
        <v>0</v>
      </c>
      <c r="AW81">
        <f t="shared" si="21"/>
        <v>0</v>
      </c>
      <c r="AX81">
        <f t="shared" si="22"/>
        <v>0</v>
      </c>
      <c r="AY81">
        <f t="shared" si="23"/>
        <v>0</v>
      </c>
      <c r="AZ81">
        <v>5.0230000000000032</v>
      </c>
      <c r="BA81">
        <v>3.6559999999999988</v>
      </c>
      <c r="BB81">
        <v>1.5859999999999985</v>
      </c>
      <c r="BC81">
        <v>3.597999999999999</v>
      </c>
      <c r="BD81">
        <v>3.3410000000000011</v>
      </c>
      <c r="BE81">
        <v>2.2629999999999981</v>
      </c>
      <c r="BF81">
        <f t="shared" si="24"/>
        <v>-5.0230000000000032</v>
      </c>
      <c r="BG81">
        <f t="shared" si="25"/>
        <v>-3.6559999999999988</v>
      </c>
      <c r="BH81">
        <f t="shared" si="26"/>
        <v>-1.5859999999999985</v>
      </c>
      <c r="BI81">
        <f t="shared" si="27"/>
        <v>-3.597999999999999</v>
      </c>
      <c r="BJ81">
        <f t="shared" si="28"/>
        <v>-3.3410000000000011</v>
      </c>
      <c r="BK81">
        <f t="shared" si="29"/>
        <v>-2.2629999999999981</v>
      </c>
    </row>
    <row r="82" spans="2:63">
      <c r="B82" s="19">
        <v>8000</v>
      </c>
      <c r="C82" s="27">
        <f>+AVERAGE('Data #1'!W82,'Data #2'!W82,'Data #3'!W82,'Data #4'!W82,'Data #5'!W82)</f>
        <v>30.104666666666663</v>
      </c>
      <c r="D82" s="27">
        <f>+C82+STDEV('Data #1'!R82:T82,'Data #2'!R82:T82,'Data #3'!R82:T82,'Data #4'!R82:T82,'Data #5'!R82:T82)</f>
        <v>51.389450925671525</v>
      </c>
      <c r="E82" s="27">
        <f>+C82-STDEV('Data #1'!R82:T82,'Data #2'!R82:T82,'Data #3'!R82:T82,'Data #4'!R82:T82,'Data #5'!R82:T82)</f>
        <v>8.8198824076618045</v>
      </c>
      <c r="F82" s="27">
        <f>+MIN('Data #1'!R82:T82,'Data #2'!R82:T82,'Data #3'!R82:T82,'Data #4'!R82:T82,'Data #5'!R82:T82)</f>
        <v>20</v>
      </c>
      <c r="G82" s="27">
        <f>+MAX('Data #1'!R82:T82,'Data #2'!R82:T82,'Data #3'!R82:T82,'Data #4'!R82:T82,'Data #5'!R82:T82)</f>
        <v>80.47999999999999</v>
      </c>
      <c r="I82" s="19">
        <v>8000</v>
      </c>
      <c r="J82" s="27">
        <f>+AVERAGE('Data #1'!X82,'Data #2'!X82,'Data #3'!X82,'Data #4'!X82,'Data #5'!X82)</f>
        <v>12.825999999999999</v>
      </c>
      <c r="K82" s="27">
        <f t="shared" si="16"/>
        <v>22.826000000000001</v>
      </c>
      <c r="O82" s="20">
        <v>8000</v>
      </c>
      <c r="P82" s="28">
        <f>+AVERAGE('Data #1'!AH82,'Data #2'!AH82,'Data #3'!AH82,'Data #4'!AH82,'Data #5'!AH82)</f>
        <v>29.479999999999997</v>
      </c>
      <c r="Q82" s="28">
        <f>+P82+STDEV('Data #1'!AC82:AE82,'Data #2'!AC82:AE82,'Data #3'!AC82:AE82,'Data #4'!AC82:AE82,'Data #5'!AC82:AE82)</f>
        <v>49.248686638939148</v>
      </c>
      <c r="R82" s="28">
        <f>+P82-STDEV('Data #1'!AC82:AE82,'Data #2'!AC82:AE82,'Data #3'!AC82:AE82,'Data #4'!AC82:AE82,'Data #5'!AC82:AE82)</f>
        <v>9.7113133610608422</v>
      </c>
      <c r="S82" s="28">
        <f>+MIN('Data #1'!AC82:AE82,'Data #2'!AC82:AE82,'Data #3'!AC82:AE82,'Data #4'!AC82:AE82,'Data #5'!AC82:AE82)</f>
        <v>20</v>
      </c>
      <c r="T82" s="28">
        <f>+MAX('Data #1'!AC82:AE82,'Data #2'!AC82:AE82,'Data #3'!AC82:AE82,'Data #4'!AC82:AE82,'Data #5'!AC82:AE82)</f>
        <v>73.97999999999999</v>
      </c>
      <c r="V82" s="20">
        <v>8000</v>
      </c>
      <c r="W82" s="28">
        <f>+AVERAGE('Data #1'!AI82,'Data #2'!AI82,'Data #3'!AI82,'Data #4'!AI82,'Data #4'!AI82)</f>
        <v>13.648</v>
      </c>
      <c r="X82" s="28">
        <f t="shared" si="17"/>
        <v>23.648</v>
      </c>
      <c r="AB82" s="21">
        <v>8000</v>
      </c>
      <c r="AC82" s="10">
        <v>-10</v>
      </c>
      <c r="AD82" s="10">
        <v>10</v>
      </c>
      <c r="AH82">
        <f>MAX('Data #1'!C82,'Data #2'!C82,'Data #3'!C82,'Data #4'!C82,'Data #5'!C82)</f>
        <v>-96.35</v>
      </c>
      <c r="AI82">
        <f>MAX('Data #1'!D82,'Data #2'!D82,'Data #3'!D82,'Data #4'!D82,'Data #5'!D82)</f>
        <v>-75.599999999999994</v>
      </c>
      <c r="AJ82">
        <f>MAX('Data #1'!E82,'Data #2'!E82,'Data #3'!E82,'Data #4'!E82,'Data #5'!E82)</f>
        <v>-87.23</v>
      </c>
      <c r="AK82">
        <f>MAX('Data #1'!F82,'Data #2'!F82,'Data #3'!F82,'Data #4'!F82,'Data #5'!F82)</f>
        <v>-73.22</v>
      </c>
      <c r="AL82">
        <f>MAX('Data #1'!G82,'Data #2'!G82,'Data #3'!G82,'Data #4'!G82,'Data #5'!G82)</f>
        <v>-78.52</v>
      </c>
      <c r="AM82">
        <f>MAX('Data #1'!H82,'Data #2'!H82,'Data #3'!H82,'Data #4'!H82,'Data #5'!H82)</f>
        <v>-85.74</v>
      </c>
      <c r="AN82">
        <f>MIN('Data #1'!C82,'Data #2'!C82,'Data #3'!C82,'Data #4'!C82,'Data #5'!C82)</f>
        <v>-96.35</v>
      </c>
      <c r="AO82">
        <f>MIN('Data #1'!D82,'Data #2'!D82,'Data #3'!D82,'Data #4'!D82,'Data #5'!D82)</f>
        <v>-75.599999999999994</v>
      </c>
      <c r="AP82">
        <f>MIN('Data #1'!E82,'Data #2'!E82,'Data #3'!E82,'Data #4'!E82,'Data #5'!E82)</f>
        <v>-87.23</v>
      </c>
      <c r="AQ82">
        <f>MIN('Data #1'!F82,'Data #2'!F82,'Data #3'!F82,'Data #4'!F82,'Data #5'!F82)</f>
        <v>-73.22</v>
      </c>
      <c r="AR82">
        <f>MIN('Data #1'!G82,'Data #2'!G82,'Data #3'!G82,'Data #4'!G82,'Data #5'!G82)</f>
        <v>-78.52</v>
      </c>
      <c r="AS82">
        <f>MIN('Data #1'!H82,'Data #2'!H82,'Data #3'!H82,'Data #4'!H82,'Data #5'!H82)</f>
        <v>-85.74</v>
      </c>
      <c r="AT82">
        <f t="shared" si="18"/>
        <v>0</v>
      </c>
      <c r="AU82">
        <f t="shared" si="19"/>
        <v>0</v>
      </c>
      <c r="AV82">
        <f t="shared" si="20"/>
        <v>0</v>
      </c>
      <c r="AW82">
        <f t="shared" si="21"/>
        <v>0</v>
      </c>
      <c r="AX82">
        <f t="shared" si="22"/>
        <v>0</v>
      </c>
      <c r="AY82">
        <f t="shared" si="23"/>
        <v>0</v>
      </c>
      <c r="AZ82">
        <v>2.4080000000000013</v>
      </c>
      <c r="BA82">
        <v>2.963000000000001</v>
      </c>
      <c r="BB82">
        <v>1.3070000000000022</v>
      </c>
      <c r="BC82">
        <v>3.0579999999999998</v>
      </c>
      <c r="BD82">
        <v>2.5169999999999959</v>
      </c>
      <c r="BE82">
        <v>1.9470000000000027</v>
      </c>
      <c r="BF82">
        <f t="shared" si="24"/>
        <v>-2.4080000000000013</v>
      </c>
      <c r="BG82">
        <f t="shared" si="25"/>
        <v>-2.963000000000001</v>
      </c>
      <c r="BH82">
        <f t="shared" si="26"/>
        <v>-1.3070000000000022</v>
      </c>
      <c r="BI82">
        <f t="shared" si="27"/>
        <v>-3.0579999999999998</v>
      </c>
      <c r="BJ82">
        <f t="shared" si="28"/>
        <v>-2.5169999999999959</v>
      </c>
      <c r="BK82">
        <f t="shared" si="29"/>
        <v>-1.9470000000000027</v>
      </c>
    </row>
    <row r="83" spans="2:63">
      <c r="B83" s="19">
        <v>8500</v>
      </c>
      <c r="C83" s="27">
        <f>+AVERAGE('Data #1'!W83,'Data #2'!W83,'Data #3'!W83,'Data #4'!W83,'Data #5'!W83)</f>
        <v>31.15</v>
      </c>
      <c r="D83" s="27">
        <f>+C83+STDEV('Data #1'!R83:T83,'Data #2'!R83:T83,'Data #3'!R83:T83,'Data #4'!R83:T83,'Data #5'!R83:T83)</f>
        <v>54.986006976241399</v>
      </c>
      <c r="E83" s="27">
        <f>+C83-STDEV('Data #1'!R83:T83,'Data #2'!R83:T83,'Data #3'!R83:T83,'Data #4'!R83:T83,'Data #5'!R83:T83)</f>
        <v>7.3139930237586022</v>
      </c>
      <c r="F83" s="27">
        <f>+MIN('Data #1'!R83:T83,'Data #2'!R83:T83,'Data #3'!R83:T83,'Data #4'!R83:T83,'Data #5'!R83:T83)</f>
        <v>20</v>
      </c>
      <c r="G83" s="27">
        <f>+MAX('Data #1'!R83:T83,'Data #2'!R83:T83,'Data #3'!R83:T83,'Data #4'!R83:T83,'Data #5'!R83:T83)</f>
        <v>88.710000000000008</v>
      </c>
      <c r="I83" s="19">
        <v>8500</v>
      </c>
      <c r="J83" s="27">
        <f>+AVERAGE('Data #1'!X83,'Data #2'!X83,'Data #3'!X83,'Data #4'!X83,'Data #5'!X83)</f>
        <v>12.526</v>
      </c>
      <c r="K83" s="27">
        <f t="shared" si="16"/>
        <v>22.526</v>
      </c>
      <c r="O83" s="20">
        <v>8500</v>
      </c>
      <c r="P83" s="28">
        <f>+AVERAGE('Data #1'!AH83,'Data #2'!AH83,'Data #3'!AH83,'Data #4'!AH83,'Data #5'!AH83)</f>
        <v>27.030666666666669</v>
      </c>
      <c r="Q83" s="28">
        <f>+P83+STDEV('Data #1'!AC83:AE83,'Data #2'!AC83:AE83,'Data #3'!AC83:AE83,'Data #4'!AC83:AE83,'Data #5'!AC83:AE83)</f>
        <v>41.959254996572803</v>
      </c>
      <c r="R83" s="28">
        <f>+P83-STDEV('Data #1'!AC83:AE83,'Data #2'!AC83:AE83,'Data #3'!AC83:AE83,'Data #4'!AC83:AE83,'Data #5'!AC83:AE83)</f>
        <v>12.102078336760536</v>
      </c>
      <c r="S83" s="28">
        <f>+MIN('Data #1'!AC83:AE83,'Data #2'!AC83:AE83,'Data #3'!AC83:AE83,'Data #4'!AC83:AE83,'Data #5'!AC83:AE83)</f>
        <v>20</v>
      </c>
      <c r="T83" s="28">
        <f>+MAX('Data #1'!AC83:AE83,'Data #2'!AC83:AE83,'Data #3'!AC83:AE83,'Data #4'!AC83:AE83,'Data #5'!AC83:AE83)</f>
        <v>65.13</v>
      </c>
      <c r="V83" s="20">
        <v>8500</v>
      </c>
      <c r="W83" s="28">
        <f>+AVERAGE('Data #1'!AI83,'Data #2'!AI83,'Data #3'!AI83,'Data #4'!AI83,'Data #4'!AI83)</f>
        <v>10.084</v>
      </c>
      <c r="X83" s="28">
        <f t="shared" si="17"/>
        <v>20.084</v>
      </c>
      <c r="AB83" s="21">
        <v>8500</v>
      </c>
      <c r="AC83" s="10">
        <v>-10</v>
      </c>
      <c r="AD83" s="10">
        <v>10</v>
      </c>
      <c r="AH83">
        <f>MAX('Data #1'!C83,'Data #2'!C83,'Data #3'!C83,'Data #4'!C83,'Data #5'!C83)</f>
        <v>-106.08</v>
      </c>
      <c r="AI83">
        <f>MAX('Data #1'!D83,'Data #2'!D83,'Data #3'!D83,'Data #4'!D83,'Data #5'!D83)</f>
        <v>-75.62</v>
      </c>
      <c r="AJ83">
        <f>MAX('Data #1'!E83,'Data #2'!E83,'Data #3'!E83,'Data #4'!E83,'Data #5'!E83)</f>
        <v>-97.66</v>
      </c>
      <c r="AK83">
        <f>MAX('Data #1'!F83,'Data #2'!F83,'Data #3'!F83,'Data #4'!F83,'Data #5'!F83)</f>
        <v>-78.17</v>
      </c>
      <c r="AL83">
        <f>MAX('Data #1'!G83,'Data #2'!G83,'Data #3'!G83,'Data #4'!G83,'Data #5'!G83)</f>
        <v>-81.319999999999993</v>
      </c>
      <c r="AM83">
        <f>MAX('Data #1'!H83,'Data #2'!H83,'Data #3'!H83,'Data #4'!H83,'Data #5'!H83)</f>
        <v>-94.71</v>
      </c>
      <c r="AN83">
        <f>MIN('Data #1'!C83,'Data #2'!C83,'Data #3'!C83,'Data #4'!C83,'Data #5'!C83)</f>
        <v>-106.08</v>
      </c>
      <c r="AO83">
        <f>MIN('Data #1'!D83,'Data #2'!D83,'Data #3'!D83,'Data #4'!D83,'Data #5'!D83)</f>
        <v>-75.62</v>
      </c>
      <c r="AP83">
        <f>MIN('Data #1'!E83,'Data #2'!E83,'Data #3'!E83,'Data #4'!E83,'Data #5'!E83)</f>
        <v>-97.66</v>
      </c>
      <c r="AQ83">
        <f>MIN('Data #1'!F83,'Data #2'!F83,'Data #3'!F83,'Data #4'!F83,'Data #5'!F83)</f>
        <v>-78.17</v>
      </c>
      <c r="AR83">
        <f>MIN('Data #1'!G83,'Data #2'!G83,'Data #3'!G83,'Data #4'!G83,'Data #5'!G83)</f>
        <v>-81.319999999999993</v>
      </c>
      <c r="AS83">
        <f>MIN('Data #1'!H83,'Data #2'!H83,'Data #3'!H83,'Data #4'!H83,'Data #5'!H83)</f>
        <v>-94.71</v>
      </c>
      <c r="AT83">
        <f t="shared" si="18"/>
        <v>0</v>
      </c>
      <c r="AU83">
        <f t="shared" si="19"/>
        <v>0</v>
      </c>
      <c r="AV83">
        <f t="shared" si="20"/>
        <v>0</v>
      </c>
      <c r="AW83">
        <f t="shared" si="21"/>
        <v>0</v>
      </c>
      <c r="AX83">
        <f t="shared" si="22"/>
        <v>0</v>
      </c>
      <c r="AY83">
        <f t="shared" si="23"/>
        <v>0</v>
      </c>
      <c r="AZ83">
        <v>3.4580000000000055</v>
      </c>
      <c r="BA83">
        <v>2.5910000000000011</v>
      </c>
      <c r="BB83">
        <v>2.0240000000000009</v>
      </c>
      <c r="BC83">
        <v>2.7040000000000006</v>
      </c>
      <c r="BD83">
        <v>2.2060000000000031</v>
      </c>
      <c r="BE83">
        <v>2.3260000000000005</v>
      </c>
      <c r="BF83">
        <f t="shared" si="24"/>
        <v>-3.4580000000000055</v>
      </c>
      <c r="BG83">
        <f t="shared" si="25"/>
        <v>-2.5910000000000011</v>
      </c>
      <c r="BH83">
        <f t="shared" si="26"/>
        <v>-2.0240000000000009</v>
      </c>
      <c r="BI83">
        <f t="shared" si="27"/>
        <v>-2.7040000000000006</v>
      </c>
      <c r="BJ83">
        <f t="shared" si="28"/>
        <v>-2.2060000000000031</v>
      </c>
      <c r="BK83">
        <f t="shared" si="29"/>
        <v>-2.3260000000000005</v>
      </c>
    </row>
    <row r="84" spans="2:63">
      <c r="B84" s="19">
        <v>9000</v>
      </c>
      <c r="C84" s="27">
        <f>+AVERAGE('Data #1'!W84,'Data #2'!W84,'Data #3'!W84,'Data #4'!W84,'Data #5'!W84)</f>
        <v>28.994666666666667</v>
      </c>
      <c r="D84" s="27">
        <f>+C84+STDEV('Data #1'!R84:T84,'Data #2'!R84:T84,'Data #3'!R84:T84,'Data #4'!R84:T84,'Data #5'!R84:T84)</f>
        <v>48.564617709260617</v>
      </c>
      <c r="E84" s="27">
        <f>+C84-STDEV('Data #1'!R84:T84,'Data #2'!R84:T84,'Data #3'!R84:T84,'Data #4'!R84:T84,'Data #5'!R84:T84)</f>
        <v>9.4247156240727215</v>
      </c>
      <c r="F84" s="27">
        <f>+MIN('Data #1'!R84:T84,'Data #2'!R84:T84,'Data #3'!R84:T84,'Data #4'!R84:T84,'Data #5'!R84:T84)</f>
        <v>20</v>
      </c>
      <c r="G84" s="27">
        <f>+MAX('Data #1'!R84:T84,'Data #2'!R84:T84,'Data #3'!R84:T84,'Data #4'!R84:T84,'Data #5'!R84:T84)</f>
        <v>80.569999999999993</v>
      </c>
      <c r="I84" s="19">
        <v>9000</v>
      </c>
      <c r="J84" s="27">
        <f>+AVERAGE('Data #1'!X84,'Data #2'!X84,'Data #3'!X84,'Data #4'!X84,'Data #5'!X84)</f>
        <v>11.346</v>
      </c>
      <c r="K84" s="27">
        <f t="shared" si="16"/>
        <v>21.346</v>
      </c>
      <c r="O84" s="20">
        <v>9000</v>
      </c>
      <c r="P84" s="28">
        <f>+AVERAGE('Data #1'!AH84,'Data #2'!AH84,'Data #3'!AH84,'Data #4'!AH84,'Data #5'!AH84)</f>
        <v>26.278000000000002</v>
      </c>
      <c r="Q84" s="28">
        <f>+P84+STDEV('Data #1'!AC84:AE84,'Data #2'!AC84:AE84,'Data #3'!AC84:AE84,'Data #4'!AC84:AE84,'Data #5'!AC84:AE84)</f>
        <v>39.298141100837356</v>
      </c>
      <c r="R84" s="28">
        <f>+P84-STDEV('Data #1'!AC84:AE84,'Data #2'!AC84:AE84,'Data #3'!AC84:AE84,'Data #4'!AC84:AE84,'Data #5'!AC84:AE84)</f>
        <v>13.257858899162647</v>
      </c>
      <c r="S84" s="28">
        <f>+MIN('Data #1'!AC84:AE84,'Data #2'!AC84:AE84,'Data #3'!AC84:AE84,'Data #4'!AC84:AE84,'Data #5'!AC84:AE84)</f>
        <v>20</v>
      </c>
      <c r="T84" s="28">
        <f>+MAX('Data #1'!AC84:AE84,'Data #2'!AC84:AE84,'Data #3'!AC84:AE84,'Data #4'!AC84:AE84,'Data #5'!AC84:AE84)</f>
        <v>53.690000000000005</v>
      </c>
      <c r="V84" s="20">
        <v>9000</v>
      </c>
      <c r="W84" s="28">
        <f>+AVERAGE('Data #1'!AI84,'Data #2'!AI84,'Data #3'!AI84,'Data #4'!AI84,'Data #4'!AI84)</f>
        <v>10.108000000000001</v>
      </c>
      <c r="X84" s="28">
        <f t="shared" si="17"/>
        <v>20.108000000000001</v>
      </c>
      <c r="AB84" s="21">
        <v>9000</v>
      </c>
      <c r="AC84" s="10">
        <v>-10</v>
      </c>
      <c r="AD84" s="10">
        <v>10</v>
      </c>
      <c r="AH84">
        <f>MAX('Data #1'!C84,'Data #2'!C84,'Data #3'!C84,'Data #4'!C84,'Data #5'!C84)</f>
        <v>-103.84</v>
      </c>
      <c r="AI84">
        <f>MAX('Data #1'!D84,'Data #2'!D84,'Data #3'!D84,'Data #4'!D84,'Data #5'!D84)</f>
        <v>-72</v>
      </c>
      <c r="AJ84">
        <f>MAX('Data #1'!E84,'Data #2'!E84,'Data #3'!E84,'Data #4'!E84,'Data #5'!E84)</f>
        <v>-88.89</v>
      </c>
      <c r="AK84">
        <f>MAX('Data #1'!F84,'Data #2'!F84,'Data #3'!F84,'Data #4'!F84,'Data #5'!F84)</f>
        <v>-79.150000000000006</v>
      </c>
      <c r="AL84">
        <f>MAX('Data #1'!G84,'Data #2'!G84,'Data #3'!G84,'Data #4'!G84,'Data #5'!G84)</f>
        <v>-80.25</v>
      </c>
      <c r="AM84">
        <f>MAX('Data #1'!H84,'Data #2'!H84,'Data #3'!H84,'Data #4'!H84,'Data #5'!H84)</f>
        <v>-83.15</v>
      </c>
      <c r="AN84">
        <f>MIN('Data #1'!C84,'Data #2'!C84,'Data #3'!C84,'Data #4'!C84,'Data #5'!C84)</f>
        <v>-103.84</v>
      </c>
      <c r="AO84">
        <f>MIN('Data #1'!D84,'Data #2'!D84,'Data #3'!D84,'Data #4'!D84,'Data #5'!D84)</f>
        <v>-72</v>
      </c>
      <c r="AP84">
        <f>MIN('Data #1'!E84,'Data #2'!E84,'Data #3'!E84,'Data #4'!E84,'Data #5'!E84)</f>
        <v>-88.89</v>
      </c>
      <c r="AQ84">
        <f>MIN('Data #1'!F84,'Data #2'!F84,'Data #3'!F84,'Data #4'!F84,'Data #5'!F84)</f>
        <v>-79.150000000000006</v>
      </c>
      <c r="AR84">
        <f>MIN('Data #1'!G84,'Data #2'!G84,'Data #3'!G84,'Data #4'!G84,'Data #5'!G84)</f>
        <v>-80.25</v>
      </c>
      <c r="AS84">
        <f>MIN('Data #1'!H84,'Data #2'!H84,'Data #3'!H84,'Data #4'!H84,'Data #5'!H84)</f>
        <v>-83.15</v>
      </c>
      <c r="AT84">
        <f t="shared" si="18"/>
        <v>0</v>
      </c>
      <c r="AU84">
        <f t="shared" si="19"/>
        <v>0</v>
      </c>
      <c r="AV84">
        <f t="shared" si="20"/>
        <v>0</v>
      </c>
      <c r="AW84">
        <f t="shared" si="21"/>
        <v>0</v>
      </c>
      <c r="AX84">
        <f t="shared" si="22"/>
        <v>0</v>
      </c>
      <c r="AY84">
        <f t="shared" si="23"/>
        <v>0</v>
      </c>
      <c r="AZ84">
        <v>2.3329999999999984</v>
      </c>
      <c r="BA84">
        <v>1.4830000000000041</v>
      </c>
      <c r="BB84">
        <v>1.6559999999999988</v>
      </c>
      <c r="BC84">
        <v>1.8840000000000003</v>
      </c>
      <c r="BD84">
        <v>2.4089999999999989</v>
      </c>
      <c r="BE84">
        <v>2.2539999999999978</v>
      </c>
      <c r="BF84">
        <f t="shared" si="24"/>
        <v>-2.3329999999999984</v>
      </c>
      <c r="BG84">
        <f t="shared" si="25"/>
        <v>-1.4830000000000041</v>
      </c>
      <c r="BH84">
        <f t="shared" si="26"/>
        <v>-1.6559999999999988</v>
      </c>
      <c r="BI84">
        <f t="shared" si="27"/>
        <v>-1.8840000000000003</v>
      </c>
      <c r="BJ84">
        <f t="shared" si="28"/>
        <v>-2.4089999999999989</v>
      </c>
      <c r="BK84">
        <f t="shared" si="29"/>
        <v>-2.2539999999999978</v>
      </c>
    </row>
    <row r="85" spans="2:63">
      <c r="B85" s="19">
        <v>9500</v>
      </c>
      <c r="C85" s="27">
        <f>+AVERAGE('Data #1'!W85,'Data #2'!W85,'Data #3'!W85,'Data #4'!W85,'Data #5'!W85)</f>
        <v>26.866000000000003</v>
      </c>
      <c r="D85" s="27">
        <f>+C85+STDEV('Data #1'!R85:T85,'Data #2'!R85:T85,'Data #3'!R85:T85,'Data #4'!R85:T85,'Data #5'!R85:T85)</f>
        <v>41.521971869124599</v>
      </c>
      <c r="E85" s="27">
        <f>+C85-STDEV('Data #1'!R85:T85,'Data #2'!R85:T85,'Data #3'!R85:T85,'Data #4'!R85:T85,'Data #5'!R85:T85)</f>
        <v>12.21002813087541</v>
      </c>
      <c r="F85" s="27">
        <f>+MIN('Data #1'!R85:T85,'Data #2'!R85:T85,'Data #3'!R85:T85,'Data #4'!R85:T85,'Data #5'!R85:T85)</f>
        <v>20</v>
      </c>
      <c r="G85" s="27">
        <f>+MAX('Data #1'!R85:T85,'Data #2'!R85:T85,'Data #3'!R85:T85,'Data #4'!R85:T85,'Data #5'!R85:T85)</f>
        <v>62.96</v>
      </c>
      <c r="I85" s="19">
        <v>9500</v>
      </c>
      <c r="J85" s="27">
        <f>+AVERAGE('Data #1'!X85,'Data #2'!X85,'Data #3'!X85,'Data #4'!X85,'Data #5'!X85)</f>
        <v>10.314</v>
      </c>
      <c r="K85" s="27">
        <f t="shared" si="16"/>
        <v>20.314</v>
      </c>
      <c r="O85" s="20">
        <v>9500</v>
      </c>
      <c r="P85" s="28">
        <f>+AVERAGE('Data #1'!AH85,'Data #2'!AH85,'Data #3'!AH85,'Data #4'!AH85,'Data #5'!AH85)</f>
        <v>27.937333333333335</v>
      </c>
      <c r="Q85" s="28">
        <f>+P85+STDEV('Data #1'!AC85:AE85,'Data #2'!AC85:AE85,'Data #3'!AC85:AE85,'Data #4'!AC85:AE85,'Data #5'!AC85:AE85)</f>
        <v>44.716171394017593</v>
      </c>
      <c r="R85" s="28">
        <f>+P85-STDEV('Data #1'!AC85:AE85,'Data #2'!AC85:AE85,'Data #3'!AC85:AE85,'Data #4'!AC85:AE85,'Data #5'!AC85:AE85)</f>
        <v>11.158495272649073</v>
      </c>
      <c r="S85" s="28">
        <f>+MIN('Data #1'!AC85:AE85,'Data #2'!AC85:AE85,'Data #3'!AC85:AE85,'Data #4'!AC85:AE85,'Data #5'!AC85:AE85)</f>
        <v>20</v>
      </c>
      <c r="T85" s="28">
        <f>+MAX('Data #1'!AC85:AE85,'Data #2'!AC85:AE85,'Data #3'!AC85:AE85,'Data #4'!AC85:AE85,'Data #5'!AC85:AE85)</f>
        <v>70.050000000000011</v>
      </c>
      <c r="V85" s="20">
        <v>9500</v>
      </c>
      <c r="W85" s="28">
        <f>+AVERAGE('Data #1'!AI85,'Data #2'!AI85,'Data #3'!AI85,'Data #4'!AI85,'Data #4'!AI85)</f>
        <v>12.248000000000001</v>
      </c>
      <c r="X85" s="28">
        <f t="shared" si="17"/>
        <v>22.248000000000001</v>
      </c>
      <c r="AB85" s="21">
        <v>9500</v>
      </c>
      <c r="AC85" s="10">
        <v>-10</v>
      </c>
      <c r="AD85" s="10">
        <v>10</v>
      </c>
      <c r="AH85">
        <f>MAX('Data #1'!C85,'Data #2'!C85,'Data #3'!C85,'Data #4'!C85,'Data #5'!C85)</f>
        <v>-84.23</v>
      </c>
      <c r="AI85">
        <f>MAX('Data #1'!D85,'Data #2'!D85,'Data #3'!D85,'Data #4'!D85,'Data #5'!D85)</f>
        <v>-72.66</v>
      </c>
      <c r="AJ85">
        <f>MAX('Data #1'!E85,'Data #2'!E85,'Data #3'!E85,'Data #4'!E85,'Data #5'!E85)</f>
        <v>-91.39</v>
      </c>
      <c r="AK85">
        <f>MAX('Data #1'!F85,'Data #2'!F85,'Data #3'!F85,'Data #4'!F85,'Data #5'!F85)</f>
        <v>-72.92</v>
      </c>
      <c r="AL85">
        <f>MAX('Data #1'!G85,'Data #2'!G85,'Data #3'!G85,'Data #4'!G85,'Data #5'!G85)</f>
        <v>-73.61</v>
      </c>
      <c r="AM85">
        <f>MAX('Data #1'!H85,'Data #2'!H85,'Data #3'!H85,'Data #4'!H85,'Data #5'!H85)</f>
        <v>-88.81</v>
      </c>
      <c r="AN85">
        <f>MIN('Data #1'!C85,'Data #2'!C85,'Data #3'!C85,'Data #4'!C85,'Data #5'!C85)</f>
        <v>-84.23</v>
      </c>
      <c r="AO85">
        <f>MIN('Data #1'!D85,'Data #2'!D85,'Data #3'!D85,'Data #4'!D85,'Data #5'!D85)</f>
        <v>-72.66</v>
      </c>
      <c r="AP85">
        <f>MIN('Data #1'!E85,'Data #2'!E85,'Data #3'!E85,'Data #4'!E85,'Data #5'!E85)</f>
        <v>-91.39</v>
      </c>
      <c r="AQ85">
        <f>MIN('Data #1'!F85,'Data #2'!F85,'Data #3'!F85,'Data #4'!F85,'Data #5'!F85)</f>
        <v>-72.92</v>
      </c>
      <c r="AR85">
        <f>MIN('Data #1'!G85,'Data #2'!G85,'Data #3'!G85,'Data #4'!G85,'Data #5'!G85)</f>
        <v>-73.61</v>
      </c>
      <c r="AS85">
        <f>MIN('Data #1'!H85,'Data #2'!H85,'Data #3'!H85,'Data #4'!H85,'Data #5'!H85)</f>
        <v>-88.81</v>
      </c>
      <c r="AT85">
        <f t="shared" si="18"/>
        <v>0</v>
      </c>
      <c r="AU85">
        <f t="shared" si="19"/>
        <v>0</v>
      </c>
      <c r="AV85">
        <f t="shared" si="20"/>
        <v>0</v>
      </c>
      <c r="AW85">
        <f t="shared" si="21"/>
        <v>0</v>
      </c>
      <c r="AX85">
        <f t="shared" si="22"/>
        <v>0</v>
      </c>
      <c r="AY85">
        <f t="shared" si="23"/>
        <v>0</v>
      </c>
      <c r="AZ85">
        <v>2.7250000000000014</v>
      </c>
      <c r="BA85">
        <v>2.0700000000000003</v>
      </c>
      <c r="BB85">
        <v>1.1829999999999998</v>
      </c>
      <c r="BC85">
        <v>1.7779999999999987</v>
      </c>
      <c r="BD85">
        <v>1.5390000000000015</v>
      </c>
      <c r="BE85">
        <v>1.6869999999999976</v>
      </c>
      <c r="BF85">
        <f t="shared" si="24"/>
        <v>-2.7250000000000014</v>
      </c>
      <c r="BG85">
        <f t="shared" si="25"/>
        <v>-2.0700000000000003</v>
      </c>
      <c r="BH85">
        <f t="shared" si="26"/>
        <v>-1.1829999999999998</v>
      </c>
      <c r="BI85">
        <f t="shared" si="27"/>
        <v>-1.7779999999999987</v>
      </c>
      <c r="BJ85">
        <f t="shared" si="28"/>
        <v>-1.5390000000000015</v>
      </c>
      <c r="BK85">
        <f t="shared" si="29"/>
        <v>-1.6869999999999976</v>
      </c>
    </row>
    <row r="86" spans="2:63">
      <c r="B86" s="19">
        <v>10000</v>
      </c>
      <c r="C86" s="27">
        <f>+AVERAGE('Data #1'!W86,'Data #2'!W86,'Data #3'!W86,'Data #4'!W86,'Data #5'!W86)</f>
        <v>31.18266666666667</v>
      </c>
      <c r="D86" s="27">
        <f>+C86+STDEV('Data #1'!R86:T86,'Data #2'!R86:T86,'Data #3'!R86:T86,'Data #4'!R86:T86,'Data #5'!R86:T86)</f>
        <v>54.674725041076243</v>
      </c>
      <c r="E86" s="27">
        <f>+C86-STDEV('Data #1'!R86:T86,'Data #2'!R86:T86,'Data #3'!R86:T86,'Data #4'!R86:T86,'Data #5'!R86:T86)</f>
        <v>7.6906082922570995</v>
      </c>
      <c r="F86" s="27">
        <f>+MIN('Data #1'!R86:T86,'Data #2'!R86:T86,'Data #3'!R86:T86,'Data #4'!R86:T86,'Data #5'!R86:T86)</f>
        <v>20</v>
      </c>
      <c r="G86" s="27">
        <f>+MAX('Data #1'!R86:T86,'Data #2'!R86:T86,'Data #3'!R86:T86,'Data #4'!R86:T86,'Data #5'!R86:T86)</f>
        <v>84.740000000000009</v>
      </c>
      <c r="I86" s="19">
        <v>10000</v>
      </c>
      <c r="J86" s="27">
        <f>+AVERAGE('Data #1'!X86,'Data #2'!X86,'Data #3'!X86,'Data #4'!X86,'Data #5'!X86)</f>
        <v>13.201999999999998</v>
      </c>
      <c r="K86" s="27">
        <f t="shared" si="16"/>
        <v>23.201999999999998</v>
      </c>
      <c r="O86" s="20">
        <v>10000</v>
      </c>
      <c r="P86" s="28">
        <f>+AVERAGE('Data #1'!AH86,'Data #2'!AH86,'Data #3'!AH86,'Data #4'!AH86,'Data #5'!AH86)</f>
        <v>28.748666666666669</v>
      </c>
      <c r="Q86" s="28">
        <f>+P86+STDEV('Data #1'!AC86:AE86,'Data #2'!AC86:AE86,'Data #3'!AC86:AE86,'Data #4'!AC86:AE86,'Data #5'!AC86:AE86)</f>
        <v>47.285225473008047</v>
      </c>
      <c r="R86" s="28">
        <f>+P86-STDEV('Data #1'!AC86:AE86,'Data #2'!AC86:AE86,'Data #3'!AC86:AE86,'Data #4'!AC86:AE86,'Data #5'!AC86:AE86)</f>
        <v>10.21210786032529</v>
      </c>
      <c r="S86" s="28">
        <f>+MIN('Data #1'!AC86:AE86,'Data #2'!AC86:AE86,'Data #3'!AC86:AE86,'Data #4'!AC86:AE86,'Data #5'!AC86:AE86)</f>
        <v>20</v>
      </c>
      <c r="T86" s="28">
        <f>+MAX('Data #1'!AC86:AE86,'Data #2'!AC86:AE86,'Data #3'!AC86:AE86,'Data #4'!AC86:AE86,'Data #5'!AC86:AE86)</f>
        <v>72.139999999999986</v>
      </c>
      <c r="V86" s="20">
        <v>10000</v>
      </c>
      <c r="W86" s="28">
        <f>+AVERAGE('Data #1'!AI86,'Data #2'!AI86,'Data #3'!AI86,'Data #4'!AI86,'Data #4'!AI86)</f>
        <v>12.874000000000001</v>
      </c>
      <c r="X86" s="28">
        <f t="shared" si="17"/>
        <v>22.874000000000002</v>
      </c>
      <c r="AB86" s="21">
        <v>10000</v>
      </c>
      <c r="AC86" s="10">
        <v>-10</v>
      </c>
      <c r="AD86" s="10">
        <v>10</v>
      </c>
      <c r="AH86">
        <f>MAX('Data #1'!C86,'Data #2'!C86,'Data #3'!C86,'Data #4'!C86,'Data #5'!C86)</f>
        <v>-92.78</v>
      </c>
      <c r="AI86">
        <f>MAX('Data #1'!D86,'Data #2'!D86,'Data #3'!D86,'Data #4'!D86,'Data #5'!D86)</f>
        <v>-78.2</v>
      </c>
      <c r="AJ86">
        <f>MAX('Data #1'!E86,'Data #2'!E86,'Data #3'!E86,'Data #4'!E86,'Data #5'!E86)</f>
        <v>-98.73</v>
      </c>
      <c r="AK86">
        <f>MAX('Data #1'!F86,'Data #2'!F86,'Data #3'!F86,'Data #4'!F86,'Data #5'!F86)</f>
        <v>-82.67</v>
      </c>
      <c r="AL86">
        <f>MAX('Data #1'!G86,'Data #2'!G86,'Data #3'!G86,'Data #4'!G86,'Data #5'!G86)</f>
        <v>-67.680000000000007</v>
      </c>
      <c r="AM86">
        <f>MAX('Data #1'!H86,'Data #2'!H86,'Data #3'!H86,'Data #4'!H86,'Data #5'!H86)</f>
        <v>-87.77</v>
      </c>
      <c r="AN86">
        <f>MIN('Data #1'!C86,'Data #2'!C86,'Data #3'!C86,'Data #4'!C86,'Data #5'!C86)</f>
        <v>-92.78</v>
      </c>
      <c r="AO86">
        <f>MIN('Data #1'!D86,'Data #2'!D86,'Data #3'!D86,'Data #4'!D86,'Data #5'!D86)</f>
        <v>-78.2</v>
      </c>
      <c r="AP86">
        <f>MIN('Data #1'!E86,'Data #2'!E86,'Data #3'!E86,'Data #4'!E86,'Data #5'!E86)</f>
        <v>-98.73</v>
      </c>
      <c r="AQ86">
        <f>MIN('Data #1'!F86,'Data #2'!F86,'Data #3'!F86,'Data #4'!F86,'Data #5'!F86)</f>
        <v>-82.67</v>
      </c>
      <c r="AR86">
        <f>MIN('Data #1'!G86,'Data #2'!G86,'Data #3'!G86,'Data #4'!G86,'Data #5'!G86)</f>
        <v>-67.680000000000007</v>
      </c>
      <c r="AS86">
        <f>MIN('Data #1'!H86,'Data #2'!H86,'Data #3'!H86,'Data #4'!H86,'Data #5'!H86)</f>
        <v>-87.77</v>
      </c>
      <c r="AT86">
        <f t="shared" si="18"/>
        <v>0</v>
      </c>
      <c r="AU86">
        <f t="shared" si="19"/>
        <v>0</v>
      </c>
      <c r="AV86">
        <f t="shared" si="20"/>
        <v>0</v>
      </c>
      <c r="AW86">
        <f t="shared" si="21"/>
        <v>0</v>
      </c>
      <c r="AX86">
        <f t="shared" si="22"/>
        <v>0</v>
      </c>
      <c r="AY86">
        <f t="shared" si="23"/>
        <v>0</v>
      </c>
      <c r="AZ86">
        <v>1.8740000000000023</v>
      </c>
      <c r="BA86">
        <v>2.3830000000000027</v>
      </c>
      <c r="BB86">
        <v>2.2280000000000015</v>
      </c>
      <c r="BC86">
        <v>0.84900000000000375</v>
      </c>
      <c r="BD86">
        <v>0.80799999999999983</v>
      </c>
      <c r="BE86">
        <v>2.3670000000000044</v>
      </c>
      <c r="BF86">
        <f t="shared" si="24"/>
        <v>-1.8740000000000023</v>
      </c>
      <c r="BG86">
        <f t="shared" si="25"/>
        <v>-2.3830000000000027</v>
      </c>
      <c r="BH86">
        <f t="shared" si="26"/>
        <v>-2.2280000000000015</v>
      </c>
      <c r="BI86">
        <f t="shared" si="27"/>
        <v>-0.84900000000000375</v>
      </c>
      <c r="BJ86">
        <f t="shared" si="28"/>
        <v>-0.80799999999999983</v>
      </c>
      <c r="BK86">
        <f t="shared" si="29"/>
        <v>-2.3670000000000044</v>
      </c>
    </row>
  </sheetData>
  <mergeCells count="2">
    <mergeCell ref="AZ4:BE4"/>
    <mergeCell ref="AT4:AY4"/>
  </mergeCells>
  <phoneticPr fontId="2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U37"/>
  <sheetViews>
    <sheetView workbookViewId="0">
      <selection activeCell="D23" sqref="D23"/>
    </sheetView>
  </sheetViews>
  <sheetFormatPr defaultRowHeight="12.75"/>
  <cols>
    <col min="1" max="2" width="5" customWidth="1"/>
    <col min="3" max="3" width="13.7109375" customWidth="1"/>
    <col min="4" max="4" width="15.42578125" customWidth="1"/>
    <col min="5" max="5" width="22.5703125" customWidth="1"/>
    <col min="6" max="6" width="19" customWidth="1"/>
    <col min="7" max="7" width="15.28515625" bestFit="1" customWidth="1"/>
    <col min="8" max="8" width="18.28515625" bestFit="1" customWidth="1"/>
    <col min="9" max="9" width="10.85546875" customWidth="1"/>
    <col min="14" max="15" width="13" bestFit="1" customWidth="1"/>
    <col min="16" max="16" width="17.42578125" customWidth="1"/>
    <col min="17" max="17" width="11.7109375" bestFit="1" customWidth="1"/>
    <col min="18" max="18" width="15.28515625" bestFit="1" customWidth="1"/>
    <col min="19" max="19" width="18.28515625" bestFit="1" customWidth="1"/>
    <col min="20" max="21" width="7.5703125" bestFit="1" customWidth="1"/>
  </cols>
  <sheetData>
    <row r="2" spans="3:21">
      <c r="C2" t="s">
        <v>41</v>
      </c>
    </row>
    <row r="3" spans="3:21">
      <c r="C3" t="s">
        <v>182</v>
      </c>
      <c r="N3" t="s">
        <v>159</v>
      </c>
    </row>
    <row r="4" spans="3:21">
      <c r="C4" s="35" t="s">
        <v>48</v>
      </c>
      <c r="D4" s="55" t="str">
        <f>SC_Import!D4</f>
        <v>I_320</v>
      </c>
      <c r="N4" s="35" t="s">
        <v>48</v>
      </c>
      <c r="O4" s="55" t="str">
        <f>SC_Import!D4</f>
        <v>I_320</v>
      </c>
    </row>
    <row r="5" spans="3:21">
      <c r="C5" s="35" t="s">
        <v>53</v>
      </c>
      <c r="D5" s="55">
        <f>SC_Import!D5</f>
        <v>0</v>
      </c>
      <c r="N5" s="35" t="s">
        <v>53</v>
      </c>
      <c r="O5" s="55">
        <f>SC_Import!D5</f>
        <v>0</v>
      </c>
    </row>
    <row r="6" spans="3:21">
      <c r="C6" s="35" t="s">
        <v>54</v>
      </c>
      <c r="D6" s="55">
        <f>SC_Import!D6</f>
        <v>0</v>
      </c>
      <c r="N6" s="35" t="s">
        <v>54</v>
      </c>
      <c r="O6" s="55">
        <f>SC_Import!D6</f>
        <v>0</v>
      </c>
    </row>
    <row r="7" spans="3:21">
      <c r="C7" s="35" t="s">
        <v>55</v>
      </c>
      <c r="D7" s="55">
        <f>SC_Import!D7</f>
        <v>0</v>
      </c>
      <c r="N7" s="35" t="s">
        <v>55</v>
      </c>
      <c r="O7" s="55">
        <f>SC_Import!D7</f>
        <v>0</v>
      </c>
    </row>
    <row r="8" spans="3:21">
      <c r="C8" s="35" t="s">
        <v>56</v>
      </c>
      <c r="D8" s="55">
        <f>SC_Import!D8</f>
        <v>0</v>
      </c>
      <c r="N8" s="35" t="s">
        <v>56</v>
      </c>
      <c r="O8" s="55">
        <f>SC_Import!D8</f>
        <v>0</v>
      </c>
    </row>
    <row r="9" spans="3:21">
      <c r="C9" s="35"/>
      <c r="D9" s="54"/>
      <c r="H9" t="s">
        <v>87</v>
      </c>
    </row>
    <row r="11" spans="3:21">
      <c r="D11" s="33" t="s">
        <v>51</v>
      </c>
      <c r="E11" s="48" t="s">
        <v>64</v>
      </c>
      <c r="F11" s="48" t="s">
        <v>63</v>
      </c>
      <c r="G11" s="49" t="s">
        <v>61</v>
      </c>
      <c r="H11" s="49" t="s">
        <v>62</v>
      </c>
      <c r="I11" s="49" t="s">
        <v>83</v>
      </c>
      <c r="J11" s="49" t="s">
        <v>85</v>
      </c>
      <c r="O11" s="33" t="s">
        <v>51</v>
      </c>
      <c r="P11" s="48" t="s">
        <v>90</v>
      </c>
      <c r="Q11" s="48" t="s">
        <v>91</v>
      </c>
      <c r="R11" s="49" t="s">
        <v>61</v>
      </c>
      <c r="S11" s="49" t="s">
        <v>62</v>
      </c>
      <c r="T11" s="49" t="s">
        <v>92</v>
      </c>
      <c r="U11" s="49" t="s">
        <v>93</v>
      </c>
    </row>
    <row r="12" spans="3:21">
      <c r="C12" t="s">
        <v>72</v>
      </c>
      <c r="D12" s="56" t="s">
        <v>73</v>
      </c>
      <c r="E12" s="56"/>
      <c r="F12" s="33"/>
      <c r="G12" s="33">
        <v>6</v>
      </c>
      <c r="H12" s="33">
        <v>3</v>
      </c>
      <c r="I12" s="33" t="s">
        <v>84</v>
      </c>
      <c r="J12" s="33" t="s">
        <v>82</v>
      </c>
      <c r="N12" t="s">
        <v>94</v>
      </c>
      <c r="O12" s="56" t="s">
        <v>95</v>
      </c>
      <c r="P12" s="56"/>
      <c r="Q12" s="33" t="s">
        <v>160</v>
      </c>
      <c r="R12" s="33">
        <v>6</v>
      </c>
      <c r="S12" s="33">
        <v>45</v>
      </c>
      <c r="T12" s="33" t="s">
        <v>96</v>
      </c>
      <c r="U12" s="33" t="s">
        <v>97</v>
      </c>
    </row>
    <row r="13" spans="3:21">
      <c r="D13" s="56" t="s">
        <v>74</v>
      </c>
      <c r="E13" s="56" t="s">
        <v>184</v>
      </c>
      <c r="F13" s="33"/>
      <c r="G13" s="33">
        <v>6</v>
      </c>
      <c r="H13" s="33">
        <v>11</v>
      </c>
      <c r="I13" s="33" t="s">
        <v>106</v>
      </c>
      <c r="J13" s="33" t="s">
        <v>86</v>
      </c>
      <c r="O13" s="56" t="s">
        <v>98</v>
      </c>
      <c r="P13" s="56"/>
      <c r="Q13" s="33"/>
      <c r="R13" s="33">
        <v>6</v>
      </c>
      <c r="S13" s="33">
        <v>11</v>
      </c>
      <c r="T13" s="33" t="s">
        <v>96</v>
      </c>
      <c r="U13" s="33"/>
    </row>
    <row r="14" spans="3:21">
      <c r="C14" t="s">
        <v>75</v>
      </c>
      <c r="D14" s="56" t="s">
        <v>76</v>
      </c>
      <c r="E14" s="56" t="s">
        <v>184</v>
      </c>
      <c r="F14" s="33" t="s">
        <v>183</v>
      </c>
      <c r="G14" s="33">
        <v>6</v>
      </c>
      <c r="H14" s="33">
        <v>12</v>
      </c>
      <c r="I14" s="33" t="s">
        <v>107</v>
      </c>
      <c r="J14" s="33" t="s">
        <v>86</v>
      </c>
      <c r="N14" t="s">
        <v>99</v>
      </c>
      <c r="O14" s="56" t="s">
        <v>100</v>
      </c>
      <c r="P14" s="56"/>
      <c r="Q14" s="33"/>
      <c r="R14" s="33">
        <v>6</v>
      </c>
      <c r="S14" s="33">
        <v>12</v>
      </c>
      <c r="T14" s="33" t="s">
        <v>96</v>
      </c>
      <c r="U14" s="33"/>
    </row>
    <row r="22" spans="1:16">
      <c r="C22" t="s">
        <v>51</v>
      </c>
      <c r="D22" t="s">
        <v>59</v>
      </c>
      <c r="E22" t="s">
        <v>60</v>
      </c>
      <c r="N22" t="s">
        <v>51</v>
      </c>
      <c r="O22" t="s">
        <v>59</v>
      </c>
      <c r="P22" t="s">
        <v>60</v>
      </c>
    </row>
    <row r="23" spans="1:16">
      <c r="A23">
        <v>0</v>
      </c>
      <c r="B23" t="s">
        <v>77</v>
      </c>
      <c r="C23" s="54" t="s">
        <v>73</v>
      </c>
      <c r="D23" t="str">
        <f>CONCATENATE("Data ", B23)</f>
        <v>Data #1</v>
      </c>
      <c r="E23" t="str">
        <f t="shared" ref="E23:E37" si="0">IF(VLOOKUP(B23,$C$4:$D$8,2,FALSE)&lt;&gt;"",CONCATENATE($C$3,"\",VLOOKUP(C23,$D$12:$F$18,2,FALSE),$I$9,VLOOKUP(B23,$C$4:$D$8,2,FALSE),VLOOKUP(C23,$D$12:$F$18,3,FALSE), VLOOKUP(C23, $D$12:$I$18,6,FALSE ),""))</f>
        <v>C:\SoundCheck 13.0-x64\data\118-0\Berlin60\OPL Test\Prototype Samples with Spikes on REC Front Suspn 20150216\I_320.exp</v>
      </c>
      <c r="L23">
        <v>0</v>
      </c>
      <c r="M23" t="s">
        <v>101</v>
      </c>
      <c r="N23" s="54" t="s">
        <v>95</v>
      </c>
      <c r="O23" t="str">
        <f t="shared" ref="O23:O36" si="1">CONCATENATE("Data ", M23)</f>
        <v>Data #1</v>
      </c>
      <c r="P23" t="str">
        <f>IF(VLOOKUP(M23,$N$4:$O$8,2,FALSE)&lt;&gt;"",CONCATENATE($N$3,"\",VLOOKUP(N23,$O$12:$Q$18,2,FALSE),$I$9,VLOOKUP(M23,$N$4:$O$8,2,FALSE),VLOOKUP(N23,$O$12:$Q$18,3,FALSE), VLOOKUP(N23, $O$12:$T$18,6),""))</f>
        <v>C:\UPL Data\VikingRecSuspension_20140731\Group2_ReAsm_OriSuspn(Neoprene)_0917\I_320N0R3.exp</v>
      </c>
    </row>
    <row r="24" spans="1:16">
      <c r="A24">
        <v>1</v>
      </c>
      <c r="B24" t="s">
        <v>77</v>
      </c>
      <c r="C24" s="54" t="s">
        <v>74</v>
      </c>
      <c r="D24" t="str">
        <f t="shared" ref="D24:D37" si="2">CONCATENATE("Data ", B24)</f>
        <v>Data #1</v>
      </c>
      <c r="E24" t="str">
        <f t="shared" si="0"/>
        <v>C:\SoundCheck 13.0-x64\data\118-0\Berlin60\OPL Test\Prototype Samples with Spikes on REC Front Suspn 20150216\FOG-20_I_320.txt</v>
      </c>
      <c r="L24">
        <v>1</v>
      </c>
      <c r="M24" t="s">
        <v>101</v>
      </c>
      <c r="N24" s="54" t="s">
        <v>98</v>
      </c>
      <c r="O24" t="str">
        <f t="shared" si="1"/>
        <v>Data #1</v>
      </c>
      <c r="P24" t="str">
        <f t="shared" ref="P24:P37" si="3">IF(VLOOKUP(M24,$N$4:$O$8,2,FALSE)&lt;&gt;"",CONCATENATE($N$3,"\",VLOOKUP(N24,$O$12:$Q$18,2,FALSE),$I$9,VLOOKUP(M24,$N$4:$O$8,2,FALSE),VLOOKUP(N24,$O$12:$Q$18,3,FALSE), VLOOKUP(N24, $O$12:$T$18,6),""))</f>
        <v>C:\UPL Data\VikingRecSuspension_20140731\Group2_ReAsm_OriSuspn(Neoprene)_0917\I_320.exp</v>
      </c>
    </row>
    <row r="25" spans="1:16">
      <c r="A25">
        <v>2</v>
      </c>
      <c r="B25" t="s">
        <v>48</v>
      </c>
      <c r="C25" s="56" t="s">
        <v>76</v>
      </c>
      <c r="D25" t="str">
        <f t="shared" si="2"/>
        <v>Data #1</v>
      </c>
      <c r="E25" t="str">
        <f t="shared" si="0"/>
        <v>C:\SoundCheck 13.0-x64\data\118-0\Berlin60\OPL Test\Prototype Samples with Spikes on REC Front Suspn 20150216\FOG-20_I_320R.txt</v>
      </c>
      <c r="L25">
        <v>2</v>
      </c>
      <c r="M25" t="s">
        <v>48</v>
      </c>
      <c r="N25" s="56" t="s">
        <v>100</v>
      </c>
      <c r="O25" t="str">
        <f t="shared" si="1"/>
        <v>Data #1</v>
      </c>
      <c r="P25" t="str">
        <f t="shared" si="3"/>
        <v>C:\UPL Data\VikingRecSuspension_20140731\Group2_ReAsm_OriSuspn(Neoprene)_0917\I_320.exp</v>
      </c>
    </row>
    <row r="26" spans="1:16">
      <c r="A26">
        <v>3</v>
      </c>
      <c r="B26" t="s">
        <v>78</v>
      </c>
      <c r="C26" s="54" t="s">
        <v>73</v>
      </c>
      <c r="D26" t="str">
        <f t="shared" si="2"/>
        <v>Data #2</v>
      </c>
      <c r="E26" t="str">
        <f t="shared" si="0"/>
        <v>C:\SoundCheck 13.0-x64\data\118-0\Berlin60\OPL Test\Prototype Samples with Spikes on REC Front Suspn 20150216\0.exp</v>
      </c>
      <c r="L26">
        <v>3</v>
      </c>
      <c r="M26" t="s">
        <v>102</v>
      </c>
      <c r="N26" s="54" t="s">
        <v>95</v>
      </c>
      <c r="O26" t="str">
        <f t="shared" si="1"/>
        <v>Data #2</v>
      </c>
      <c r="P26" t="str">
        <f t="shared" si="3"/>
        <v>C:\UPL Data\VikingRecSuspension_20140731\Group2_ReAsm_OriSuspn(Neoprene)_0917\0N0R3.exp</v>
      </c>
    </row>
    <row r="27" spans="1:16">
      <c r="A27">
        <v>4</v>
      </c>
      <c r="B27" t="s">
        <v>78</v>
      </c>
      <c r="C27" s="54" t="s">
        <v>74</v>
      </c>
      <c r="D27" t="str">
        <f t="shared" si="2"/>
        <v>Data #2</v>
      </c>
      <c r="E27" t="str">
        <f t="shared" si="0"/>
        <v>C:\SoundCheck 13.0-x64\data\118-0\Berlin60\OPL Test\Prototype Samples with Spikes on REC Front Suspn 20150216\FOG-20_0.txt</v>
      </c>
      <c r="L27">
        <v>4</v>
      </c>
      <c r="M27" t="s">
        <v>102</v>
      </c>
      <c r="N27" s="54" t="s">
        <v>98</v>
      </c>
      <c r="O27" t="str">
        <f t="shared" si="1"/>
        <v>Data #2</v>
      </c>
      <c r="P27" t="str">
        <f t="shared" si="3"/>
        <v>C:\UPL Data\VikingRecSuspension_20140731\Group2_ReAsm_OriSuspn(Neoprene)_0917\0.exp</v>
      </c>
    </row>
    <row r="28" spans="1:16">
      <c r="A28">
        <v>5</v>
      </c>
      <c r="B28" t="s">
        <v>78</v>
      </c>
      <c r="C28" s="56" t="s">
        <v>76</v>
      </c>
      <c r="D28" t="str">
        <f t="shared" si="2"/>
        <v>Data #2</v>
      </c>
      <c r="E28" t="str">
        <f t="shared" si="0"/>
        <v>C:\SoundCheck 13.0-x64\data\118-0\Berlin60\OPL Test\Prototype Samples with Spikes on REC Front Suspn 20150216\FOG-20_0R.txt</v>
      </c>
      <c r="L28">
        <v>5</v>
      </c>
      <c r="M28" t="s">
        <v>102</v>
      </c>
      <c r="N28" s="56" t="s">
        <v>100</v>
      </c>
      <c r="O28" t="str">
        <f t="shared" si="1"/>
        <v>Data #2</v>
      </c>
      <c r="P28" t="str">
        <f t="shared" si="3"/>
        <v>C:\UPL Data\VikingRecSuspension_20140731\Group2_ReAsm_OriSuspn(Neoprene)_0917\0.exp</v>
      </c>
    </row>
    <row r="29" spans="1:16">
      <c r="A29">
        <v>6</v>
      </c>
      <c r="B29" t="s">
        <v>79</v>
      </c>
      <c r="C29" s="54" t="s">
        <v>73</v>
      </c>
      <c r="D29" t="str">
        <f>CONCATENATE("Data ", B29)</f>
        <v>Data #3</v>
      </c>
      <c r="E29" t="str">
        <f t="shared" si="0"/>
        <v>C:\SoundCheck 13.0-x64\data\118-0\Berlin60\OPL Test\Prototype Samples with Spikes on REC Front Suspn 20150216\0.exp</v>
      </c>
      <c r="L29">
        <v>6</v>
      </c>
      <c r="M29" t="s">
        <v>103</v>
      </c>
      <c r="N29" s="54" t="s">
        <v>95</v>
      </c>
      <c r="O29" t="str">
        <f t="shared" si="1"/>
        <v>Data #3</v>
      </c>
      <c r="P29" t="str">
        <f t="shared" si="3"/>
        <v>C:\UPL Data\VikingRecSuspension_20140731\Group2_ReAsm_OriSuspn(Neoprene)_0917\0N0R3.exp</v>
      </c>
    </row>
    <row r="30" spans="1:16">
      <c r="A30">
        <v>7</v>
      </c>
      <c r="B30" t="s">
        <v>79</v>
      </c>
      <c r="C30" s="54" t="s">
        <v>74</v>
      </c>
      <c r="D30" t="str">
        <f t="shared" si="2"/>
        <v>Data #3</v>
      </c>
      <c r="E30" t="str">
        <f t="shared" si="0"/>
        <v>C:\SoundCheck 13.0-x64\data\118-0\Berlin60\OPL Test\Prototype Samples with Spikes on REC Front Suspn 20150216\FOG-20_0.txt</v>
      </c>
      <c r="L30">
        <v>7</v>
      </c>
      <c r="M30" t="s">
        <v>103</v>
      </c>
      <c r="N30" s="54" t="s">
        <v>98</v>
      </c>
      <c r="O30" t="str">
        <f t="shared" si="1"/>
        <v>Data #3</v>
      </c>
      <c r="P30" t="str">
        <f t="shared" si="3"/>
        <v>C:\UPL Data\VikingRecSuspension_20140731\Group2_ReAsm_OriSuspn(Neoprene)_0917\0.exp</v>
      </c>
    </row>
    <row r="31" spans="1:16">
      <c r="A31">
        <v>8</v>
      </c>
      <c r="B31" t="s">
        <v>79</v>
      </c>
      <c r="C31" s="56" t="s">
        <v>76</v>
      </c>
      <c r="D31" t="str">
        <f t="shared" si="2"/>
        <v>Data #3</v>
      </c>
      <c r="E31" t="str">
        <f t="shared" si="0"/>
        <v>C:\SoundCheck 13.0-x64\data\118-0\Berlin60\OPL Test\Prototype Samples with Spikes on REC Front Suspn 20150216\FOG-20_0R.txt</v>
      </c>
      <c r="L31">
        <v>8</v>
      </c>
      <c r="M31" t="s">
        <v>103</v>
      </c>
      <c r="N31" s="56" t="s">
        <v>100</v>
      </c>
      <c r="O31" t="str">
        <f t="shared" si="1"/>
        <v>Data #3</v>
      </c>
      <c r="P31" t="str">
        <f t="shared" si="3"/>
        <v>C:\UPL Data\VikingRecSuspension_20140731\Group2_ReAsm_OriSuspn(Neoprene)_0917\0.exp</v>
      </c>
    </row>
    <row r="32" spans="1:16">
      <c r="A32">
        <v>9</v>
      </c>
      <c r="B32" t="s">
        <v>80</v>
      </c>
      <c r="C32" s="54" t="s">
        <v>73</v>
      </c>
      <c r="D32" t="str">
        <f t="shared" si="2"/>
        <v>Data #4</v>
      </c>
      <c r="E32" t="str">
        <f t="shared" si="0"/>
        <v>C:\SoundCheck 13.0-x64\data\118-0\Berlin60\OPL Test\Prototype Samples with Spikes on REC Front Suspn 20150216\0.exp</v>
      </c>
      <c r="L32">
        <v>9</v>
      </c>
      <c r="M32" t="s">
        <v>104</v>
      </c>
      <c r="N32" s="54" t="s">
        <v>95</v>
      </c>
      <c r="O32" t="str">
        <f t="shared" si="1"/>
        <v>Data #4</v>
      </c>
      <c r="P32" t="str">
        <f t="shared" si="3"/>
        <v>C:\UPL Data\VikingRecSuspension_20140731\Group2_ReAsm_OriSuspn(Neoprene)_0917\0N0R3.exp</v>
      </c>
    </row>
    <row r="33" spans="1:16">
      <c r="A33">
        <v>10</v>
      </c>
      <c r="B33" t="s">
        <v>80</v>
      </c>
      <c r="C33" s="54" t="s">
        <v>74</v>
      </c>
      <c r="D33" t="str">
        <f t="shared" si="2"/>
        <v>Data #4</v>
      </c>
      <c r="E33" t="str">
        <f t="shared" si="0"/>
        <v>C:\SoundCheck 13.0-x64\data\118-0\Berlin60\OPL Test\Prototype Samples with Spikes on REC Front Suspn 20150216\FOG-20_0.txt</v>
      </c>
      <c r="L33">
        <v>10</v>
      </c>
      <c r="M33" t="s">
        <v>104</v>
      </c>
      <c r="N33" s="54" t="s">
        <v>98</v>
      </c>
      <c r="O33" t="str">
        <f t="shared" si="1"/>
        <v>Data #4</v>
      </c>
      <c r="P33" t="str">
        <f t="shared" si="3"/>
        <v>C:\UPL Data\VikingRecSuspension_20140731\Group2_ReAsm_OriSuspn(Neoprene)_0917\0.exp</v>
      </c>
    </row>
    <row r="34" spans="1:16">
      <c r="A34">
        <v>11</v>
      </c>
      <c r="B34" t="s">
        <v>80</v>
      </c>
      <c r="C34" s="56" t="s">
        <v>76</v>
      </c>
      <c r="D34" t="str">
        <f t="shared" si="2"/>
        <v>Data #4</v>
      </c>
      <c r="E34" t="str">
        <f t="shared" si="0"/>
        <v>C:\SoundCheck 13.0-x64\data\118-0\Berlin60\OPL Test\Prototype Samples with Spikes on REC Front Suspn 20150216\FOG-20_0R.txt</v>
      </c>
      <c r="L34">
        <v>11</v>
      </c>
      <c r="M34" t="s">
        <v>104</v>
      </c>
      <c r="N34" s="56" t="s">
        <v>100</v>
      </c>
      <c r="O34" t="str">
        <f t="shared" si="1"/>
        <v>Data #4</v>
      </c>
      <c r="P34" t="str">
        <f t="shared" si="3"/>
        <v>C:\UPL Data\VikingRecSuspension_20140731\Group2_ReAsm_OriSuspn(Neoprene)_0917\0.exp</v>
      </c>
    </row>
    <row r="35" spans="1:16">
      <c r="A35">
        <v>12</v>
      </c>
      <c r="B35" t="s">
        <v>81</v>
      </c>
      <c r="C35" s="54" t="s">
        <v>73</v>
      </c>
      <c r="D35" t="str">
        <f t="shared" si="2"/>
        <v>Data #5</v>
      </c>
      <c r="E35" t="str">
        <f t="shared" si="0"/>
        <v>C:\SoundCheck 13.0-x64\data\118-0\Berlin60\OPL Test\Prototype Samples with Spikes on REC Front Suspn 20150216\0.exp</v>
      </c>
      <c r="L35">
        <v>12</v>
      </c>
      <c r="M35" t="s">
        <v>105</v>
      </c>
      <c r="N35" s="54" t="s">
        <v>95</v>
      </c>
      <c r="O35" t="str">
        <f t="shared" si="1"/>
        <v>Data #5</v>
      </c>
      <c r="P35" t="str">
        <f t="shared" si="3"/>
        <v>C:\UPL Data\VikingRecSuspension_20140731\Group2_ReAsm_OriSuspn(Neoprene)_0917\0N0R3.exp</v>
      </c>
    </row>
    <row r="36" spans="1:16">
      <c r="A36">
        <v>13</v>
      </c>
      <c r="B36" t="s">
        <v>81</v>
      </c>
      <c r="C36" s="54" t="s">
        <v>74</v>
      </c>
      <c r="D36" t="str">
        <f t="shared" si="2"/>
        <v>Data #5</v>
      </c>
      <c r="E36" t="str">
        <f t="shared" si="0"/>
        <v>C:\SoundCheck 13.0-x64\data\118-0\Berlin60\OPL Test\Prototype Samples with Spikes on REC Front Suspn 20150216\FOG-20_0.txt</v>
      </c>
      <c r="L36">
        <v>13</v>
      </c>
      <c r="M36" t="s">
        <v>105</v>
      </c>
      <c r="N36" s="54" t="s">
        <v>98</v>
      </c>
      <c r="O36" t="str">
        <f t="shared" si="1"/>
        <v>Data #5</v>
      </c>
      <c r="P36" t="str">
        <f t="shared" si="3"/>
        <v>C:\UPL Data\VikingRecSuspension_20140731\Group2_ReAsm_OriSuspn(Neoprene)_0917\0.exp</v>
      </c>
    </row>
    <row r="37" spans="1:16">
      <c r="A37">
        <v>14</v>
      </c>
      <c r="B37" t="s">
        <v>81</v>
      </c>
      <c r="C37" s="56" t="s">
        <v>76</v>
      </c>
      <c r="D37" t="str">
        <f t="shared" si="2"/>
        <v>Data #5</v>
      </c>
      <c r="E37" t="str">
        <f t="shared" si="0"/>
        <v>C:\SoundCheck 13.0-x64\data\118-0\Berlin60\OPL Test\Prototype Samples with Spikes on REC Front Suspn 20150216\FOG-20_0R.txt</v>
      </c>
      <c r="L37">
        <v>14</v>
      </c>
      <c r="M37" t="s">
        <v>105</v>
      </c>
      <c r="N37" s="56" t="s">
        <v>100</v>
      </c>
      <c r="O37" t="str">
        <f>CONCATENATE("Data ", M37)</f>
        <v>Data #5</v>
      </c>
      <c r="P37" t="str">
        <f t="shared" si="3"/>
        <v>C:\UPL Data\VikingRecSuspension_20140731\Group2_ReAsm_OriSuspn(Neoprene)_0917\0.exp</v>
      </c>
    </row>
  </sheetData>
  <dataConsolidate/>
  <phoneticPr fontId="1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55" r:id="rId4" name="BN_UPLImport2">
          <controlPr defaultSize="0" autoLine="0" r:id="rId5">
            <anchor moveWithCells="1">
              <from>
                <xdr:col>16</xdr:col>
                <xdr:colOff>142875</xdr:colOff>
                <xdr:row>4</xdr:row>
                <xdr:rowOff>57150</xdr:rowOff>
              </from>
              <to>
                <xdr:col>18</xdr:col>
                <xdr:colOff>409575</xdr:colOff>
                <xdr:row>7</xdr:row>
                <xdr:rowOff>19050</xdr:rowOff>
              </to>
            </anchor>
          </controlPr>
        </control>
      </mc:Choice>
      <mc:Fallback>
        <control shapeId="23555" r:id="rId4" name="BN_UPLImport2"/>
      </mc:Fallback>
    </mc:AlternateContent>
    <mc:AlternateContent xmlns:mc="http://schemas.openxmlformats.org/markup-compatibility/2006">
      <mc:Choice Requires="x14">
        <control shapeId="23553" r:id="rId6" name="BN_UPLImport">
          <controlPr defaultSize="0" autoLine="0" r:id="rId7">
            <anchor moveWithCells="1">
              <from>
                <xdr:col>4</xdr:col>
                <xdr:colOff>1304925</xdr:colOff>
                <xdr:row>3</xdr:row>
                <xdr:rowOff>57150</xdr:rowOff>
              </from>
              <to>
                <xdr:col>6</xdr:col>
                <xdr:colOff>600075</xdr:colOff>
                <xdr:row>6</xdr:row>
                <xdr:rowOff>19050</xdr:rowOff>
              </to>
            </anchor>
          </controlPr>
        </control>
      </mc:Choice>
      <mc:Fallback>
        <control shapeId="23553" r:id="rId6" name="BN_UPL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2:R75"/>
  <sheetViews>
    <sheetView zoomScaleNormal="100" workbookViewId="0">
      <selection activeCell="D5" sqref="D5"/>
    </sheetView>
  </sheetViews>
  <sheetFormatPr defaultRowHeight="12.75"/>
  <cols>
    <col min="1" max="1" width="4.85546875" customWidth="1"/>
    <col min="2" max="2" width="5.85546875" customWidth="1"/>
    <col min="3" max="3" width="18.42578125" customWidth="1"/>
    <col min="4" max="4" width="13.140625" customWidth="1"/>
    <col min="5" max="5" width="55.7109375" customWidth="1"/>
    <col min="6" max="6" width="20" customWidth="1"/>
    <col min="7" max="7" width="15.42578125" customWidth="1"/>
    <col min="8" max="9" width="51" customWidth="1"/>
    <col min="10" max="10" width="31.7109375" customWidth="1"/>
    <col min="11" max="11" width="12.42578125" bestFit="1" customWidth="1"/>
    <col min="12" max="12" width="3.7109375" bestFit="1" customWidth="1"/>
    <col min="13" max="13" width="13.5703125" bestFit="1" customWidth="1"/>
    <col min="14" max="14" width="21.140625" customWidth="1"/>
    <col min="15" max="15" width="26.140625" customWidth="1"/>
    <col min="16" max="16" width="17.7109375" customWidth="1"/>
    <col min="17" max="17" width="13.5703125" bestFit="1" customWidth="1"/>
    <col min="18" max="18" width="12.5703125" bestFit="1" customWidth="1"/>
    <col min="19" max="19" width="70.42578125" bestFit="1" customWidth="1"/>
  </cols>
  <sheetData>
    <row r="2" spans="3:18">
      <c r="C2" t="s">
        <v>41</v>
      </c>
    </row>
    <row r="3" spans="3:18">
      <c r="C3" t="s">
        <v>224</v>
      </c>
    </row>
    <row r="4" spans="3:18">
      <c r="C4" s="35" t="s">
        <v>48</v>
      </c>
      <c r="D4" s="55" t="s">
        <v>239</v>
      </c>
      <c r="M4" s="35" t="s">
        <v>48</v>
      </c>
      <c r="N4" s="55"/>
    </row>
    <row r="5" spans="3:18">
      <c r="C5" s="35" t="s">
        <v>53</v>
      </c>
      <c r="D5" s="55"/>
      <c r="M5" s="35" t="s">
        <v>53</v>
      </c>
      <c r="N5" s="55"/>
    </row>
    <row r="6" spans="3:18">
      <c r="C6" s="35" t="s">
        <v>54</v>
      </c>
      <c r="D6" s="55"/>
      <c r="M6" s="35" t="s">
        <v>54</v>
      </c>
      <c r="N6" s="55"/>
    </row>
    <row r="7" spans="3:18">
      <c r="C7" s="35" t="s">
        <v>55</v>
      </c>
      <c r="D7" s="55"/>
      <c r="M7" s="35" t="s">
        <v>55</v>
      </c>
      <c r="N7" s="55"/>
    </row>
    <row r="8" spans="3:18">
      <c r="C8" s="35" t="s">
        <v>56</v>
      </c>
      <c r="D8" s="55"/>
      <c r="M8" s="35" t="s">
        <v>56</v>
      </c>
      <c r="N8" s="55"/>
    </row>
    <row r="11" spans="3:18">
      <c r="C11" s="33"/>
      <c r="D11" s="33" t="s">
        <v>51</v>
      </c>
      <c r="E11" s="48" t="s">
        <v>161</v>
      </c>
      <c r="F11" s="48" t="s">
        <v>162</v>
      </c>
      <c r="G11" s="49" t="s">
        <v>61</v>
      </c>
      <c r="H11" s="49" t="s">
        <v>62</v>
      </c>
      <c r="M11" s="33"/>
      <c r="N11" s="33" t="s">
        <v>51</v>
      </c>
      <c r="O11" s="48" t="s">
        <v>64</v>
      </c>
      <c r="P11" s="48" t="s">
        <v>63</v>
      </c>
      <c r="Q11" s="49" t="s">
        <v>61</v>
      </c>
      <c r="R11" s="49" t="s">
        <v>62</v>
      </c>
    </row>
    <row r="12" spans="3:18">
      <c r="C12" s="121" t="s">
        <v>49</v>
      </c>
      <c r="D12" s="33" t="s">
        <v>163</v>
      </c>
      <c r="E12" s="50" t="s">
        <v>170</v>
      </c>
      <c r="F12" s="50"/>
      <c r="G12" s="34">
        <v>6</v>
      </c>
      <c r="H12" s="33">
        <v>3</v>
      </c>
      <c r="M12" s="121" t="s">
        <v>49</v>
      </c>
      <c r="N12" s="33" t="s">
        <v>42</v>
      </c>
      <c r="O12" s="50" t="s">
        <v>170</v>
      </c>
      <c r="P12" s="50"/>
      <c r="Q12" s="34">
        <v>6</v>
      </c>
      <c r="R12" s="33">
        <v>45</v>
      </c>
    </row>
    <row r="13" spans="3:18">
      <c r="C13" s="121"/>
      <c r="D13" s="33" t="s">
        <v>164</v>
      </c>
      <c r="E13" s="50" t="s">
        <v>171</v>
      </c>
      <c r="F13" s="50"/>
      <c r="G13" s="34">
        <v>6</v>
      </c>
      <c r="H13" s="33">
        <v>4</v>
      </c>
      <c r="M13" s="121"/>
      <c r="N13" s="33" t="s">
        <v>43</v>
      </c>
      <c r="O13" s="50" t="s">
        <v>171</v>
      </c>
      <c r="P13" s="50"/>
      <c r="Q13" s="34">
        <v>6</v>
      </c>
      <c r="R13" s="33">
        <v>46</v>
      </c>
    </row>
    <row r="14" spans="3:18">
      <c r="C14" s="121"/>
      <c r="D14" s="33" t="s">
        <v>165</v>
      </c>
      <c r="E14" s="50" t="s">
        <v>172</v>
      </c>
      <c r="F14" s="50"/>
      <c r="G14" s="34">
        <v>6</v>
      </c>
      <c r="H14" s="33">
        <v>5</v>
      </c>
      <c r="M14" s="121"/>
      <c r="N14" s="33" t="s">
        <v>44</v>
      </c>
      <c r="O14" s="50" t="s">
        <v>172</v>
      </c>
      <c r="P14" s="50"/>
      <c r="Q14" s="34">
        <v>6</v>
      </c>
      <c r="R14" s="33">
        <v>47</v>
      </c>
    </row>
    <row r="15" spans="3:18">
      <c r="C15" s="121" t="s">
        <v>50</v>
      </c>
      <c r="D15" s="33" t="s">
        <v>166</v>
      </c>
      <c r="E15" s="50" t="s">
        <v>173</v>
      </c>
      <c r="F15" s="50"/>
      <c r="G15" s="34">
        <v>6</v>
      </c>
      <c r="H15" s="33">
        <v>6</v>
      </c>
      <c r="M15" s="121" t="s">
        <v>50</v>
      </c>
      <c r="N15" s="33" t="s">
        <v>45</v>
      </c>
      <c r="O15" s="50" t="s">
        <v>173</v>
      </c>
      <c r="P15" s="50"/>
      <c r="Q15" s="34">
        <v>6</v>
      </c>
      <c r="R15" s="33">
        <v>48</v>
      </c>
    </row>
    <row r="16" spans="3:18">
      <c r="C16" s="121"/>
      <c r="D16" s="33" t="s">
        <v>167</v>
      </c>
      <c r="E16" s="50" t="s">
        <v>174</v>
      </c>
      <c r="F16" s="50"/>
      <c r="G16" s="34">
        <v>6</v>
      </c>
      <c r="H16" s="33">
        <v>7</v>
      </c>
      <c r="M16" s="121"/>
      <c r="N16" s="33" t="s">
        <v>46</v>
      </c>
      <c r="O16" s="50" t="s">
        <v>174</v>
      </c>
      <c r="P16" s="50"/>
      <c r="Q16" s="34">
        <v>6</v>
      </c>
      <c r="R16" s="33">
        <v>49</v>
      </c>
    </row>
    <row r="17" spans="1:18">
      <c r="C17" s="121"/>
      <c r="D17" s="33" t="s">
        <v>168</v>
      </c>
      <c r="E17" s="50" t="s">
        <v>175</v>
      </c>
      <c r="F17" s="50"/>
      <c r="G17" s="34">
        <v>6</v>
      </c>
      <c r="H17" s="33">
        <v>8</v>
      </c>
      <c r="M17" s="121"/>
      <c r="N17" s="33" t="s">
        <v>47</v>
      </c>
      <c r="O17" s="50" t="s">
        <v>175</v>
      </c>
      <c r="P17" s="50"/>
      <c r="Q17" s="34">
        <v>6</v>
      </c>
      <c r="R17" s="33">
        <v>50</v>
      </c>
    </row>
    <row r="18" spans="1:18">
      <c r="C18" s="122" t="s">
        <v>52</v>
      </c>
      <c r="D18" s="34" t="s">
        <v>58</v>
      </c>
      <c r="E18" s="50" t="s">
        <v>226</v>
      </c>
      <c r="F18" s="50"/>
      <c r="G18" s="34">
        <v>6</v>
      </c>
      <c r="H18" s="33">
        <v>11</v>
      </c>
      <c r="M18" s="121" t="s">
        <v>52</v>
      </c>
      <c r="N18" s="34" t="s">
        <v>58</v>
      </c>
      <c r="O18" s="50" t="s">
        <v>176</v>
      </c>
      <c r="P18" s="50"/>
      <c r="Q18" s="34"/>
      <c r="R18" s="33"/>
    </row>
    <row r="19" spans="1:18">
      <c r="C19" s="123"/>
      <c r="D19" s="34" t="s">
        <v>57</v>
      </c>
      <c r="E19" s="50" t="s">
        <v>227</v>
      </c>
      <c r="F19" s="50"/>
      <c r="G19" s="34">
        <v>6</v>
      </c>
      <c r="H19" s="33">
        <v>12</v>
      </c>
      <c r="M19" s="121"/>
      <c r="N19" s="34" t="s">
        <v>57</v>
      </c>
      <c r="O19" s="50" t="s">
        <v>177</v>
      </c>
      <c r="P19" s="50"/>
      <c r="Q19" s="34"/>
      <c r="R19" s="33"/>
    </row>
    <row r="20" spans="1:18">
      <c r="C20" s="123"/>
      <c r="D20" s="34" t="s">
        <v>232</v>
      </c>
      <c r="E20" s="50" t="s">
        <v>235</v>
      </c>
      <c r="F20" s="50"/>
      <c r="G20" s="34">
        <v>6</v>
      </c>
      <c r="H20" s="33">
        <v>13</v>
      </c>
      <c r="M20" s="46"/>
      <c r="N20" s="47"/>
      <c r="O20" s="103"/>
      <c r="P20" s="103"/>
      <c r="Q20" s="47"/>
      <c r="R20" s="104"/>
    </row>
    <row r="21" spans="1:18">
      <c r="C21" s="124"/>
      <c r="D21" s="34" t="s">
        <v>233</v>
      </c>
      <c r="E21" s="50" t="s">
        <v>234</v>
      </c>
      <c r="F21" s="50"/>
      <c r="G21" s="34">
        <v>6</v>
      </c>
      <c r="H21" s="33">
        <v>14</v>
      </c>
      <c r="M21" s="46"/>
      <c r="N21" s="47"/>
      <c r="O21" s="103"/>
      <c r="P21" s="103"/>
      <c r="Q21" s="47"/>
      <c r="R21" s="104"/>
    </row>
    <row r="22" spans="1:18">
      <c r="C22" s="46"/>
      <c r="D22" s="47"/>
      <c r="E22" s="47"/>
      <c r="F22" s="47"/>
    </row>
    <row r="23" spans="1:18">
      <c r="C23" s="46"/>
      <c r="D23" s="47"/>
      <c r="E23" s="47"/>
      <c r="F23" s="47"/>
    </row>
    <row r="24" spans="1:18">
      <c r="G24" s="52" t="s">
        <v>169</v>
      </c>
    </row>
    <row r="25" spans="1:18">
      <c r="C25" t="s">
        <v>51</v>
      </c>
      <c r="D25" t="s">
        <v>59</v>
      </c>
      <c r="E25" t="s">
        <v>60</v>
      </c>
      <c r="M25" t="s">
        <v>51</v>
      </c>
      <c r="N25" t="s">
        <v>59</v>
      </c>
      <c r="O25" t="s">
        <v>60</v>
      </c>
    </row>
    <row r="26" spans="1:18">
      <c r="A26">
        <v>0</v>
      </c>
      <c r="B26" s="35" t="s">
        <v>48</v>
      </c>
      <c r="C26" s="36" t="s">
        <v>42</v>
      </c>
      <c r="D26" t="str">
        <f>CONCATENATE("Data ", B26)</f>
        <v>Data #1</v>
      </c>
      <c r="E26" t="str">
        <f>IF(VLOOKUP(B26,$C$4:$D$8,2,FALSE)&lt;&gt;"",IF(AND(VLOOKUP(C26,$D$12:$F$21,2,FALSE)="",VLOOKUP(C26,$D$12:$F$21,3,FALSE)=""),"",CONCATENATE($C$3,"\",VLOOKUP(C26,$D$12:$F$21,2,FALSE),VLOOKUP(B26,$C$4:$D$8,2,FALSE),VLOOKUP(C26,$D$12:$F$21,3,FALSE), ".txt","")),"")</f>
        <v>C:\SoundCheck 15.0-x64\data\Front_HL_I_320.txt</v>
      </c>
      <c r="K26">
        <v>0</v>
      </c>
      <c r="L26" s="35" t="s">
        <v>48</v>
      </c>
      <c r="M26" s="36" t="s">
        <v>42</v>
      </c>
      <c r="N26" t="str">
        <f>CONCATENATE("Data ", L26)</f>
        <v>Data #1</v>
      </c>
      <c r="O26" t="str">
        <f>IF(VLOOKUP(L26,$M$4:$N$8,2,FALSE)&lt;&gt;"",IF(AND(VLOOKUP(M26,$N$12:$P$19,2,FALSE)="",VLOOKUP(M26,$N$12:$P$19,3,FALSE)=""),"",CONCATENATE($C$3,"\",VLOOKUP(M26,$N$12:$P$19,2,FALSE),VLOOKUP(L26,$M$4:$N$8,2,FALSE),VLOOKUP(M26,$N$12:$P$19,3,FALSE), ".txt","")),"")</f>
        <v/>
      </c>
    </row>
    <row r="27" spans="1:18">
      <c r="A27">
        <v>1</v>
      </c>
      <c r="B27" s="35" t="s">
        <v>48</v>
      </c>
      <c r="C27" s="36" t="s">
        <v>43</v>
      </c>
      <c r="D27" t="str">
        <f t="shared" ref="D27:D75" si="0">CONCATENATE("Data ", B27)</f>
        <v>Data #1</v>
      </c>
      <c r="E27" t="str">
        <f>IF(VLOOKUP(B27,$C$4:$D$8,2,FALSE)&lt;&gt;"",IF(AND(VLOOKUP(C27,$D$12:$F$21,2,FALSE)="",VLOOKUP(C27,$D$12:$F$21,3,FALSE)=""),"",CONCATENATE($C$3,"\",VLOOKUP(C27,$D$12:$F$21,2,FALSE),VLOOKUP(B27,$C$4:$D$8,2,FALSE),VLOOKUP(C27,$D$12:$F$21,3,FALSE), ".txt","")),"")</f>
        <v>C:\SoundCheck 15.0-x64\data\Front_HR_I_320.txt</v>
      </c>
      <c r="K27">
        <v>1</v>
      </c>
      <c r="L27" s="35" t="s">
        <v>48</v>
      </c>
      <c r="M27" s="36" t="s">
        <v>43</v>
      </c>
      <c r="N27" t="str">
        <f t="shared" ref="N27:N73" si="1">CONCATENATE("Data ", L27)</f>
        <v>Data #1</v>
      </c>
      <c r="O27" t="str">
        <f t="shared" ref="O27:O73" si="2">IF(VLOOKUP(L27,$M$4:$N$8,2,FALSE)&lt;&gt;"",IF(AND(VLOOKUP(M27,$N$12:$P$19,2,FALSE)="",VLOOKUP(M27,$N$12:$P$19,3,FALSE)=""),"",CONCATENATE($C$3,"\",VLOOKUP(M27,$N$12:$P$19,2,FALSE),VLOOKUP(L27,$M$4:$N$8,2,FALSE),VLOOKUP(M27,$N$12:$P$19,3,FALSE), ".txt","")),"")</f>
        <v/>
      </c>
    </row>
    <row r="28" spans="1:18">
      <c r="A28">
        <v>2</v>
      </c>
      <c r="B28" s="35" t="s">
        <v>48</v>
      </c>
      <c r="C28" s="36" t="s">
        <v>44</v>
      </c>
      <c r="D28" t="str">
        <f t="shared" si="0"/>
        <v>Data #1</v>
      </c>
      <c r="E28" t="str">
        <f t="shared" ref="E28:E33" si="3">IF(VLOOKUP(B28,$C$4:$D$8,2,FALSE)&lt;&gt;"",IF(AND(VLOOKUP(C28,$D$12:$F$21,2,FALSE)="",VLOOKUP(C28,$D$12:$F$21,3,FALSE)=""),"",CONCATENATE($C$3,"\",VLOOKUP(C28,$D$12:$F$21,2,FALSE),VLOOKUP(B28,$C$4:$D$8,2,FALSE),VLOOKUP(C28,$D$12:$F$21,3,FALSE), ".txt","")),"")</f>
        <v>C:\SoundCheck 15.0-x64\data\Front_L_I_320.txt</v>
      </c>
      <c r="K28">
        <v>2</v>
      </c>
      <c r="L28" s="35" t="s">
        <v>48</v>
      </c>
      <c r="M28" s="36" t="s">
        <v>44</v>
      </c>
      <c r="N28" t="str">
        <f t="shared" si="1"/>
        <v>Data #1</v>
      </c>
      <c r="O28" t="str">
        <f t="shared" si="2"/>
        <v/>
      </c>
    </row>
    <row r="29" spans="1:18">
      <c r="A29">
        <v>3</v>
      </c>
      <c r="B29" s="35" t="s">
        <v>48</v>
      </c>
      <c r="C29" s="36" t="s">
        <v>45</v>
      </c>
      <c r="D29" t="str">
        <f t="shared" si="0"/>
        <v>Data #1</v>
      </c>
      <c r="E29" t="str">
        <f t="shared" si="3"/>
        <v>C:\SoundCheck 15.0-x64\data\Rear_HL_I_320.txt</v>
      </c>
      <c r="K29">
        <v>3</v>
      </c>
      <c r="L29" s="35" t="s">
        <v>48</v>
      </c>
      <c r="M29" s="36" t="s">
        <v>45</v>
      </c>
      <c r="N29" t="str">
        <f t="shared" si="1"/>
        <v>Data #1</v>
      </c>
      <c r="O29" t="str">
        <f t="shared" si="2"/>
        <v/>
      </c>
    </row>
    <row r="30" spans="1:18">
      <c r="A30">
        <v>4</v>
      </c>
      <c r="B30" s="35" t="s">
        <v>48</v>
      </c>
      <c r="C30" s="36" t="s">
        <v>46</v>
      </c>
      <c r="D30" t="str">
        <f t="shared" si="0"/>
        <v>Data #1</v>
      </c>
      <c r="E30" t="str">
        <f t="shared" si="3"/>
        <v>C:\SoundCheck 15.0-x64\data\Rear_HR_I_320.txt</v>
      </c>
      <c r="K30">
        <v>4</v>
      </c>
      <c r="L30" s="35" t="s">
        <v>48</v>
      </c>
      <c r="M30" s="36" t="s">
        <v>46</v>
      </c>
      <c r="N30" t="str">
        <f t="shared" si="1"/>
        <v>Data #1</v>
      </c>
      <c r="O30" t="str">
        <f t="shared" si="2"/>
        <v/>
      </c>
    </row>
    <row r="31" spans="1:18">
      <c r="A31">
        <v>5</v>
      </c>
      <c r="B31" s="35" t="s">
        <v>48</v>
      </c>
      <c r="C31" s="36" t="s">
        <v>47</v>
      </c>
      <c r="D31" t="str">
        <f t="shared" si="0"/>
        <v>Data #1</v>
      </c>
      <c r="E31" t="str">
        <f t="shared" si="3"/>
        <v>C:\SoundCheck 15.0-x64\data\Rear_L_I_320.txt</v>
      </c>
      <c r="K31">
        <v>5</v>
      </c>
      <c r="L31" s="35" t="s">
        <v>48</v>
      </c>
      <c r="M31" s="36" t="s">
        <v>47</v>
      </c>
      <c r="N31" t="str">
        <f t="shared" si="1"/>
        <v>Data #1</v>
      </c>
      <c r="O31" t="str">
        <f t="shared" si="2"/>
        <v/>
      </c>
    </row>
    <row r="32" spans="1:18">
      <c r="A32">
        <v>6</v>
      </c>
      <c r="B32" s="35" t="s">
        <v>48</v>
      </c>
      <c r="C32" s="36" t="s">
        <v>58</v>
      </c>
      <c r="D32" t="str">
        <f t="shared" si="0"/>
        <v>Data #1</v>
      </c>
      <c r="E32" t="str">
        <f t="shared" si="3"/>
        <v>C:\SoundCheck 15.0-x64\data\FOG-20F_I_320.txt</v>
      </c>
      <c r="K32">
        <v>6</v>
      </c>
      <c r="L32" s="35" t="s">
        <v>48</v>
      </c>
      <c r="M32" s="36" t="s">
        <v>58</v>
      </c>
      <c r="N32" t="str">
        <f t="shared" si="1"/>
        <v>Data #1</v>
      </c>
      <c r="O32" t="str">
        <f t="shared" si="2"/>
        <v/>
      </c>
    </row>
    <row r="33" spans="1:15">
      <c r="A33">
        <v>7</v>
      </c>
      <c r="B33" s="35" t="s">
        <v>48</v>
      </c>
      <c r="C33" s="37" t="s">
        <v>57</v>
      </c>
      <c r="D33" t="str">
        <f t="shared" si="0"/>
        <v>Data #1</v>
      </c>
      <c r="E33" t="str">
        <f t="shared" si="3"/>
        <v>C:\SoundCheck 15.0-x64\data\FOG-20R_I_320.txt</v>
      </c>
      <c r="K33">
        <v>7</v>
      </c>
      <c r="L33" s="35" t="s">
        <v>48</v>
      </c>
      <c r="M33" s="37" t="s">
        <v>57</v>
      </c>
      <c r="N33" t="str">
        <f t="shared" si="1"/>
        <v>Data #1</v>
      </c>
      <c r="O33" t="str">
        <f t="shared" si="2"/>
        <v/>
      </c>
    </row>
    <row r="34" spans="1:15">
      <c r="A34">
        <v>8</v>
      </c>
      <c r="B34" s="35" t="s">
        <v>48</v>
      </c>
      <c r="C34" s="36" t="s">
        <v>232</v>
      </c>
      <c r="D34" t="str">
        <f t="shared" si="0"/>
        <v>Data #1</v>
      </c>
      <c r="E34" t="str">
        <f>IF(VLOOKUP(B34,$C$4:$D$8,2,FALSE)&lt;&gt;"",IF(AND(VLOOKUP(C34,$D$12:$F$21,2,FALSE)="",VLOOKUP(C34,$D$12:$F$21,3,FALSE)=""),"",CONCATENATE($C$3,"\",VLOOKUP(C34,$D$12:$F$21,2,FALSE),VLOOKUP(B34,$C$4:$D$8,2,FALSE),VLOOKUP(C34,$D$12:$F$21,3,FALSE), ".txt","")),"")</f>
        <v>C:\SoundCheck 15.0-x64\data\FOG50F_I_320.txt</v>
      </c>
      <c r="L34" s="35"/>
      <c r="M34" s="37"/>
    </row>
    <row r="35" spans="1:15">
      <c r="A35">
        <v>9</v>
      </c>
      <c r="B35" s="35" t="s">
        <v>48</v>
      </c>
      <c r="C35" s="37" t="s">
        <v>233</v>
      </c>
      <c r="D35" t="str">
        <f t="shared" si="0"/>
        <v>Data #1</v>
      </c>
      <c r="E35" t="str">
        <f>IF(VLOOKUP(B35,$C$4:$D$8,2,FALSE)&lt;&gt;"",IF(AND(VLOOKUP(C35,$D$12:$F$21,2,FALSE)="",VLOOKUP(C35,$D$12:$F$21,3,FALSE)=""),"",CONCATENATE($C$3,"\",VLOOKUP(C35,$D$12:$F$21,2,FALSE),VLOOKUP(B35,$C$4:$D$8,2,FALSE),VLOOKUP(C35,$D$12:$F$21,3,FALSE), ".txt","")),"")</f>
        <v>C:\SoundCheck 15.0-x64\data\FOG50R_I_320.txt</v>
      </c>
      <c r="L35" s="35"/>
      <c r="M35" s="37"/>
    </row>
    <row r="36" spans="1:15">
      <c r="A36">
        <v>10</v>
      </c>
      <c r="B36" s="35" t="s">
        <v>53</v>
      </c>
      <c r="C36" s="38" t="s">
        <v>42</v>
      </c>
      <c r="D36" t="str">
        <f t="shared" si="0"/>
        <v>Data #2</v>
      </c>
      <c r="E36" t="str">
        <f t="shared" ref="E36:E75" si="4">IF(VLOOKUP(B36,$C$4:$D$8,2,FALSE)&lt;&gt;"",IF(AND(VLOOKUP(C36,$D$12:$F$21,2,FALSE)="",VLOOKUP(C36,$D$12:$F$21,3,FALSE)=""),"",CONCATENATE($C$3,"\",VLOOKUP(C36,$D$12:$F$21,2,FALSE),VLOOKUP(B36,$C$4:$D$8,2,FALSE),VLOOKUP(C36,$D$12:$F$21,3,FALSE), ".txt","")),"")</f>
        <v/>
      </c>
      <c r="K36">
        <v>8</v>
      </c>
      <c r="L36" s="35" t="s">
        <v>53</v>
      </c>
      <c r="M36" s="38" t="s">
        <v>42</v>
      </c>
      <c r="N36" t="str">
        <f t="shared" si="1"/>
        <v>Data #2</v>
      </c>
      <c r="O36" t="str">
        <f t="shared" si="2"/>
        <v/>
      </c>
    </row>
    <row r="37" spans="1:15">
      <c r="A37">
        <v>11</v>
      </c>
      <c r="B37" s="35" t="s">
        <v>53</v>
      </c>
      <c r="C37" s="38" t="s">
        <v>43</v>
      </c>
      <c r="D37" t="str">
        <f t="shared" si="0"/>
        <v>Data #2</v>
      </c>
      <c r="E37" t="str">
        <f t="shared" si="4"/>
        <v/>
      </c>
      <c r="K37">
        <v>9</v>
      </c>
      <c r="L37" s="35" t="s">
        <v>53</v>
      </c>
      <c r="M37" s="38" t="s">
        <v>43</v>
      </c>
      <c r="N37" t="str">
        <f t="shared" si="1"/>
        <v>Data #2</v>
      </c>
      <c r="O37" t="str">
        <f t="shared" si="2"/>
        <v/>
      </c>
    </row>
    <row r="38" spans="1:15">
      <c r="A38">
        <v>12</v>
      </c>
      <c r="B38" s="35" t="s">
        <v>53</v>
      </c>
      <c r="C38" s="38" t="s">
        <v>44</v>
      </c>
      <c r="D38" t="str">
        <f t="shared" si="0"/>
        <v>Data #2</v>
      </c>
      <c r="E38" t="str">
        <f t="shared" si="4"/>
        <v/>
      </c>
      <c r="K38">
        <v>10</v>
      </c>
      <c r="L38" s="35" t="s">
        <v>53</v>
      </c>
      <c r="M38" s="38" t="s">
        <v>44</v>
      </c>
      <c r="N38" t="str">
        <f t="shared" si="1"/>
        <v>Data #2</v>
      </c>
      <c r="O38" t="str">
        <f t="shared" si="2"/>
        <v/>
      </c>
    </row>
    <row r="39" spans="1:15">
      <c r="A39">
        <v>13</v>
      </c>
      <c r="B39" s="35" t="s">
        <v>53</v>
      </c>
      <c r="C39" s="38" t="s">
        <v>45</v>
      </c>
      <c r="D39" t="str">
        <f t="shared" si="0"/>
        <v>Data #2</v>
      </c>
      <c r="E39" t="str">
        <f t="shared" si="4"/>
        <v/>
      </c>
      <c r="K39">
        <v>11</v>
      </c>
      <c r="L39" s="35" t="s">
        <v>53</v>
      </c>
      <c r="M39" s="38" t="s">
        <v>45</v>
      </c>
      <c r="N39" t="str">
        <f t="shared" si="1"/>
        <v>Data #2</v>
      </c>
      <c r="O39" t="str">
        <f t="shared" si="2"/>
        <v/>
      </c>
    </row>
    <row r="40" spans="1:15">
      <c r="A40">
        <v>14</v>
      </c>
      <c r="B40" s="35" t="s">
        <v>53</v>
      </c>
      <c r="C40" s="38" t="s">
        <v>46</v>
      </c>
      <c r="D40" t="str">
        <f t="shared" si="0"/>
        <v>Data #2</v>
      </c>
      <c r="E40" t="str">
        <f t="shared" si="4"/>
        <v/>
      </c>
      <c r="K40">
        <v>12</v>
      </c>
      <c r="L40" s="35" t="s">
        <v>53</v>
      </c>
      <c r="M40" s="38" t="s">
        <v>46</v>
      </c>
      <c r="N40" t="str">
        <f t="shared" si="1"/>
        <v>Data #2</v>
      </c>
      <c r="O40" t="str">
        <f t="shared" si="2"/>
        <v/>
      </c>
    </row>
    <row r="41" spans="1:15">
      <c r="A41">
        <v>15</v>
      </c>
      <c r="B41" s="35" t="s">
        <v>53</v>
      </c>
      <c r="C41" s="38" t="s">
        <v>47</v>
      </c>
      <c r="D41" t="str">
        <f t="shared" si="0"/>
        <v>Data #2</v>
      </c>
      <c r="E41" t="str">
        <f t="shared" si="4"/>
        <v/>
      </c>
      <c r="K41">
        <v>13</v>
      </c>
      <c r="L41" s="35" t="s">
        <v>53</v>
      </c>
      <c r="M41" s="38" t="s">
        <v>47</v>
      </c>
      <c r="N41" t="str">
        <f t="shared" si="1"/>
        <v>Data #2</v>
      </c>
      <c r="O41" t="str">
        <f t="shared" si="2"/>
        <v/>
      </c>
    </row>
    <row r="42" spans="1:15">
      <c r="A42">
        <v>16</v>
      </c>
      <c r="B42" s="35" t="s">
        <v>53</v>
      </c>
      <c r="C42" s="38" t="s">
        <v>58</v>
      </c>
      <c r="D42" t="str">
        <f t="shared" si="0"/>
        <v>Data #2</v>
      </c>
      <c r="E42" t="str">
        <f t="shared" si="4"/>
        <v/>
      </c>
      <c r="K42">
        <v>14</v>
      </c>
      <c r="L42" s="35" t="s">
        <v>53</v>
      </c>
      <c r="M42" s="38" t="s">
        <v>58</v>
      </c>
      <c r="N42" t="str">
        <f t="shared" si="1"/>
        <v>Data #2</v>
      </c>
      <c r="O42" t="str">
        <f t="shared" si="2"/>
        <v/>
      </c>
    </row>
    <row r="43" spans="1:15">
      <c r="A43">
        <v>17</v>
      </c>
      <c r="B43" s="35" t="s">
        <v>53</v>
      </c>
      <c r="C43" s="39" t="s">
        <v>57</v>
      </c>
      <c r="D43" t="str">
        <f t="shared" si="0"/>
        <v>Data #2</v>
      </c>
      <c r="E43" t="str">
        <f t="shared" si="4"/>
        <v/>
      </c>
      <c r="K43">
        <v>15</v>
      </c>
      <c r="L43" s="35" t="s">
        <v>53</v>
      </c>
      <c r="M43" s="39" t="s">
        <v>57</v>
      </c>
      <c r="N43" t="str">
        <f t="shared" si="1"/>
        <v>Data #2</v>
      </c>
      <c r="O43" t="str">
        <f t="shared" si="2"/>
        <v/>
      </c>
    </row>
    <row r="44" spans="1:15">
      <c r="A44">
        <v>18</v>
      </c>
      <c r="B44" s="35" t="s">
        <v>53</v>
      </c>
      <c r="C44" s="39" t="s">
        <v>232</v>
      </c>
      <c r="D44" t="str">
        <f t="shared" si="0"/>
        <v>Data #2</v>
      </c>
      <c r="E44" t="str">
        <f t="shared" si="4"/>
        <v/>
      </c>
      <c r="L44" s="35"/>
      <c r="M44" s="39"/>
    </row>
    <row r="45" spans="1:15">
      <c r="A45">
        <v>19</v>
      </c>
      <c r="B45" s="35" t="s">
        <v>53</v>
      </c>
      <c r="C45" s="39" t="s">
        <v>233</v>
      </c>
      <c r="D45" t="str">
        <f t="shared" si="0"/>
        <v>Data #2</v>
      </c>
      <c r="E45" t="str">
        <f t="shared" si="4"/>
        <v/>
      </c>
      <c r="L45" s="35"/>
      <c r="M45" s="39"/>
    </row>
    <row r="46" spans="1:15">
      <c r="A46">
        <v>20</v>
      </c>
      <c r="B46" s="35" t="s">
        <v>54</v>
      </c>
      <c r="C46" s="40" t="s">
        <v>42</v>
      </c>
      <c r="D46" t="str">
        <f t="shared" si="0"/>
        <v>Data #3</v>
      </c>
      <c r="E46" t="str">
        <f t="shared" si="4"/>
        <v/>
      </c>
      <c r="K46">
        <v>16</v>
      </c>
      <c r="L46" s="35" t="s">
        <v>54</v>
      </c>
      <c r="M46" s="40" t="s">
        <v>42</v>
      </c>
      <c r="N46" t="str">
        <f t="shared" si="1"/>
        <v>Data #3</v>
      </c>
      <c r="O46" t="str">
        <f t="shared" si="2"/>
        <v/>
      </c>
    </row>
    <row r="47" spans="1:15">
      <c r="A47">
        <v>21</v>
      </c>
      <c r="B47" s="35" t="s">
        <v>54</v>
      </c>
      <c r="C47" s="40" t="s">
        <v>43</v>
      </c>
      <c r="D47" t="str">
        <f t="shared" si="0"/>
        <v>Data #3</v>
      </c>
      <c r="E47" t="str">
        <f t="shared" si="4"/>
        <v/>
      </c>
      <c r="K47">
        <v>17</v>
      </c>
      <c r="L47" s="35" t="s">
        <v>54</v>
      </c>
      <c r="M47" s="40" t="s">
        <v>43</v>
      </c>
      <c r="N47" t="str">
        <f t="shared" si="1"/>
        <v>Data #3</v>
      </c>
      <c r="O47" t="str">
        <f t="shared" si="2"/>
        <v/>
      </c>
    </row>
    <row r="48" spans="1:15">
      <c r="A48">
        <v>22</v>
      </c>
      <c r="B48" s="35" t="s">
        <v>54</v>
      </c>
      <c r="C48" s="40" t="s">
        <v>44</v>
      </c>
      <c r="D48" t="str">
        <f t="shared" si="0"/>
        <v>Data #3</v>
      </c>
      <c r="E48" t="str">
        <f t="shared" si="4"/>
        <v/>
      </c>
      <c r="K48">
        <v>18</v>
      </c>
      <c r="L48" s="35" t="s">
        <v>54</v>
      </c>
      <c r="M48" s="40" t="s">
        <v>44</v>
      </c>
      <c r="N48" t="str">
        <f t="shared" si="1"/>
        <v>Data #3</v>
      </c>
      <c r="O48" t="str">
        <f t="shared" si="2"/>
        <v/>
      </c>
    </row>
    <row r="49" spans="1:15">
      <c r="A49">
        <v>23</v>
      </c>
      <c r="B49" s="35" t="s">
        <v>54</v>
      </c>
      <c r="C49" s="40" t="s">
        <v>45</v>
      </c>
      <c r="D49" t="str">
        <f t="shared" si="0"/>
        <v>Data #3</v>
      </c>
      <c r="E49" t="str">
        <f t="shared" si="4"/>
        <v/>
      </c>
      <c r="K49">
        <v>19</v>
      </c>
      <c r="L49" s="35" t="s">
        <v>54</v>
      </c>
      <c r="M49" s="40" t="s">
        <v>45</v>
      </c>
      <c r="N49" t="str">
        <f t="shared" si="1"/>
        <v>Data #3</v>
      </c>
      <c r="O49" t="str">
        <f t="shared" si="2"/>
        <v/>
      </c>
    </row>
    <row r="50" spans="1:15">
      <c r="A50">
        <v>24</v>
      </c>
      <c r="B50" s="35" t="s">
        <v>54</v>
      </c>
      <c r="C50" s="40" t="s">
        <v>46</v>
      </c>
      <c r="D50" t="str">
        <f t="shared" si="0"/>
        <v>Data #3</v>
      </c>
      <c r="E50" t="str">
        <f t="shared" si="4"/>
        <v/>
      </c>
      <c r="K50">
        <v>20</v>
      </c>
      <c r="L50" s="35" t="s">
        <v>54</v>
      </c>
      <c r="M50" s="40" t="s">
        <v>46</v>
      </c>
      <c r="N50" t="str">
        <f t="shared" si="1"/>
        <v>Data #3</v>
      </c>
      <c r="O50" t="str">
        <f t="shared" si="2"/>
        <v/>
      </c>
    </row>
    <row r="51" spans="1:15">
      <c r="A51">
        <v>25</v>
      </c>
      <c r="B51" s="35" t="s">
        <v>54</v>
      </c>
      <c r="C51" s="40" t="s">
        <v>47</v>
      </c>
      <c r="D51" t="str">
        <f t="shared" si="0"/>
        <v>Data #3</v>
      </c>
      <c r="E51" t="str">
        <f t="shared" si="4"/>
        <v/>
      </c>
      <c r="K51">
        <v>21</v>
      </c>
      <c r="L51" s="35" t="s">
        <v>54</v>
      </c>
      <c r="M51" s="40" t="s">
        <v>47</v>
      </c>
      <c r="N51" t="str">
        <f t="shared" si="1"/>
        <v>Data #3</v>
      </c>
      <c r="O51" t="str">
        <f t="shared" si="2"/>
        <v/>
      </c>
    </row>
    <row r="52" spans="1:15">
      <c r="A52">
        <v>26</v>
      </c>
      <c r="B52" s="35" t="s">
        <v>54</v>
      </c>
      <c r="C52" s="40" t="s">
        <v>58</v>
      </c>
      <c r="D52" t="str">
        <f t="shared" si="0"/>
        <v>Data #3</v>
      </c>
      <c r="E52" t="str">
        <f t="shared" si="4"/>
        <v/>
      </c>
      <c r="K52">
        <v>22</v>
      </c>
      <c r="L52" s="35" t="s">
        <v>54</v>
      </c>
      <c r="M52" s="40" t="s">
        <v>58</v>
      </c>
      <c r="N52" t="str">
        <f t="shared" si="1"/>
        <v>Data #3</v>
      </c>
      <c r="O52" t="str">
        <f t="shared" si="2"/>
        <v/>
      </c>
    </row>
    <row r="53" spans="1:15">
      <c r="A53">
        <v>27</v>
      </c>
      <c r="B53" s="35" t="s">
        <v>54</v>
      </c>
      <c r="C53" s="41" t="s">
        <v>57</v>
      </c>
      <c r="D53" t="str">
        <f t="shared" si="0"/>
        <v>Data #3</v>
      </c>
      <c r="E53" t="str">
        <f t="shared" si="4"/>
        <v/>
      </c>
      <c r="K53">
        <v>23</v>
      </c>
      <c r="L53" s="35" t="s">
        <v>54</v>
      </c>
      <c r="M53" s="41" t="s">
        <v>57</v>
      </c>
      <c r="N53" t="str">
        <f t="shared" si="1"/>
        <v>Data #3</v>
      </c>
      <c r="O53" t="str">
        <f t="shared" si="2"/>
        <v/>
      </c>
    </row>
    <row r="54" spans="1:15">
      <c r="A54">
        <v>28</v>
      </c>
      <c r="B54" s="35" t="s">
        <v>54</v>
      </c>
      <c r="C54" s="41" t="s">
        <v>232</v>
      </c>
      <c r="D54" t="str">
        <f t="shared" si="0"/>
        <v>Data #3</v>
      </c>
      <c r="E54" t="str">
        <f t="shared" si="4"/>
        <v/>
      </c>
      <c r="L54" s="35"/>
      <c r="M54" s="41"/>
    </row>
    <row r="55" spans="1:15">
      <c r="A55">
        <v>29</v>
      </c>
      <c r="B55" s="35" t="s">
        <v>54</v>
      </c>
      <c r="C55" s="41" t="s">
        <v>233</v>
      </c>
      <c r="D55" t="str">
        <f t="shared" si="0"/>
        <v>Data #3</v>
      </c>
      <c r="E55" t="str">
        <f t="shared" si="4"/>
        <v/>
      </c>
      <c r="L55" s="35"/>
      <c r="M55" s="41"/>
    </row>
    <row r="56" spans="1:15">
      <c r="A56">
        <v>30</v>
      </c>
      <c r="B56" s="35" t="s">
        <v>55</v>
      </c>
      <c r="C56" s="42" t="s">
        <v>42</v>
      </c>
      <c r="D56" t="str">
        <f t="shared" si="0"/>
        <v>Data #4</v>
      </c>
      <c r="E56" t="str">
        <f t="shared" si="4"/>
        <v/>
      </c>
      <c r="K56">
        <v>24</v>
      </c>
      <c r="L56" s="35" t="s">
        <v>55</v>
      </c>
      <c r="M56" s="42" t="s">
        <v>42</v>
      </c>
      <c r="N56" t="str">
        <f t="shared" si="1"/>
        <v>Data #4</v>
      </c>
      <c r="O56" t="str">
        <f t="shared" si="2"/>
        <v/>
      </c>
    </row>
    <row r="57" spans="1:15">
      <c r="A57">
        <v>31</v>
      </c>
      <c r="B57" s="35" t="s">
        <v>55</v>
      </c>
      <c r="C57" s="42" t="s">
        <v>43</v>
      </c>
      <c r="D57" t="str">
        <f t="shared" si="0"/>
        <v>Data #4</v>
      </c>
      <c r="E57" t="str">
        <f t="shared" si="4"/>
        <v/>
      </c>
      <c r="K57">
        <v>25</v>
      </c>
      <c r="L57" s="35" t="s">
        <v>55</v>
      </c>
      <c r="M57" s="42" t="s">
        <v>43</v>
      </c>
      <c r="N57" t="str">
        <f t="shared" si="1"/>
        <v>Data #4</v>
      </c>
      <c r="O57" t="str">
        <f t="shared" si="2"/>
        <v/>
      </c>
    </row>
    <row r="58" spans="1:15">
      <c r="A58">
        <v>32</v>
      </c>
      <c r="B58" s="35" t="s">
        <v>55</v>
      </c>
      <c r="C58" s="42" t="s">
        <v>44</v>
      </c>
      <c r="D58" t="str">
        <f t="shared" si="0"/>
        <v>Data #4</v>
      </c>
      <c r="E58" t="str">
        <f t="shared" si="4"/>
        <v/>
      </c>
      <c r="K58">
        <v>26</v>
      </c>
      <c r="L58" s="35" t="s">
        <v>55</v>
      </c>
      <c r="M58" s="42" t="s">
        <v>44</v>
      </c>
      <c r="N58" t="str">
        <f t="shared" si="1"/>
        <v>Data #4</v>
      </c>
      <c r="O58" t="str">
        <f t="shared" si="2"/>
        <v/>
      </c>
    </row>
    <row r="59" spans="1:15">
      <c r="A59">
        <v>33</v>
      </c>
      <c r="B59" s="35" t="s">
        <v>55</v>
      </c>
      <c r="C59" s="42" t="s">
        <v>45</v>
      </c>
      <c r="D59" t="str">
        <f t="shared" si="0"/>
        <v>Data #4</v>
      </c>
      <c r="E59" t="str">
        <f t="shared" si="4"/>
        <v/>
      </c>
      <c r="K59">
        <v>27</v>
      </c>
      <c r="L59" s="35" t="s">
        <v>55</v>
      </c>
      <c r="M59" s="42" t="s">
        <v>45</v>
      </c>
      <c r="N59" t="str">
        <f t="shared" si="1"/>
        <v>Data #4</v>
      </c>
      <c r="O59" t="str">
        <f t="shared" si="2"/>
        <v/>
      </c>
    </row>
    <row r="60" spans="1:15">
      <c r="A60">
        <v>34</v>
      </c>
      <c r="B60" s="35" t="s">
        <v>55</v>
      </c>
      <c r="C60" s="42" t="s">
        <v>46</v>
      </c>
      <c r="D60" t="str">
        <f t="shared" si="0"/>
        <v>Data #4</v>
      </c>
      <c r="E60" t="str">
        <f t="shared" si="4"/>
        <v/>
      </c>
      <c r="K60">
        <v>28</v>
      </c>
      <c r="L60" s="35" t="s">
        <v>55</v>
      </c>
      <c r="M60" s="42" t="s">
        <v>46</v>
      </c>
      <c r="N60" t="str">
        <f t="shared" si="1"/>
        <v>Data #4</v>
      </c>
      <c r="O60" t="str">
        <f t="shared" si="2"/>
        <v/>
      </c>
    </row>
    <row r="61" spans="1:15">
      <c r="A61">
        <v>35</v>
      </c>
      <c r="B61" s="35" t="s">
        <v>55</v>
      </c>
      <c r="C61" s="42" t="s">
        <v>47</v>
      </c>
      <c r="D61" t="str">
        <f t="shared" si="0"/>
        <v>Data #4</v>
      </c>
      <c r="E61" t="str">
        <f t="shared" si="4"/>
        <v/>
      </c>
      <c r="K61">
        <v>29</v>
      </c>
      <c r="L61" s="35" t="s">
        <v>55</v>
      </c>
      <c r="M61" s="42" t="s">
        <v>47</v>
      </c>
      <c r="N61" t="str">
        <f t="shared" si="1"/>
        <v>Data #4</v>
      </c>
      <c r="O61" t="str">
        <f t="shared" si="2"/>
        <v/>
      </c>
    </row>
    <row r="62" spans="1:15">
      <c r="A62">
        <v>36</v>
      </c>
      <c r="B62" s="35" t="s">
        <v>55</v>
      </c>
      <c r="C62" s="42" t="s">
        <v>58</v>
      </c>
      <c r="D62" t="str">
        <f t="shared" si="0"/>
        <v>Data #4</v>
      </c>
      <c r="E62" t="str">
        <f t="shared" si="4"/>
        <v/>
      </c>
      <c r="K62">
        <v>30</v>
      </c>
      <c r="L62" s="35" t="s">
        <v>55</v>
      </c>
      <c r="M62" s="42" t="s">
        <v>58</v>
      </c>
      <c r="N62" t="str">
        <f t="shared" si="1"/>
        <v>Data #4</v>
      </c>
      <c r="O62" t="str">
        <f t="shared" si="2"/>
        <v/>
      </c>
    </row>
    <row r="63" spans="1:15">
      <c r="A63">
        <v>37</v>
      </c>
      <c r="B63" s="35" t="s">
        <v>55</v>
      </c>
      <c r="C63" s="43" t="s">
        <v>57</v>
      </c>
      <c r="D63" t="str">
        <f t="shared" si="0"/>
        <v>Data #4</v>
      </c>
      <c r="E63" t="str">
        <f t="shared" si="4"/>
        <v/>
      </c>
      <c r="K63">
        <v>31</v>
      </c>
      <c r="L63" s="35" t="s">
        <v>55</v>
      </c>
      <c r="M63" s="43" t="s">
        <v>57</v>
      </c>
      <c r="N63" t="str">
        <f t="shared" si="1"/>
        <v>Data #4</v>
      </c>
      <c r="O63" t="str">
        <f t="shared" si="2"/>
        <v/>
      </c>
    </row>
    <row r="64" spans="1:15">
      <c r="A64">
        <v>38</v>
      </c>
      <c r="B64" s="35" t="s">
        <v>55</v>
      </c>
      <c r="C64" s="43" t="s">
        <v>232</v>
      </c>
      <c r="D64" t="str">
        <f t="shared" si="0"/>
        <v>Data #4</v>
      </c>
      <c r="E64" t="str">
        <f t="shared" si="4"/>
        <v/>
      </c>
      <c r="L64" s="35"/>
      <c r="M64" s="43"/>
    </row>
    <row r="65" spans="1:15">
      <c r="A65">
        <v>39</v>
      </c>
      <c r="B65" s="35" t="s">
        <v>55</v>
      </c>
      <c r="C65" s="43" t="s">
        <v>233</v>
      </c>
      <c r="D65" t="str">
        <f t="shared" si="0"/>
        <v>Data #4</v>
      </c>
      <c r="E65" t="str">
        <f t="shared" si="4"/>
        <v/>
      </c>
      <c r="L65" s="35"/>
      <c r="M65" s="43"/>
    </row>
    <row r="66" spans="1:15">
      <c r="A66">
        <v>40</v>
      </c>
      <c r="B66" s="35" t="s">
        <v>56</v>
      </c>
      <c r="C66" s="44" t="s">
        <v>42</v>
      </c>
      <c r="D66" t="str">
        <f t="shared" si="0"/>
        <v>Data #5</v>
      </c>
      <c r="E66" t="str">
        <f t="shared" si="4"/>
        <v/>
      </c>
      <c r="K66">
        <v>32</v>
      </c>
      <c r="L66" s="35" t="s">
        <v>56</v>
      </c>
      <c r="M66" s="44" t="s">
        <v>42</v>
      </c>
      <c r="N66" t="str">
        <f t="shared" si="1"/>
        <v>Data #5</v>
      </c>
      <c r="O66" t="str">
        <f t="shared" si="2"/>
        <v/>
      </c>
    </row>
    <row r="67" spans="1:15">
      <c r="A67">
        <v>41</v>
      </c>
      <c r="B67" s="35" t="s">
        <v>56</v>
      </c>
      <c r="C67" s="44" t="s">
        <v>43</v>
      </c>
      <c r="D67" t="str">
        <f t="shared" si="0"/>
        <v>Data #5</v>
      </c>
      <c r="E67" t="str">
        <f t="shared" si="4"/>
        <v/>
      </c>
      <c r="K67">
        <v>33</v>
      </c>
      <c r="L67" s="35" t="s">
        <v>56</v>
      </c>
      <c r="M67" s="44" t="s">
        <v>43</v>
      </c>
      <c r="N67" t="str">
        <f t="shared" si="1"/>
        <v>Data #5</v>
      </c>
      <c r="O67" t="str">
        <f t="shared" si="2"/>
        <v/>
      </c>
    </row>
    <row r="68" spans="1:15">
      <c r="A68">
        <v>42</v>
      </c>
      <c r="B68" s="35" t="s">
        <v>56</v>
      </c>
      <c r="C68" s="44" t="s">
        <v>44</v>
      </c>
      <c r="D68" t="str">
        <f t="shared" si="0"/>
        <v>Data #5</v>
      </c>
      <c r="E68" t="str">
        <f t="shared" si="4"/>
        <v/>
      </c>
      <c r="K68">
        <v>34</v>
      </c>
      <c r="L68" s="35" t="s">
        <v>56</v>
      </c>
      <c r="M68" s="44" t="s">
        <v>44</v>
      </c>
      <c r="N68" t="str">
        <f t="shared" si="1"/>
        <v>Data #5</v>
      </c>
      <c r="O68" t="str">
        <f t="shared" si="2"/>
        <v/>
      </c>
    </row>
    <row r="69" spans="1:15">
      <c r="A69">
        <v>43</v>
      </c>
      <c r="B69" s="35" t="s">
        <v>56</v>
      </c>
      <c r="C69" s="44" t="s">
        <v>45</v>
      </c>
      <c r="D69" t="str">
        <f t="shared" si="0"/>
        <v>Data #5</v>
      </c>
      <c r="E69" t="str">
        <f t="shared" si="4"/>
        <v/>
      </c>
      <c r="K69">
        <v>35</v>
      </c>
      <c r="L69" s="35" t="s">
        <v>56</v>
      </c>
      <c r="M69" s="44" t="s">
        <v>45</v>
      </c>
      <c r="N69" t="str">
        <f t="shared" si="1"/>
        <v>Data #5</v>
      </c>
      <c r="O69" t="str">
        <f t="shared" si="2"/>
        <v/>
      </c>
    </row>
    <row r="70" spans="1:15">
      <c r="A70">
        <v>44</v>
      </c>
      <c r="B70" s="35" t="s">
        <v>56</v>
      </c>
      <c r="C70" s="44" t="s">
        <v>46</v>
      </c>
      <c r="D70" t="str">
        <f t="shared" si="0"/>
        <v>Data #5</v>
      </c>
      <c r="E70" t="str">
        <f t="shared" si="4"/>
        <v/>
      </c>
      <c r="K70">
        <v>36</v>
      </c>
      <c r="L70" s="35" t="s">
        <v>56</v>
      </c>
      <c r="M70" s="44" t="s">
        <v>46</v>
      </c>
      <c r="N70" t="str">
        <f t="shared" si="1"/>
        <v>Data #5</v>
      </c>
      <c r="O70" t="str">
        <f t="shared" si="2"/>
        <v/>
      </c>
    </row>
    <row r="71" spans="1:15">
      <c r="A71">
        <v>45</v>
      </c>
      <c r="B71" s="35" t="s">
        <v>56</v>
      </c>
      <c r="C71" s="44" t="s">
        <v>47</v>
      </c>
      <c r="D71" t="str">
        <f t="shared" si="0"/>
        <v>Data #5</v>
      </c>
      <c r="E71" t="str">
        <f t="shared" si="4"/>
        <v/>
      </c>
      <c r="K71">
        <v>37</v>
      </c>
      <c r="L71" s="35" t="s">
        <v>56</v>
      </c>
      <c r="M71" s="44" t="s">
        <v>47</v>
      </c>
      <c r="N71" t="str">
        <f t="shared" si="1"/>
        <v>Data #5</v>
      </c>
      <c r="O71" t="str">
        <f t="shared" si="2"/>
        <v/>
      </c>
    </row>
    <row r="72" spans="1:15">
      <c r="A72">
        <v>46</v>
      </c>
      <c r="B72" s="35" t="s">
        <v>56</v>
      </c>
      <c r="C72" s="44" t="s">
        <v>58</v>
      </c>
      <c r="D72" t="str">
        <f t="shared" si="0"/>
        <v>Data #5</v>
      </c>
      <c r="E72" t="str">
        <f t="shared" si="4"/>
        <v/>
      </c>
      <c r="K72">
        <v>38</v>
      </c>
      <c r="L72" s="35" t="s">
        <v>56</v>
      </c>
      <c r="M72" s="44" t="s">
        <v>58</v>
      </c>
      <c r="N72" t="str">
        <f t="shared" si="1"/>
        <v>Data #5</v>
      </c>
      <c r="O72" t="str">
        <f t="shared" si="2"/>
        <v/>
      </c>
    </row>
    <row r="73" spans="1:15">
      <c r="A73">
        <v>47</v>
      </c>
      <c r="B73" s="35" t="s">
        <v>56</v>
      </c>
      <c r="C73" s="45" t="s">
        <v>57</v>
      </c>
      <c r="D73" t="str">
        <f t="shared" si="0"/>
        <v>Data #5</v>
      </c>
      <c r="E73" t="str">
        <f t="shared" si="4"/>
        <v/>
      </c>
      <c r="K73">
        <v>39</v>
      </c>
      <c r="L73" s="35" t="s">
        <v>56</v>
      </c>
      <c r="M73" s="45" t="s">
        <v>57</v>
      </c>
      <c r="N73" t="str">
        <f t="shared" si="1"/>
        <v>Data #5</v>
      </c>
      <c r="O73" t="str">
        <f t="shared" si="2"/>
        <v/>
      </c>
    </row>
    <row r="74" spans="1:15">
      <c r="A74">
        <v>48</v>
      </c>
      <c r="B74" s="35" t="s">
        <v>56</v>
      </c>
      <c r="C74" t="s">
        <v>232</v>
      </c>
      <c r="D74" t="str">
        <f t="shared" si="0"/>
        <v>Data #5</v>
      </c>
      <c r="E74" t="str">
        <f t="shared" si="4"/>
        <v/>
      </c>
    </row>
    <row r="75" spans="1:15">
      <c r="A75">
        <v>49</v>
      </c>
      <c r="B75" s="35" t="s">
        <v>56</v>
      </c>
      <c r="C75" t="s">
        <v>233</v>
      </c>
      <c r="D75" t="str">
        <f t="shared" si="0"/>
        <v>Data #5</v>
      </c>
      <c r="E75" t="str">
        <f t="shared" si="4"/>
        <v/>
      </c>
    </row>
  </sheetData>
  <mergeCells count="6">
    <mergeCell ref="C15:C17"/>
    <mergeCell ref="C12:C14"/>
    <mergeCell ref="M12:M14"/>
    <mergeCell ref="M15:M17"/>
    <mergeCell ref="M18:M19"/>
    <mergeCell ref="C18:C21"/>
  </mergeCells>
  <phoneticPr fontId="1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47" r:id="rId4" name="CommandButton21">
          <controlPr defaultSize="0" autoLine="0" r:id="rId5">
            <anchor moveWithCells="1">
              <from>
                <xdr:col>4</xdr:col>
                <xdr:colOff>1200150</xdr:colOff>
                <xdr:row>4</xdr:row>
                <xdr:rowOff>28575</xdr:rowOff>
              </from>
              <to>
                <xdr:col>4</xdr:col>
                <xdr:colOff>3676650</xdr:colOff>
                <xdr:row>6</xdr:row>
                <xdr:rowOff>47625</xdr:rowOff>
              </to>
            </anchor>
          </controlPr>
        </control>
      </mc:Choice>
      <mc:Fallback>
        <control shapeId="1347" r:id="rId4" name="CommandButton21"/>
      </mc:Fallback>
    </mc:AlternateContent>
    <mc:AlternateContent xmlns:mc="http://schemas.openxmlformats.org/markup-compatibility/2006">
      <mc:Choice Requires="x14">
        <control shapeId="1348" r:id="rId6" name="BN_ImportSC2">
          <controlPr defaultSize="0" autoLine="0" r:id="rId7">
            <anchor moveWithCells="1">
              <from>
                <xdr:col>14</xdr:col>
                <xdr:colOff>600075</xdr:colOff>
                <xdr:row>4</xdr:row>
                <xdr:rowOff>123825</xdr:rowOff>
              </from>
              <to>
                <xdr:col>16</xdr:col>
                <xdr:colOff>628650</xdr:colOff>
                <xdr:row>7</xdr:row>
                <xdr:rowOff>114300</xdr:rowOff>
              </to>
            </anchor>
          </controlPr>
        </control>
      </mc:Choice>
      <mc:Fallback>
        <control shapeId="1348" r:id="rId6" name="BN_ImportSC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D58"/>
  <sheetViews>
    <sheetView topLeftCell="B1" workbookViewId="0">
      <selection activeCell="C9" sqref="C9"/>
    </sheetView>
  </sheetViews>
  <sheetFormatPr defaultRowHeight="12.75"/>
  <cols>
    <col min="2" max="2" width="58.5703125" bestFit="1" customWidth="1"/>
    <col min="3" max="3" width="58.140625" bestFit="1" customWidth="1"/>
    <col min="4" max="4" width="15.140625" customWidth="1"/>
    <col min="10" max="10" width="15.85546875" customWidth="1"/>
    <col min="11" max="11" width="13" customWidth="1"/>
  </cols>
  <sheetData>
    <row r="3" spans="2:4">
      <c r="B3" t="s">
        <v>66</v>
      </c>
      <c r="C3" s="51" t="str">
        <f>ModelName</f>
        <v>Delhi80</v>
      </c>
    </row>
    <row r="5" spans="2:4">
      <c r="B5" t="s">
        <v>150</v>
      </c>
      <c r="C5" s="50"/>
    </row>
    <row r="6" spans="2:4">
      <c r="B6" t="s">
        <v>149</v>
      </c>
      <c r="C6" s="50"/>
    </row>
    <row r="8" spans="2:4">
      <c r="B8" s="53" t="s">
        <v>65</v>
      </c>
      <c r="C8" s="53" t="s">
        <v>67</v>
      </c>
      <c r="D8" t="s">
        <v>148</v>
      </c>
    </row>
    <row r="9" spans="2:4">
      <c r="B9" s="51" t="s">
        <v>154</v>
      </c>
      <c r="C9" t="str">
        <f>CONCATENATE(B9," ",Settings!$C$3)</f>
        <v>Max Stable Gain Front mic.  Delhi80</v>
      </c>
      <c r="D9">
        <f t="shared" ref="D9:D32" si="0">LEN(B9)</f>
        <v>27</v>
      </c>
    </row>
    <row r="10" spans="2:4">
      <c r="B10" s="51" t="s">
        <v>155</v>
      </c>
      <c r="C10" t="str">
        <f>CONCATENATE(B10," ",Settings!$C$3)</f>
        <v>Max Stable Gain Rear mic.  Delhi80</v>
      </c>
      <c r="D10">
        <f t="shared" si="0"/>
        <v>26</v>
      </c>
    </row>
    <row r="11" spans="2:4">
      <c r="B11" s="51" t="s">
        <v>213</v>
      </c>
      <c r="C11" t="str">
        <f>CONCATENATE(B11," ",Settings!$C$3, "#",UPL_Import!D4)</f>
        <v>Max Stable Gain Device  Delhi80#I_320</v>
      </c>
      <c r="D11">
        <f t="shared" si="0"/>
        <v>23</v>
      </c>
    </row>
    <row r="12" spans="2:4">
      <c r="B12" s="51" t="s">
        <v>156</v>
      </c>
      <c r="C12" t="str">
        <f>CONCATENATE(B12," ",Settings!$C$3, "#",UPL_Import!D5)</f>
        <v>Max Stable Gain Device Delhi80#0</v>
      </c>
      <c r="D12">
        <f t="shared" si="0"/>
        <v>22</v>
      </c>
    </row>
    <row r="13" spans="2:4">
      <c r="B13" s="51" t="s">
        <v>156</v>
      </c>
      <c r="C13" t="str">
        <f>CONCATENATE(B13," ",Settings!$C$3, "#",UPL_Import!D6)</f>
        <v>Max Stable Gain Device Delhi80#0</v>
      </c>
      <c r="D13">
        <f t="shared" si="0"/>
        <v>22</v>
      </c>
    </row>
    <row r="14" spans="2:4">
      <c r="B14" s="51" t="s">
        <v>156</v>
      </c>
      <c r="C14" t="str">
        <f>CONCATENATE(B14," ",Settings!$C$3, "#",UPL_Import!D7)</f>
        <v>Max Stable Gain Device Delhi80#0</v>
      </c>
      <c r="D14">
        <f t="shared" si="0"/>
        <v>22</v>
      </c>
    </row>
    <row r="15" spans="2:4">
      <c r="B15" s="51" t="s">
        <v>156</v>
      </c>
      <c r="C15" t="str">
        <f>CONCATENATE(B15," ",Settings!$C$3, "#",UPL_Import!D8)</f>
        <v>Max Stable Gain Device Delhi80#0</v>
      </c>
      <c r="D15">
        <f t="shared" si="0"/>
        <v>22</v>
      </c>
    </row>
    <row r="16" spans="2:4">
      <c r="B16" s="51" t="s">
        <v>157</v>
      </c>
      <c r="C16" t="str">
        <f>CONCATENATE(B16," ",Settings!$C$3, "#",UPL_Import!D4)</f>
        <v>OPL Front mic for Delhi80#I_320</v>
      </c>
      <c r="D16">
        <f t="shared" si="0"/>
        <v>17</v>
      </c>
    </row>
    <row r="17" spans="2:4">
      <c r="B17" s="51" t="s">
        <v>157</v>
      </c>
      <c r="C17" t="str">
        <f>CONCATENATE(B17," ",Settings!$C$3, "#",UPL_Import!D5)</f>
        <v>OPL Front mic for Delhi80#0</v>
      </c>
      <c r="D17">
        <f t="shared" si="0"/>
        <v>17</v>
      </c>
    </row>
    <row r="18" spans="2:4">
      <c r="B18" s="51" t="s">
        <v>157</v>
      </c>
      <c r="C18" t="str">
        <f>CONCATENATE(B18," ",Settings!$C$3, "#",UPL_Import!D6)</f>
        <v>OPL Front mic for Delhi80#0</v>
      </c>
      <c r="D18">
        <f t="shared" si="0"/>
        <v>17</v>
      </c>
    </row>
    <row r="19" spans="2:4">
      <c r="B19" s="51" t="s">
        <v>157</v>
      </c>
      <c r="C19" t="str">
        <f>CONCATENATE(B19," ",Settings!$C$3, "#",UPL_Import!D7)</f>
        <v>OPL Front mic for Delhi80#0</v>
      </c>
      <c r="D19">
        <f t="shared" si="0"/>
        <v>17</v>
      </c>
    </row>
    <row r="20" spans="2:4">
      <c r="B20" s="51" t="s">
        <v>157</v>
      </c>
      <c r="C20" t="str">
        <f>CONCATENATE(B20," ",Settings!$C$3, "#",UPL_Import!D8)</f>
        <v>OPL Front mic for Delhi80#0</v>
      </c>
      <c r="D20">
        <f t="shared" si="0"/>
        <v>17</v>
      </c>
    </row>
    <row r="21" spans="2:4">
      <c r="B21" s="51" t="s">
        <v>187</v>
      </c>
      <c r="C21" t="str">
        <f>CONCATENATE(B21," ",Settings!$C$3, "#",UPL_Import!D4)</f>
        <v>OPL Rear mic for Delhi80#I_320</v>
      </c>
      <c r="D21">
        <f t="shared" si="0"/>
        <v>16</v>
      </c>
    </row>
    <row r="22" spans="2:4">
      <c r="B22" s="51" t="s">
        <v>187</v>
      </c>
      <c r="C22" t="str">
        <f>CONCATENATE(B22," ",Settings!$C$3, "#",UPL_Import!D5)</f>
        <v>OPL Rear mic for Delhi80#0</v>
      </c>
      <c r="D22">
        <f t="shared" si="0"/>
        <v>16</v>
      </c>
    </row>
    <row r="23" spans="2:4">
      <c r="B23" s="51" t="s">
        <v>187</v>
      </c>
      <c r="C23" t="str">
        <f>CONCATENATE(B23," ",Settings!$C$3, "#",UPL_Import!D6)</f>
        <v>OPL Rear mic for Delhi80#0</v>
      </c>
      <c r="D23">
        <f t="shared" si="0"/>
        <v>16</v>
      </c>
    </row>
    <row r="24" spans="2:4">
      <c r="B24" s="51" t="s">
        <v>187</v>
      </c>
      <c r="C24" t="str">
        <f>CONCATENATE(B24," ",Settings!$C$3, "#",UPL_Import!D7)</f>
        <v>OPL Rear mic for Delhi80#0</v>
      </c>
      <c r="D24">
        <f t="shared" si="0"/>
        <v>16</v>
      </c>
    </row>
    <row r="25" spans="2:4">
      <c r="B25" s="51" t="s">
        <v>187</v>
      </c>
      <c r="C25" t="str">
        <f>CONCATENATE(B25," ",Settings!$C$3, "#",UPL_Import!D8)</f>
        <v>OPL Rear mic for Delhi80#0</v>
      </c>
      <c r="D25">
        <f t="shared" si="0"/>
        <v>16</v>
      </c>
    </row>
    <row r="26" spans="2:4">
      <c r="B26" s="51" t="s">
        <v>215</v>
      </c>
      <c r="C26" t="str">
        <f>CONCATENATE(B26," ",Settings!$C$3)</f>
        <v>OPL Max/Min  Delhi80</v>
      </c>
      <c r="D26">
        <f t="shared" si="0"/>
        <v>12</v>
      </c>
    </row>
    <row r="27" spans="2:4">
      <c r="B27" s="51" t="s">
        <v>217</v>
      </c>
      <c r="C27" t="str">
        <f>CONCATENATE(B27," ",Settings!$C$3)</f>
        <v>OPL Front mic 5 HR Overview for  Delhi80</v>
      </c>
      <c r="D27">
        <f t="shared" si="0"/>
        <v>32</v>
      </c>
    </row>
    <row r="28" spans="2:4">
      <c r="B28" s="51" t="s">
        <v>219</v>
      </c>
      <c r="C28" t="str">
        <f>CONCATENATE(B28," ",Settings!$C$3)</f>
        <v>OPL Front mic 5 HL Overview for  Delhi80</v>
      </c>
      <c r="D28">
        <f t="shared" si="0"/>
        <v>32</v>
      </c>
    </row>
    <row r="29" spans="2:4">
      <c r="B29" s="51" t="s">
        <v>218</v>
      </c>
      <c r="C29" t="str">
        <f>CONCATENATE(B29," ",Settings!$C$3)</f>
        <v>OPL Front mic 5 L Overview for  Delhi80</v>
      </c>
      <c r="D29">
        <f t="shared" si="0"/>
        <v>31</v>
      </c>
    </row>
    <row r="30" spans="2:4">
      <c r="B30" s="51" t="s">
        <v>220</v>
      </c>
      <c r="C30" t="str">
        <f>CONCATENATE(B30," ",Settings!$C$3)</f>
        <v>OPL Rear mic 5 HR Overview for  Delhi80</v>
      </c>
      <c r="D30">
        <f t="shared" si="0"/>
        <v>31</v>
      </c>
    </row>
    <row r="31" spans="2:4">
      <c r="B31" s="51" t="s">
        <v>221</v>
      </c>
      <c r="C31" t="str">
        <f>CONCATENATE(B31," ",Settings!$C$3)</f>
        <v>OPL Rear mic 5 HL Overview for  Delhi80</v>
      </c>
      <c r="D31">
        <f t="shared" si="0"/>
        <v>31</v>
      </c>
    </row>
    <row r="32" spans="2:4">
      <c r="B32" s="51" t="s">
        <v>222</v>
      </c>
      <c r="C32" t="str">
        <f>CONCATENATE(B32," ",Settings!$C$3)</f>
        <v>OPL Rear mic 5 L Overview for  Delhi80</v>
      </c>
      <c r="D32">
        <f t="shared" si="0"/>
        <v>30</v>
      </c>
    </row>
    <row r="49" spans="3:3">
      <c r="C49" t="s">
        <v>188</v>
      </c>
    </row>
    <row r="50" spans="3:3">
      <c r="C50" t="s">
        <v>189</v>
      </c>
    </row>
    <row r="51" spans="3:3">
      <c r="C51" t="s">
        <v>190</v>
      </c>
    </row>
    <row r="52" spans="3:3">
      <c r="C52" t="s">
        <v>191</v>
      </c>
    </row>
    <row r="53" spans="3:3">
      <c r="C53" t="s">
        <v>192</v>
      </c>
    </row>
    <row r="54" spans="3:3">
      <c r="C54" t="s">
        <v>193</v>
      </c>
    </row>
    <row r="55" spans="3:3">
      <c r="C55" t="s">
        <v>194</v>
      </c>
    </row>
    <row r="56" spans="3:3">
      <c r="C56" t="s">
        <v>195</v>
      </c>
    </row>
    <row r="57" spans="3:3">
      <c r="C57" t="s">
        <v>196</v>
      </c>
    </row>
    <row r="58" spans="3:3">
      <c r="C58" t="s">
        <v>197</v>
      </c>
    </row>
  </sheetData>
  <phoneticPr fontId="1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86402" r:id="rId3" name="BN_UpdateChartTitle">
          <controlPr defaultSize="0" autoLine="0" r:id="rId4">
            <anchor moveWithCells="1">
              <from>
                <xdr:col>5</xdr:col>
                <xdr:colOff>409575</xdr:colOff>
                <xdr:row>17</xdr:row>
                <xdr:rowOff>76200</xdr:rowOff>
              </from>
              <to>
                <xdr:col>9</xdr:col>
                <xdr:colOff>152400</xdr:colOff>
                <xdr:row>20</xdr:row>
                <xdr:rowOff>9525</xdr:rowOff>
              </to>
            </anchor>
          </controlPr>
        </control>
      </mc:Choice>
      <mc:Fallback>
        <control shapeId="486402" r:id="rId3" name="BN_UpdateChartTitle"/>
      </mc:Fallback>
    </mc:AlternateContent>
    <mc:AlternateContent xmlns:mc="http://schemas.openxmlformats.org/markup-compatibility/2006">
      <mc:Choice Requires="x14">
        <control shapeId="486401" r:id="rId5" name="BN_UpdateChartTitleList">
          <controlPr defaultSize="0" autoLine="0" r:id="rId6">
            <anchor moveWithCells="1">
              <from>
                <xdr:col>5</xdr:col>
                <xdr:colOff>400050</xdr:colOff>
                <xdr:row>11</xdr:row>
                <xdr:rowOff>85725</xdr:rowOff>
              </from>
              <to>
                <xdr:col>9</xdr:col>
                <xdr:colOff>114300</xdr:colOff>
                <xdr:row>14</xdr:row>
                <xdr:rowOff>47625</xdr:rowOff>
              </to>
            </anchor>
          </controlPr>
        </control>
      </mc:Choice>
      <mc:Fallback>
        <control shapeId="486401" r:id="rId5" name="BN_UpdateChartTitleLi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24</vt:i4>
      </vt:variant>
      <vt:variant>
        <vt:lpstr>Named Ranges</vt:lpstr>
      </vt:variant>
      <vt:variant>
        <vt:i4>27</vt:i4>
      </vt:variant>
    </vt:vector>
  </HeadingPairs>
  <TitlesOfParts>
    <vt:vector size="63" baseType="lpstr">
      <vt:lpstr>MeasurementSetup</vt:lpstr>
      <vt:lpstr>Cover</vt:lpstr>
      <vt:lpstr>MSG&amp;Probability</vt:lpstr>
      <vt:lpstr>Data #1</vt:lpstr>
      <vt:lpstr>Data #2</vt:lpstr>
      <vt:lpstr>Data #3</vt:lpstr>
      <vt:lpstr>Data #4</vt:lpstr>
      <vt:lpstr>Data #5</vt:lpstr>
      <vt:lpstr>Average data</vt:lpstr>
      <vt:lpstr>UPL_Import</vt:lpstr>
      <vt:lpstr>SC_Import</vt:lpstr>
      <vt:lpstr>Settings</vt:lpstr>
      <vt:lpstr>MSG Front average</vt:lpstr>
      <vt:lpstr>MSG Rear average</vt:lpstr>
      <vt:lpstr>MSG Dev #1</vt:lpstr>
      <vt:lpstr>MSG Dev #2</vt:lpstr>
      <vt:lpstr>MSG Dev #3</vt:lpstr>
      <vt:lpstr>MSG Dev #4</vt:lpstr>
      <vt:lpstr>MSG Dev #5</vt:lpstr>
      <vt:lpstr>OPL Front Dev #1</vt:lpstr>
      <vt:lpstr>OPL Front Dev #2</vt:lpstr>
      <vt:lpstr>OPL Front Dev #3</vt:lpstr>
      <vt:lpstr>OPL Front Dev #4</vt:lpstr>
      <vt:lpstr>OPL Front Dev #5</vt:lpstr>
      <vt:lpstr>OPL Rear Dev #1</vt:lpstr>
      <vt:lpstr>OPL Rear Dev #2</vt:lpstr>
      <vt:lpstr>OPL Rear Dev #3</vt:lpstr>
      <vt:lpstr>OPL Rear Dev #4</vt:lpstr>
      <vt:lpstr>OPL Rear Dev #5</vt:lpstr>
      <vt:lpstr>MaxMinChart1</vt:lpstr>
      <vt:lpstr>HRChart1</vt:lpstr>
      <vt:lpstr>HLChart2</vt:lpstr>
      <vt:lpstr>LChart3</vt:lpstr>
      <vt:lpstr>RearHRChart4</vt:lpstr>
      <vt:lpstr>RearHLChart5</vt:lpstr>
      <vt:lpstr>RearLChart6</vt:lpstr>
      <vt:lpstr>ChartTitle</vt:lpstr>
      <vt:lpstr>ChartTitleList</vt:lpstr>
      <vt:lpstr>Cover_Sheet</vt:lpstr>
      <vt:lpstr>FilePath</vt:lpstr>
      <vt:lpstr>FilePath_UPL</vt:lpstr>
      <vt:lpstr>FilePath_UPL2</vt:lpstr>
      <vt:lpstr>FilePath2</vt:lpstr>
      <vt:lpstr>Header_UPL</vt:lpstr>
      <vt:lpstr>Item_UPL</vt:lpstr>
      <vt:lpstr>ModelName</vt:lpstr>
      <vt:lpstr>OPL_F1</vt:lpstr>
      <vt:lpstr>OPL_F2</vt:lpstr>
      <vt:lpstr>OPL_F3</vt:lpstr>
      <vt:lpstr>OPL_F4</vt:lpstr>
      <vt:lpstr>OPL_F5</vt:lpstr>
      <vt:lpstr>OPL_R1</vt:lpstr>
      <vt:lpstr>OPL_R2</vt:lpstr>
      <vt:lpstr>OPL_R3</vt:lpstr>
      <vt:lpstr>OPL_R4</vt:lpstr>
      <vt:lpstr>OPL_R5</vt:lpstr>
      <vt:lpstr>Cover!Print_Area</vt:lpstr>
      <vt:lpstr>TargetCell</vt:lpstr>
      <vt:lpstr>TargetCell_UPL</vt:lpstr>
      <vt:lpstr>TargetCell_UPL2</vt:lpstr>
      <vt:lpstr>TargetCell2</vt:lpstr>
      <vt:lpstr>TargetSheet</vt:lpstr>
      <vt:lpstr>TargetSheet_UPL</vt:lpstr>
    </vt:vector>
  </TitlesOfParts>
  <Company>GN ReSound 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Rye Nielsen</dc:creator>
  <cp:lastModifiedBy>Chen, Chandler</cp:lastModifiedBy>
  <cp:lastPrinted>2005-08-23T14:03:00Z</cp:lastPrinted>
  <dcterms:created xsi:type="dcterms:W3CDTF">2004-12-15T09:45:58Z</dcterms:created>
  <dcterms:modified xsi:type="dcterms:W3CDTF">2017-11-27T06:14:25Z</dcterms:modified>
</cp:coreProperties>
</file>