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ache\Documents\MATLAB\"/>
    </mc:Choice>
  </mc:AlternateContent>
  <bookViews>
    <workbookView xWindow="26040" yWindow="0" windowWidth="24540" windowHeight="16020"/>
  </bookViews>
  <sheets>
    <sheet name="User Guide" sheetId="7" r:id="rId1"/>
    <sheet name="cover" sheetId="9" r:id="rId2"/>
    <sheet name="import" sheetId="1" r:id="rId3"/>
    <sheet name="output" sheetId="3" r:id="rId4"/>
    <sheet name="calibration" sheetId="4" state="hidden" r:id="rId5"/>
    <sheet name="front" sheetId="5" state="hidden" r:id="rId6"/>
    <sheet name="rear" sheetId="6" state="hidden" r:id="rId7"/>
  </sheets>
  <definedNames>
    <definedName name="Dooku">calibration!$C$19</definedName>
    <definedName name="ModelName">cover!$B$1</definedName>
    <definedName name="Palpatine">calibration!$C$18</definedName>
    <definedName name="temp" localSheetId="2">import!$B$3:$DY$3</definedName>
    <definedName name="temp_1" localSheetId="2">import!$B$4:$DY$6</definedName>
    <definedName name="首列">calibration!$B$18:$B$19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8" i="9" l="1"/>
  <c r="E17" i="9"/>
  <c r="E24" i="9" l="1"/>
  <c r="J17" i="9"/>
  <c r="F17" i="9"/>
  <c r="F19" i="9" l="1"/>
  <c r="E19" i="9"/>
  <c r="B4" i="9"/>
  <c r="J19" i="9" l="1"/>
  <c r="E21" i="9"/>
  <c r="K20" i="9"/>
  <c r="K19" i="9"/>
  <c r="F20" i="9"/>
  <c r="F18" i="9"/>
  <c r="F24" i="9" s="1"/>
  <c r="J18" i="9"/>
  <c r="J25" i="9" s="1"/>
  <c r="F21" i="9"/>
  <c r="E20" i="9"/>
  <c r="J20" i="9"/>
  <c r="J21" i="9"/>
  <c r="K17" i="9"/>
  <c r="K21" i="9"/>
  <c r="K18" i="9"/>
  <c r="J24" i="9" l="1"/>
  <c r="E25" i="9"/>
  <c r="K25" i="9"/>
  <c r="K24" i="9"/>
  <c r="F25" i="9"/>
  <c r="DZ10" i="4" l="1"/>
  <c r="DY10" i="4"/>
  <c r="DX10" i="4"/>
  <c r="DW10" i="4"/>
  <c r="DV10" i="4"/>
  <c r="DU10" i="4"/>
  <c r="DT10" i="4"/>
  <c r="DS10" i="4"/>
  <c r="DR10" i="4"/>
  <c r="DQ10" i="4"/>
  <c r="DP10" i="4"/>
  <c r="DO10" i="4"/>
  <c r="DN10" i="4"/>
  <c r="DM10" i="4"/>
  <c r="DL10" i="4"/>
  <c r="DK10" i="4"/>
  <c r="DJ10" i="4"/>
  <c r="DI10" i="4"/>
  <c r="DH10" i="4"/>
  <c r="DG10" i="4"/>
  <c r="DF10" i="4"/>
  <c r="DE10" i="4"/>
  <c r="DD10" i="4"/>
  <c r="DC10" i="4"/>
  <c r="DB10" i="4"/>
  <c r="DA10" i="4"/>
  <c r="CZ10" i="4"/>
  <c r="CY10" i="4"/>
  <c r="CX10" i="4"/>
  <c r="CW10" i="4"/>
  <c r="CV10" i="4"/>
  <c r="CU10" i="4"/>
  <c r="CT10" i="4"/>
  <c r="CS10" i="4"/>
  <c r="CR10" i="4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CB10" i="4"/>
  <c r="CA10" i="4"/>
  <c r="BZ10" i="4"/>
  <c r="BY10" i="4"/>
  <c r="BX10" i="4"/>
  <c r="BW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S8" i="4"/>
  <c r="C7" i="4"/>
  <c r="G16" i="1"/>
  <c r="R8" i="4" s="1"/>
  <c r="K8" i="1"/>
  <c r="R5" i="1"/>
  <c r="S7" i="4" s="1"/>
  <c r="Q5" i="1"/>
  <c r="R7" i="4" s="1"/>
  <c r="P5" i="1"/>
  <c r="Q7" i="4" s="1"/>
  <c r="O5" i="1"/>
  <c r="P7" i="4" s="1"/>
  <c r="N5" i="1"/>
  <c r="O7" i="4" s="1"/>
  <c r="M5" i="1"/>
  <c r="N7" i="4" s="1"/>
  <c r="L5" i="1"/>
  <c r="M7" i="4" s="1"/>
  <c r="K5" i="1"/>
  <c r="L7" i="4" s="1"/>
  <c r="J5" i="1"/>
  <c r="K7" i="4" s="1"/>
  <c r="I5" i="1"/>
  <c r="J7" i="4" s="1"/>
  <c r="H5" i="1"/>
  <c r="I7" i="4" s="1"/>
  <c r="G5" i="1"/>
  <c r="H7" i="4" s="1"/>
  <c r="F5" i="1"/>
  <c r="G7" i="4" s="1"/>
  <c r="E5" i="1"/>
  <c r="F7" i="4" s="1"/>
  <c r="D5" i="1"/>
  <c r="E7" i="4" s="1"/>
  <c r="C5" i="1"/>
  <c r="D7" i="4" s="1"/>
  <c r="C8" i="4" l="1"/>
  <c r="D8" i="4"/>
  <c r="E8" i="4"/>
  <c r="H8" i="4"/>
  <c r="G8" i="4"/>
  <c r="I8" i="4"/>
  <c r="L8" i="4"/>
  <c r="K8" i="4"/>
  <c r="M8" i="4"/>
  <c r="N8" i="4"/>
  <c r="O8" i="4"/>
  <c r="F8" i="4"/>
  <c r="J8" i="4"/>
  <c r="P8" i="4"/>
  <c r="Q8" i="4"/>
</calcChain>
</file>

<file path=xl/connections.xml><?xml version="1.0" encoding="utf-8"?>
<connections xmlns="http://schemas.openxmlformats.org/spreadsheetml/2006/main">
  <connection id="1" name="temp" type="6" refreshedVersion="5" background="1" saveData="1">
    <textPr codePage="936" sourceFile="C:\Users\chache\Documents\MATLAB\temp.txt" space="1" consecutive="1">
      <textFields count="12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emp1" type="6" refreshedVersion="5" background="1" saveData="1">
    <textPr codePage="936" sourceFile="C:\Users\chache\Documents\MATLAB\temp.txt" space="1" consecutive="1">
      <textFields count="12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<sst xmlns="http://schemas.openxmlformats.org/spreadsheetml/2006/main" count="102" uniqueCount="86">
  <si>
    <t>cal</t>
  </si>
  <si>
    <t>cal_interp</t>
  </si>
  <si>
    <t>fre_interp</t>
  </si>
  <si>
    <t>fre</t>
  </si>
  <si>
    <t>Palpatine</t>
  </si>
  <si>
    <t>Dooku</t>
  </si>
  <si>
    <t>palpatine</t>
  </si>
  <si>
    <t>dooku</t>
  </si>
  <si>
    <t>log file path:</t>
  </si>
  <si>
    <t>Don't type anything besides yellow cells</t>
  </si>
  <si>
    <t>sys. cal</t>
  </si>
  <si>
    <t>Made by (document owner):</t>
  </si>
  <si>
    <t>Chandler Chen</t>
  </si>
  <si>
    <t>Date</t>
  </si>
  <si>
    <t>Change(s)</t>
  </si>
  <si>
    <t>Author</t>
  </si>
  <si>
    <t>overview</t>
  </si>
  <si>
    <t>This macro can get the maximum stable insertion gain from ALT DFS log files</t>
  </si>
  <si>
    <t>No Matlab is required</t>
  </si>
  <si>
    <t>initial version</t>
  </si>
  <si>
    <t>CC</t>
  </si>
  <si>
    <t>DFS2MSIG</t>
  </si>
  <si>
    <t>Process</t>
  </si>
  <si>
    <t>Background</t>
  </si>
  <si>
    <t>Actually the DFS modeler has already exported this which is named "msg_dfs_off"</t>
  </si>
  <si>
    <t>So, What I did is import all msg_dfs_off from log files, include the system and make the MaxStableInsertionGain</t>
  </si>
  <si>
    <r>
      <t xml:space="preserve">one issue was found, the coefficients for the feedback filter was not written correctly during TCDFS init. </t>
    </r>
    <r>
      <rPr>
        <b/>
        <sz val="10"/>
        <rFont val="Arial"/>
        <family val="2"/>
      </rPr>
      <t>So for TC input mode, it is not available now</t>
    </r>
    <r>
      <rPr>
        <sz val="10"/>
        <rFont val="Arial"/>
        <family val="2"/>
      </rPr>
      <t>.</t>
    </r>
  </si>
  <si>
    <t>Press the Import button, you will see the result</t>
  </si>
  <si>
    <t>The matlab script is transfering impluse response of the feedback path into frequency domain</t>
  </si>
  <si>
    <t>Rev:</t>
  </si>
  <si>
    <t>Revision Log</t>
  </si>
  <si>
    <t>make it running even if DFS init failed - v2</t>
  </si>
  <si>
    <t>C:\Users\chache\Documents\logfile</t>
  </si>
  <si>
    <t>Technical Report on</t>
  </si>
  <si>
    <t>Applications group</t>
  </si>
  <si>
    <t>Device Model:</t>
  </si>
  <si>
    <t>Type of measurement:</t>
  </si>
  <si>
    <t>In relation to:</t>
  </si>
  <si>
    <t>Test laboratory:</t>
  </si>
  <si>
    <t>GN ReSound, R&amp;D Xiamen</t>
    <phoneticPr fontId="17" type="noConversion"/>
  </si>
  <si>
    <t>Date of test:</t>
  </si>
  <si>
    <t>Tested by:</t>
  </si>
  <si>
    <t>Chandler</t>
  </si>
  <si>
    <t>Front</t>
    <phoneticPr fontId="17" type="noConversion"/>
  </si>
  <si>
    <t>Rear</t>
    <phoneticPr fontId="17" type="noConversion"/>
  </si>
  <si>
    <t>Measurement series no.</t>
  </si>
  <si>
    <t>Short summary:</t>
  </si>
  <si>
    <t>Average.</t>
    <phoneticPr fontId="17" type="noConversion"/>
  </si>
  <si>
    <t>Average.</t>
    <phoneticPr fontId="17" type="noConversion"/>
  </si>
  <si>
    <t>Std.dev</t>
    <phoneticPr fontId="17" type="noConversion"/>
  </si>
  <si>
    <t>MIN</t>
  </si>
  <si>
    <t>MAX</t>
  </si>
  <si>
    <t>Count</t>
  </si>
  <si>
    <t>Limit1</t>
  </si>
  <si>
    <t>Limit2</t>
  </si>
  <si>
    <t xml:space="preserve">  </t>
    <phoneticPr fontId="17" type="noConversion"/>
  </si>
  <si>
    <r>
      <t>Confidence levels
@</t>
    </r>
    <r>
      <rPr>
        <b/>
        <sz val="11"/>
        <color indexed="10"/>
        <rFont val="宋体"/>
        <family val="3"/>
        <charset val="134"/>
      </rPr>
      <t>-10</t>
    </r>
    <r>
      <rPr>
        <b/>
        <sz val="11"/>
        <color indexed="8"/>
        <rFont val="宋体"/>
        <family val="3"/>
        <charset val="134"/>
      </rPr>
      <t>dB Margin</t>
    </r>
  </si>
  <si>
    <r>
      <t>Confidence levels
@</t>
    </r>
    <r>
      <rPr>
        <b/>
        <sz val="11"/>
        <color indexed="10"/>
        <rFont val="宋体"/>
        <family val="3"/>
        <charset val="134"/>
      </rPr>
      <t>-15</t>
    </r>
    <r>
      <rPr>
        <b/>
        <sz val="11"/>
        <color indexed="8"/>
        <rFont val="宋体"/>
        <family val="3"/>
        <charset val="134"/>
      </rPr>
      <t>dB Margin</t>
    </r>
  </si>
  <si>
    <t>add cover report from OPL template</t>
  </si>
  <si>
    <t>(model name)</t>
  </si>
  <si>
    <t>FOIG, MSIG</t>
  </si>
  <si>
    <t>1111111111</t>
  </si>
  <si>
    <t>IG margin Statistic data</t>
  </si>
  <si>
    <t>FOIG_interp</t>
  </si>
  <si>
    <t>FOIG</t>
  </si>
  <si>
    <t>MarginLimit</t>
  </si>
  <si>
    <t>Devices</t>
  </si>
  <si>
    <t>Now add validation module</t>
  </si>
  <si>
    <t>pull-down list</t>
  </si>
  <si>
    <t>SH1</t>
  </si>
  <si>
    <t>SH2</t>
  </si>
  <si>
    <t>SH3</t>
  </si>
  <si>
    <t>SH4</t>
  </si>
  <si>
    <t>SH5</t>
  </si>
  <si>
    <t>BT1</t>
  </si>
  <si>
    <t>BT2</t>
  </si>
  <si>
    <t>BT3</t>
  </si>
  <si>
    <t>BT4</t>
  </si>
  <si>
    <t>Fill all the yellow section, choose firmware from pull-down list below</t>
  </si>
  <si>
    <t>BT5</t>
  </si>
  <si>
    <t>Generate the dfs calibration log files and move them into one folder</t>
  </si>
  <si>
    <t>fill the devices SN&amp;prod. Offset in "cover" sheet</t>
  </si>
  <si>
    <t>fill the yellow section info. in "import" sheet</t>
  </si>
  <si>
    <t>click to view validation only if you want to check after import</t>
  </si>
  <si>
    <t>5 devices more</t>
  </si>
  <si>
    <t>prod. Offset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</si>
</sst>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-mm\-yy;@"/>
  </numFmts>
  <fonts count="3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4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8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b/>
      <sz val="12"/>
      <name val="Times New Roman"/>
      <family val="1"/>
    </font>
    <font>
      <b/>
      <sz val="12"/>
      <color theme="0"/>
      <name val="Times New Roman"/>
      <family val="1"/>
    </font>
    <font>
      <b/>
      <i/>
      <sz val="12"/>
      <name val="Times New Roman"/>
      <family val="1"/>
    </font>
    <font>
      <b/>
      <sz val="12"/>
      <color indexed="10"/>
      <name val="Times New Roman"/>
      <family val="1"/>
    </font>
    <font>
      <b/>
      <sz val="12"/>
      <color theme="1"/>
      <name val="Times New Roman"/>
      <family val="1"/>
    </font>
    <font>
      <sz val="10"/>
      <name val="Times New Roman"/>
      <family val="1"/>
    </font>
    <font>
      <b/>
      <sz val="11"/>
      <color theme="1"/>
      <name val="Calibri"/>
      <family val="3"/>
      <charset val="134"/>
      <scheme val="minor"/>
    </font>
    <font>
      <b/>
      <sz val="11"/>
      <color indexed="10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rgb="FFFF0000"/>
      <name val="Calibri"/>
      <family val="3"/>
      <charset val="134"/>
      <scheme val="minor"/>
    </font>
    <font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0" fillId="0" borderId="0"/>
    <xf numFmtId="9" fontId="16" fillId="0" borderId="0" applyFont="0" applyFill="0" applyBorder="0" applyAlignment="0" applyProtection="0"/>
  </cellStyleXfs>
  <cellXfs count="104">
    <xf numFmtId="0" fontId="0" fillId="0" borderId="0" xfId="0"/>
    <xf numFmtId="0" fontId="0" fillId="2" borderId="2" xfId="0" applyFill="1" applyBorder="1"/>
    <xf numFmtId="0" fontId="1" fillId="2" borderId="4" xfId="0" applyFont="1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3" xfId="0" applyFill="1" applyBorder="1"/>
    <xf numFmtId="0" fontId="0" fillId="2" borderId="6" xfId="0" applyFill="1" applyBorder="1"/>
    <xf numFmtId="0" fontId="0" fillId="2" borderId="7" xfId="0" applyFill="1" applyBorder="1"/>
    <xf numFmtId="0" fontId="1" fillId="2" borderId="1" xfId="0" applyFont="1" applyFill="1" applyBorder="1"/>
    <xf numFmtId="0" fontId="1" fillId="0" borderId="0" xfId="0" applyFont="1"/>
    <xf numFmtId="0" fontId="10" fillId="0" borderId="0" xfId="1" applyAlignment="1" applyProtection="1">
      <alignment vertical="top"/>
    </xf>
    <xf numFmtId="0" fontId="10" fillId="0" borderId="0" xfId="1" applyAlignment="1" applyProtection="1">
      <alignment horizontal="left" vertical="top" wrapText="1"/>
    </xf>
    <xf numFmtId="0" fontId="10" fillId="0" borderId="0" xfId="1" applyAlignment="1">
      <alignment vertical="top"/>
    </xf>
    <xf numFmtId="0" fontId="11" fillId="0" borderId="0" xfId="1" applyFont="1" applyAlignment="1" applyProtection="1">
      <alignment vertical="top"/>
    </xf>
    <xf numFmtId="0" fontId="12" fillId="0" borderId="0" xfId="1" applyFont="1" applyAlignment="1" applyProtection="1">
      <alignment vertical="top"/>
    </xf>
    <xf numFmtId="0" fontId="10" fillId="0" borderId="0" xfId="2" applyFont="1" applyAlignment="1">
      <alignment horizontal="left" vertical="top" wrapText="1"/>
    </xf>
    <xf numFmtId="0" fontId="10" fillId="0" borderId="0" xfId="1" applyFont="1" applyAlignment="1" applyProtection="1">
      <alignment horizontal="left" vertical="top" wrapText="1"/>
    </xf>
    <xf numFmtId="0" fontId="13" fillId="0" borderId="0" xfId="1" applyFont="1" applyAlignment="1" applyProtection="1">
      <alignment vertical="top"/>
    </xf>
    <xf numFmtId="0" fontId="10" fillId="0" borderId="6" xfId="1" applyBorder="1" applyAlignment="1" applyProtection="1">
      <alignment vertical="top"/>
    </xf>
    <xf numFmtId="0" fontId="10" fillId="0" borderId="6" xfId="1" applyBorder="1" applyAlignment="1" applyProtection="1">
      <alignment horizontal="left" vertical="top" wrapText="1"/>
    </xf>
    <xf numFmtId="14" fontId="10" fillId="0" borderId="0" xfId="1" applyNumberFormat="1" applyFont="1" applyAlignment="1" applyProtection="1">
      <alignment vertical="top"/>
    </xf>
    <xf numFmtId="0" fontId="10" fillId="0" borderId="0" xfId="1" applyFont="1" applyAlignment="1" applyProtection="1">
      <alignment vertical="top"/>
    </xf>
    <xf numFmtId="14" fontId="10" fillId="0" borderId="0" xfId="1" applyNumberFormat="1" applyAlignment="1" applyProtection="1">
      <alignment vertical="top"/>
    </xf>
    <xf numFmtId="0" fontId="10" fillId="0" borderId="0" xfId="1" applyAlignment="1">
      <alignment horizontal="left" vertical="top" wrapText="1"/>
    </xf>
    <xf numFmtId="0" fontId="10" fillId="0" borderId="0" xfId="1" applyFont="1" applyAlignment="1" applyProtection="1">
      <alignment horizontal="left" vertical="top"/>
    </xf>
    <xf numFmtId="0" fontId="10" fillId="4" borderId="0" xfId="1" applyFont="1" applyFill="1" applyAlignment="1" applyProtection="1">
      <alignment horizontal="left" vertical="top" wrapText="1"/>
    </xf>
    <xf numFmtId="0" fontId="10" fillId="4" borderId="0" xfId="1" applyFill="1" applyAlignment="1">
      <alignment horizontal="left" vertical="top" wrapText="1"/>
    </xf>
    <xf numFmtId="0" fontId="14" fillId="0" borderId="0" xfId="1" applyFont="1" applyAlignment="1" applyProtection="1">
      <alignment horizontal="left" vertical="top" wrapText="1"/>
    </xf>
    <xf numFmtId="0" fontId="15" fillId="0" borderId="0" xfId="1" applyFont="1" applyAlignment="1" applyProtection="1">
      <alignment horizontal="right" vertical="top"/>
    </xf>
    <xf numFmtId="0" fontId="1" fillId="2" borderId="4" xfId="0" applyFont="1" applyFill="1" applyBorder="1" applyAlignment="1">
      <alignment vertical="center"/>
    </xf>
    <xf numFmtId="0" fontId="1" fillId="2" borderId="8" xfId="0" applyFont="1" applyFill="1" applyBorder="1"/>
    <xf numFmtId="0" fontId="0" fillId="0" borderId="0" xfId="0" applyNumberFormat="1"/>
    <xf numFmtId="0" fontId="5" fillId="3" borderId="12" xfId="0" applyNumberFormat="1" applyFont="1" applyFill="1" applyBorder="1" applyAlignment="1">
      <alignment horizontal="center"/>
    </xf>
    <xf numFmtId="0" fontId="5" fillId="4" borderId="2" xfId="0" applyNumberFormat="1" applyFont="1" applyFill="1" applyBorder="1" applyAlignment="1">
      <alignment horizontal="center"/>
    </xf>
    <xf numFmtId="0" fontId="5" fillId="4" borderId="3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5" fillId="3" borderId="6" xfId="0" applyNumberFormat="1" applyFont="1" applyFill="1" applyBorder="1" applyAlignment="1">
      <alignment horizontal="center"/>
    </xf>
    <xf numFmtId="0" fontId="5" fillId="3" borderId="7" xfId="0" applyNumberFormat="1" applyFont="1" applyFill="1" applyBorder="1" applyAlignment="1">
      <alignment horizontal="center"/>
    </xf>
    <xf numFmtId="0" fontId="5" fillId="0" borderId="0" xfId="0" applyNumberFormat="1" applyFont="1" applyAlignment="1">
      <alignment horizontal="center"/>
    </xf>
    <xf numFmtId="0" fontId="5" fillId="4" borderId="1" xfId="0" applyNumberFormat="1" applyFont="1" applyFill="1" applyBorder="1" applyAlignment="1">
      <alignment horizontal="center"/>
    </xf>
    <xf numFmtId="0" fontId="5" fillId="3" borderId="8" xfId="0" applyNumberFormat="1" applyFont="1" applyFill="1" applyBorder="1" applyAlignment="1">
      <alignment horizontal="center"/>
    </xf>
    <xf numFmtId="0" fontId="4" fillId="0" borderId="0" xfId="0" applyNumberFormat="1" applyFont="1"/>
    <xf numFmtId="0" fontId="3" fillId="0" borderId="0" xfId="0" applyNumberFormat="1" applyFont="1"/>
    <xf numFmtId="0" fontId="15" fillId="0" borderId="0" xfId="0" applyNumberFormat="1" applyFont="1"/>
    <xf numFmtId="0" fontId="6" fillId="0" borderId="0" xfId="0" applyNumberFormat="1" applyFont="1"/>
    <xf numFmtId="0" fontId="7" fillId="3" borderId="11" xfId="0" applyNumberFormat="1" applyFont="1" applyFill="1" applyBorder="1"/>
    <xf numFmtId="0" fontId="8" fillId="0" borderId="12" xfId="0" applyNumberFormat="1" applyFont="1" applyFill="1" applyBorder="1" applyAlignment="1">
      <alignment horizontal="center"/>
    </xf>
    <xf numFmtId="0" fontId="9" fillId="0" borderId="0" xfId="0" applyNumberFormat="1" applyFont="1"/>
    <xf numFmtId="0" fontId="6" fillId="0" borderId="11" xfId="0" applyNumberFormat="1" applyFont="1" applyFill="1" applyBorder="1" applyAlignment="1">
      <alignment horizontal="right"/>
    </xf>
    <xf numFmtId="0" fontId="1" fillId="5" borderId="0" xfId="0" applyNumberFormat="1" applyFont="1" applyFill="1" applyBorder="1" applyAlignment="1">
      <alignment horizontal="right"/>
    </xf>
    <xf numFmtId="2" fontId="18" fillId="0" borderId="0" xfId="0" applyNumberFormat="1" applyFont="1"/>
    <xf numFmtId="2" fontId="19" fillId="0" borderId="0" xfId="0" applyNumberFormat="1" applyFont="1" applyAlignment="1">
      <alignment horizontal="right"/>
    </xf>
    <xf numFmtId="2" fontId="19" fillId="0" borderId="0" xfId="0" applyNumberFormat="1" applyFont="1"/>
    <xf numFmtId="2" fontId="20" fillId="0" borderId="0" xfId="0" applyNumberFormat="1" applyFont="1"/>
    <xf numFmtId="2" fontId="21" fillId="0" borderId="0" xfId="0" applyNumberFormat="1" applyFont="1"/>
    <xf numFmtId="2" fontId="0" fillId="0" borderId="13" xfId="0" applyNumberFormat="1" applyFill="1" applyBorder="1" applyAlignment="1">
      <alignment horizontal="left" vertical="center"/>
    </xf>
    <xf numFmtId="2" fontId="22" fillId="6" borderId="0" xfId="0" applyNumberFormat="1" applyFont="1" applyFill="1"/>
    <xf numFmtId="2" fontId="19" fillId="0" borderId="0" xfId="0" applyNumberFormat="1" applyFont="1" applyAlignment="1">
      <alignment horizontal="left"/>
    </xf>
    <xf numFmtId="2" fontId="23" fillId="0" borderId="0" xfId="0" applyNumberFormat="1" applyFont="1"/>
    <xf numFmtId="164" fontId="19" fillId="0" borderId="0" xfId="0" applyNumberFormat="1" applyFont="1" applyAlignment="1">
      <alignment horizontal="left"/>
    </xf>
    <xf numFmtId="0" fontId="12" fillId="0" borderId="0" xfId="1" applyNumberFormat="1" applyFont="1" applyAlignment="1" applyProtection="1">
      <alignment horizontal="center" vertical="center"/>
    </xf>
    <xf numFmtId="0" fontId="31" fillId="0" borderId="0" xfId="0" applyNumberFormat="1" applyFont="1"/>
    <xf numFmtId="2" fontId="19" fillId="0" borderId="0" xfId="0" applyNumberFormat="1" applyFont="1" applyAlignment="1">
      <alignment vertical="top" wrapText="1"/>
    </xf>
    <xf numFmtId="2" fontId="19" fillId="0" borderId="0" xfId="0" quotePrefix="1" applyNumberFormat="1" applyFont="1" applyAlignment="1">
      <alignment vertical="top" wrapText="1"/>
    </xf>
    <xf numFmtId="2" fontId="24" fillId="0" borderId="0" xfId="0" applyNumberFormat="1" applyFont="1" applyAlignment="1">
      <alignment vertical="top" wrapText="1"/>
    </xf>
    <xf numFmtId="2" fontId="21" fillId="0" borderId="0" xfId="0" applyNumberFormat="1" applyFont="1" applyAlignment="1">
      <alignment vertical="top" wrapText="1"/>
    </xf>
    <xf numFmtId="2" fontId="26" fillId="0" borderId="0" xfId="0" applyNumberFormat="1" applyFont="1" applyAlignment="1">
      <alignment vertical="top" wrapText="1"/>
    </xf>
    <xf numFmtId="2" fontId="19" fillId="7" borderId="0" xfId="0" applyNumberFormat="1" applyFont="1" applyFill="1" applyBorder="1"/>
    <xf numFmtId="2" fontId="25" fillId="8" borderId="0" xfId="0" applyNumberFormat="1" applyFont="1" applyFill="1" applyBorder="1" applyAlignment="1">
      <alignment horizontal="right" vertical="center"/>
    </xf>
    <xf numFmtId="2" fontId="0" fillId="8" borderId="0" xfId="0" applyNumberFormat="1" applyFill="1" applyBorder="1" applyAlignment="1">
      <alignment horizontal="center" vertical="center"/>
    </xf>
    <xf numFmtId="2" fontId="27" fillId="8" borderId="0" xfId="0" applyNumberFormat="1" applyFont="1" applyFill="1" applyBorder="1" applyAlignment="1">
      <alignment horizontal="right" vertical="center" wrapText="1"/>
    </xf>
    <xf numFmtId="2" fontId="19" fillId="7" borderId="5" xfId="0" applyNumberFormat="1" applyFont="1" applyFill="1" applyBorder="1"/>
    <xf numFmtId="2" fontId="19" fillId="0" borderId="4" xfId="0" applyNumberFormat="1" applyFont="1" applyBorder="1" applyAlignment="1">
      <alignment vertical="top" wrapText="1"/>
    </xf>
    <xf numFmtId="2" fontId="21" fillId="0" borderId="4" xfId="0" applyNumberFormat="1" applyFont="1" applyBorder="1" applyAlignment="1">
      <alignment vertical="top" wrapText="1"/>
    </xf>
    <xf numFmtId="2" fontId="0" fillId="8" borderId="5" xfId="0" applyNumberFormat="1" applyFill="1" applyBorder="1" applyAlignment="1">
      <alignment horizontal="center" vertical="center"/>
    </xf>
    <xf numFmtId="2" fontId="26" fillId="0" borderId="4" xfId="0" applyNumberFormat="1" applyFont="1" applyBorder="1" applyAlignment="1">
      <alignment vertical="top" wrapText="1"/>
    </xf>
    <xf numFmtId="2" fontId="19" fillId="0" borderId="8" xfId="0" applyNumberFormat="1" applyFont="1" applyBorder="1" applyAlignment="1">
      <alignment horizontal="right"/>
    </xf>
    <xf numFmtId="2" fontId="27" fillId="8" borderId="6" xfId="0" applyNumberFormat="1" applyFont="1" applyFill="1" applyBorder="1" applyAlignment="1">
      <alignment horizontal="right" vertical="center" wrapText="1"/>
    </xf>
    <xf numFmtId="2" fontId="19" fillId="0" borderId="4" xfId="0" applyNumberFormat="1" applyFont="1" applyBorder="1"/>
    <xf numFmtId="2" fontId="19" fillId="0" borderId="8" xfId="0" applyNumberFormat="1" applyFont="1" applyBorder="1"/>
    <xf numFmtId="9" fontId="14" fillId="8" borderId="0" xfId="3" applyFont="1" applyFill="1" applyBorder="1" applyAlignment="1">
      <alignment horizontal="center" vertical="center" wrapText="1"/>
    </xf>
    <xf numFmtId="9" fontId="14" fillId="8" borderId="5" xfId="3" applyFont="1" applyFill="1" applyBorder="1" applyAlignment="1">
      <alignment horizontal="center" vertical="center" wrapText="1"/>
    </xf>
    <xf numFmtId="9" fontId="30" fillId="8" borderId="6" xfId="3" applyFont="1" applyFill="1" applyBorder="1" applyAlignment="1">
      <alignment horizontal="center" vertical="center" wrapText="1"/>
    </xf>
    <xf numFmtId="9" fontId="30" fillId="8" borderId="7" xfId="3" applyFont="1" applyFill="1" applyBorder="1" applyAlignment="1">
      <alignment horizontal="center" vertical="center" wrapText="1"/>
    </xf>
    <xf numFmtId="2" fontId="19" fillId="0" borderId="0" xfId="0" applyNumberFormat="1" applyFont="1" applyAlignment="1">
      <alignment vertical="top" wrapText="1"/>
    </xf>
    <xf numFmtId="0" fontId="2" fillId="3" borderId="9" xfId="0" applyNumberFormat="1" applyFont="1" applyFill="1" applyBorder="1" applyAlignment="1">
      <alignment horizontal="center" vertical="center"/>
    </xf>
    <xf numFmtId="0" fontId="2" fillId="3" borderId="10" xfId="0" applyNumberFormat="1" applyFont="1" applyFill="1" applyBorder="1" applyAlignment="1">
      <alignment horizontal="center" vertical="center"/>
    </xf>
    <xf numFmtId="0" fontId="2" fillId="4" borderId="9" xfId="0" applyNumberFormat="1" applyFont="1" applyFill="1" applyBorder="1" applyAlignment="1">
      <alignment horizontal="center" vertical="center"/>
    </xf>
    <xf numFmtId="0" fontId="2" fillId="4" borderId="10" xfId="0" applyNumberFormat="1" applyFont="1" applyFill="1" applyBorder="1" applyAlignment="1">
      <alignment horizontal="center" vertical="center"/>
    </xf>
    <xf numFmtId="0" fontId="1" fillId="3" borderId="0" xfId="0" applyNumberFormat="1" applyFont="1" applyFill="1" applyBorder="1" applyAlignment="1">
      <alignment horizontal="center"/>
    </xf>
    <xf numFmtId="2" fontId="21" fillId="0" borderId="1" xfId="0" applyNumberFormat="1" applyFont="1" applyFill="1" applyBorder="1" applyAlignment="1">
      <alignment horizontal="center" vertical="center" wrapText="1"/>
    </xf>
    <xf numFmtId="2" fontId="21" fillId="0" borderId="4" xfId="0" applyNumberFormat="1" applyFont="1" applyFill="1" applyBorder="1" applyAlignment="1">
      <alignment horizontal="center" vertical="center" wrapText="1"/>
    </xf>
    <xf numFmtId="2" fontId="19" fillId="0" borderId="0" xfId="0" applyNumberFormat="1" applyFont="1" applyFill="1" applyBorder="1"/>
    <xf numFmtId="2" fontId="19" fillId="0" borderId="5" xfId="0" applyNumberFormat="1" applyFont="1" applyFill="1" applyBorder="1"/>
    <xf numFmtId="2" fontId="19" fillId="0" borderId="4" xfId="0" applyNumberFormat="1" applyFont="1" applyFill="1" applyBorder="1" applyAlignment="1">
      <alignment horizontal="right"/>
    </xf>
    <xf numFmtId="49" fontId="19" fillId="0" borderId="0" xfId="0" applyNumberFormat="1" applyFont="1" applyFill="1" applyBorder="1"/>
    <xf numFmtId="2" fontId="19" fillId="0" borderId="4" xfId="0" applyNumberFormat="1" applyFont="1" applyFill="1" applyBorder="1" applyAlignment="1"/>
    <xf numFmtId="2" fontId="19" fillId="0" borderId="4" xfId="0" applyNumberFormat="1" applyFont="1" applyFill="1" applyBorder="1" applyAlignment="1">
      <alignment vertical="top" wrapText="1"/>
    </xf>
    <xf numFmtId="49" fontId="19" fillId="0" borderId="0" xfId="0" applyNumberFormat="1" applyFont="1" applyFill="1" applyBorder="1" applyAlignment="1">
      <alignment horizontal="center" vertical="center"/>
    </xf>
    <xf numFmtId="2" fontId="21" fillId="0" borderId="2" xfId="0" applyNumberFormat="1" applyFont="1" applyFill="1" applyBorder="1" applyAlignment="1">
      <alignment horizontal="center" vertical="center"/>
    </xf>
    <xf numFmtId="2" fontId="21" fillId="0" borderId="3" xfId="0" applyNumberFormat="1" applyFont="1" applyFill="1" applyBorder="1" applyAlignment="1">
      <alignment horizontal="center" vertical="center"/>
    </xf>
    <xf numFmtId="2" fontId="19" fillId="0" borderId="0" xfId="0" applyNumberFormat="1" applyFont="1" applyFill="1" applyBorder="1" applyAlignment="1">
      <alignment horizontal="center" vertical="center"/>
    </xf>
    <xf numFmtId="2" fontId="19" fillId="0" borderId="5" xfId="0" applyNumberFormat="1" applyFont="1" applyFill="1" applyBorder="1" applyAlignment="1">
      <alignment horizontal="center" vertical="center"/>
    </xf>
    <xf numFmtId="2" fontId="19" fillId="0" borderId="4" xfId="0" applyNumberFormat="1" applyFont="1" applyFill="1" applyBorder="1"/>
  </cellXfs>
  <cellStyles count="4">
    <cellStyle name="Normal" xfId="0" builtinId="0"/>
    <cellStyle name="Normal 2" xfId="1"/>
    <cellStyle name="Normal 2 2" xfId="2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2</xdr:row>
          <xdr:rowOff>114300</xdr:rowOff>
        </xdr:from>
        <xdr:to>
          <xdr:col>6</xdr:col>
          <xdr:colOff>38100</xdr:colOff>
          <xdr:row>5</xdr:row>
          <xdr:rowOff>57150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180975</xdr:rowOff>
        </xdr:from>
        <xdr:to>
          <xdr:col>6</xdr:col>
          <xdr:colOff>647700</xdr:colOff>
          <xdr:row>23</xdr:row>
          <xdr:rowOff>123825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mp_1" connectionId="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temp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queryTable" Target="../queryTables/query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V103"/>
  <sheetViews>
    <sheetView tabSelected="1" workbookViewId="0">
      <selection activeCell="C20" sqref="C20"/>
    </sheetView>
  </sheetViews>
  <sheetFormatPr defaultRowHeight="12.75"/>
  <cols>
    <col min="1" max="1" width="3.42578125" style="12" customWidth="1"/>
    <col min="2" max="2" width="35.140625" style="12" customWidth="1"/>
    <col min="3" max="3" width="49.85546875" style="23" customWidth="1"/>
    <col min="4" max="16384" width="9.140625" style="12"/>
  </cols>
  <sheetData>
    <row r="1" spans="1:256">
      <c r="A1" s="10"/>
      <c r="B1" s="10"/>
      <c r="C1" s="11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</row>
    <row r="2" spans="1:256" ht="20.25">
      <c r="A2" s="10"/>
      <c r="B2" s="13" t="s">
        <v>21</v>
      </c>
      <c r="C2" s="11"/>
      <c r="D2" s="10"/>
      <c r="E2" s="10"/>
      <c r="F2" s="10"/>
      <c r="G2" s="10"/>
      <c r="H2" s="10"/>
      <c r="I2" s="28" t="s">
        <v>29</v>
      </c>
      <c r="J2" s="60">
        <v>3</v>
      </c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</row>
    <row r="3" spans="1:256">
      <c r="A3" s="10"/>
      <c r="B3" s="10"/>
      <c r="C3" s="11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</row>
    <row r="4" spans="1:256" ht="25.5">
      <c r="A4" s="10"/>
      <c r="B4" s="14" t="s">
        <v>16</v>
      </c>
      <c r="C4" s="11" t="s">
        <v>17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</row>
    <row r="5" spans="1:256">
      <c r="A5" s="10"/>
      <c r="B5" s="10"/>
      <c r="C5" s="27" t="s">
        <v>18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</row>
    <row r="6" spans="1:256" ht="15.75">
      <c r="A6" s="10"/>
      <c r="B6" s="14"/>
      <c r="C6" s="15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</row>
    <row r="7" spans="1:256" ht="15.75">
      <c r="A7" s="10"/>
      <c r="B7" s="14" t="s">
        <v>11</v>
      </c>
      <c r="C7" s="15" t="s">
        <v>12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</row>
    <row r="8" spans="1:256" ht="15.75">
      <c r="A8" s="10"/>
      <c r="B8" s="14"/>
      <c r="C8" s="11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</row>
    <row r="9" spans="1:256" ht="25.5">
      <c r="A9" s="10"/>
      <c r="B9" s="14" t="s">
        <v>22</v>
      </c>
      <c r="C9" s="25" t="s">
        <v>80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</row>
    <row r="10" spans="1:256">
      <c r="A10" s="10"/>
      <c r="C10" s="26" t="s">
        <v>81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</row>
    <row r="11" spans="1:256">
      <c r="A11" s="10"/>
      <c r="C11" s="26" t="s">
        <v>82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</row>
    <row r="12" spans="1:256">
      <c r="A12" s="10"/>
      <c r="C12" s="26" t="s">
        <v>27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</row>
    <row r="13" spans="1:256" ht="15.75">
      <c r="A13" s="10"/>
      <c r="B13" s="14"/>
      <c r="C13" s="26" t="s">
        <v>67</v>
      </c>
      <c r="D13" s="24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</row>
    <row r="14" spans="1:256" ht="25.5">
      <c r="A14" s="10"/>
      <c r="B14" s="14"/>
      <c r="C14" s="26" t="s">
        <v>83</v>
      </c>
      <c r="D14" s="24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</row>
    <row r="15" spans="1:256" ht="15.75">
      <c r="A15" s="10"/>
      <c r="B15" s="14"/>
      <c r="C15" s="26"/>
      <c r="D15" s="24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</row>
    <row r="16" spans="1:256" ht="15.75">
      <c r="A16" s="10"/>
      <c r="B16" s="14"/>
      <c r="D16" s="24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</row>
    <row r="17" spans="1:256" ht="25.5">
      <c r="A17" s="10"/>
      <c r="B17" s="14" t="s">
        <v>23</v>
      </c>
      <c r="C17" s="16" t="s">
        <v>28</v>
      </c>
      <c r="D17" s="24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</row>
    <row r="18" spans="1:256" ht="25.5">
      <c r="A18" s="10"/>
      <c r="B18" s="14"/>
      <c r="C18" s="16" t="s">
        <v>24</v>
      </c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</row>
    <row r="19" spans="1:256" ht="38.25">
      <c r="A19" s="10"/>
      <c r="B19" s="14"/>
      <c r="C19" s="16" t="s">
        <v>25</v>
      </c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</row>
    <row r="20" spans="1:256" ht="15.75">
      <c r="A20" s="10"/>
      <c r="B20" s="14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</row>
    <row r="21" spans="1:256" ht="15.75">
      <c r="A21" s="10"/>
      <c r="B21" s="14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</row>
    <row r="22" spans="1:256" ht="15.75">
      <c r="A22" s="10"/>
      <c r="B22" s="14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</row>
    <row r="23" spans="1:256">
      <c r="A23" s="10"/>
      <c r="B23" s="10"/>
      <c r="C23" s="11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</row>
    <row r="24" spans="1:256" ht="18">
      <c r="A24" s="17" t="s">
        <v>30</v>
      </c>
      <c r="B24" s="10"/>
      <c r="C24" s="11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</row>
    <row r="25" spans="1:256" ht="13.5" thickBot="1">
      <c r="A25" s="18"/>
      <c r="B25" s="18" t="s">
        <v>13</v>
      </c>
      <c r="C25" s="19" t="s">
        <v>14</v>
      </c>
      <c r="D25" s="18" t="s">
        <v>15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</row>
    <row r="26" spans="1:256">
      <c r="A26" s="10"/>
      <c r="B26" s="20">
        <v>43139</v>
      </c>
      <c r="C26" s="16" t="s">
        <v>19</v>
      </c>
      <c r="D26" s="21" t="s">
        <v>20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</row>
    <row r="27" spans="1:256" ht="38.25">
      <c r="A27" s="10"/>
      <c r="B27" s="22"/>
      <c r="C27" s="16" t="s">
        <v>26</v>
      </c>
      <c r="D27" s="21" t="s">
        <v>20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</row>
    <row r="28" spans="1:256">
      <c r="A28" s="10"/>
      <c r="B28" s="22">
        <v>43154</v>
      </c>
      <c r="C28" s="11" t="s">
        <v>31</v>
      </c>
      <c r="D28" s="10" t="s">
        <v>20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</row>
    <row r="29" spans="1:256">
      <c r="A29" s="10"/>
      <c r="B29" s="22">
        <v>43179</v>
      </c>
      <c r="C29" s="11" t="s">
        <v>58</v>
      </c>
      <c r="D29" s="10" t="s">
        <v>20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</row>
    <row r="30" spans="1:256">
      <c r="A30" s="10"/>
      <c r="B30" s="22"/>
      <c r="C30" s="1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</row>
    <row r="31" spans="1:256">
      <c r="A31" s="10"/>
      <c r="B31" s="22"/>
      <c r="C31" s="1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</row>
    <row r="32" spans="1:256">
      <c r="A32" s="10"/>
      <c r="B32" s="10"/>
      <c r="C32" s="1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</row>
    <row r="33" spans="1:256">
      <c r="A33" s="10"/>
      <c r="B33" s="10"/>
      <c r="C33" s="1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</row>
    <row r="34" spans="1:256">
      <c r="A34" s="10"/>
      <c r="B34" s="10"/>
      <c r="C34" s="1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</row>
    <row r="35" spans="1:256">
      <c r="A35" s="10"/>
      <c r="B35" s="10"/>
      <c r="C35" s="1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</row>
    <row r="36" spans="1:256">
      <c r="A36" s="10"/>
      <c r="B36" s="10"/>
      <c r="C36" s="1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</row>
    <row r="37" spans="1:256">
      <c r="A37" s="10"/>
      <c r="B37" s="10"/>
      <c r="C37" s="1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</row>
    <row r="38" spans="1:256">
      <c r="A38" s="10"/>
      <c r="B38" s="10"/>
      <c r="C38" s="1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</row>
    <row r="39" spans="1:256">
      <c r="A39" s="10"/>
      <c r="B39" s="10"/>
      <c r="C39" s="1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</row>
    <row r="40" spans="1:256">
      <c r="A40" s="10"/>
      <c r="B40" s="10"/>
      <c r="C40" s="1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</row>
    <row r="41" spans="1:256">
      <c r="A41" s="10"/>
      <c r="B41" s="10"/>
      <c r="C41" s="1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</row>
    <row r="42" spans="1:256">
      <c r="A42" s="10"/>
      <c r="B42" s="10"/>
      <c r="C42" s="1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</row>
    <row r="43" spans="1:256">
      <c r="A43" s="10"/>
      <c r="B43" s="10"/>
      <c r="C43" s="1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</row>
    <row r="44" spans="1:256">
      <c r="A44" s="10"/>
      <c r="B44" s="10"/>
      <c r="C44" s="1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</row>
    <row r="45" spans="1:256">
      <c r="A45" s="10"/>
      <c r="B45" s="10"/>
      <c r="C45" s="1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</row>
    <row r="46" spans="1:256">
      <c r="A46" s="10"/>
      <c r="B46" s="10"/>
      <c r="C46" s="11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</row>
    <row r="47" spans="1:256">
      <c r="A47" s="10"/>
      <c r="B47" s="10"/>
      <c r="C47" s="11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</row>
    <row r="48" spans="1:256">
      <c r="A48" s="10"/>
      <c r="B48" s="10"/>
      <c r="C48" s="11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</row>
    <row r="49" spans="1:256">
      <c r="A49" s="10"/>
      <c r="B49" s="10"/>
      <c r="C49" s="11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</row>
    <row r="50" spans="1:256">
      <c r="A50" s="10"/>
      <c r="B50" s="10"/>
      <c r="C50" s="11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</row>
    <row r="51" spans="1:256">
      <c r="A51" s="10"/>
      <c r="B51" s="10"/>
      <c r="C51" s="11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</row>
    <row r="52" spans="1:256">
      <c r="A52" s="10"/>
      <c r="B52" s="10"/>
      <c r="C52" s="11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</row>
    <row r="53" spans="1:256">
      <c r="A53" s="10"/>
      <c r="B53" s="10"/>
      <c r="C53" s="11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</row>
    <row r="54" spans="1:256">
      <c r="A54" s="10"/>
      <c r="B54" s="10"/>
      <c r="C54" s="11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</row>
    <row r="55" spans="1:256">
      <c r="A55" s="10"/>
      <c r="B55" s="10"/>
      <c r="C55" s="11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</row>
    <row r="56" spans="1:256">
      <c r="A56" s="10"/>
      <c r="B56" s="10"/>
      <c r="C56" s="11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</row>
    <row r="57" spans="1:256">
      <c r="A57" s="10"/>
      <c r="B57" s="10"/>
      <c r="C57" s="11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</row>
    <row r="58" spans="1:256">
      <c r="A58" s="10"/>
      <c r="B58" s="10"/>
      <c r="C58" s="11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</row>
    <row r="59" spans="1:256">
      <c r="A59" s="10"/>
      <c r="B59" s="10"/>
      <c r="C59" s="11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</row>
    <row r="60" spans="1:256">
      <c r="A60" s="10"/>
      <c r="B60" s="10"/>
      <c r="C60" s="11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</row>
    <row r="61" spans="1:256">
      <c r="A61" s="10"/>
      <c r="B61" s="10"/>
      <c r="C61" s="11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</row>
    <row r="62" spans="1:256">
      <c r="A62" s="10"/>
      <c r="B62" s="10"/>
      <c r="C62" s="11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</row>
    <row r="63" spans="1:256">
      <c r="A63" s="10"/>
      <c r="B63" s="10"/>
      <c r="C63" s="11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</row>
    <row r="64" spans="1:256">
      <c r="A64" s="10"/>
      <c r="B64" s="10"/>
      <c r="C64" s="11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</row>
    <row r="65" spans="1:256">
      <c r="A65" s="10"/>
      <c r="B65" s="10"/>
      <c r="C65" s="11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</row>
    <row r="66" spans="1:256">
      <c r="A66" s="10"/>
      <c r="B66" s="10"/>
      <c r="C66" s="11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</row>
    <row r="67" spans="1:256">
      <c r="A67" s="10"/>
      <c r="B67" s="10"/>
      <c r="C67" s="11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</row>
    <row r="68" spans="1:256">
      <c r="A68" s="10"/>
      <c r="B68" s="10"/>
      <c r="C68" s="11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</row>
    <row r="69" spans="1:256">
      <c r="A69" s="10"/>
      <c r="B69" s="10"/>
      <c r="C69" s="11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</row>
    <row r="70" spans="1:256">
      <c r="A70" s="10"/>
      <c r="B70" s="10"/>
      <c r="C70" s="11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</row>
    <row r="71" spans="1:256">
      <c r="A71" s="10"/>
      <c r="B71" s="10"/>
      <c r="C71" s="11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</row>
    <row r="72" spans="1:256">
      <c r="A72" s="10"/>
      <c r="B72" s="10"/>
      <c r="C72" s="11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</row>
    <row r="73" spans="1:256">
      <c r="A73" s="10"/>
      <c r="B73" s="10"/>
      <c r="C73" s="11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</row>
    <row r="74" spans="1:256">
      <c r="A74" s="10"/>
      <c r="B74" s="10"/>
      <c r="C74" s="11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</row>
    <row r="75" spans="1:256">
      <c r="A75" s="10"/>
      <c r="B75" s="10"/>
      <c r="C75" s="11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</row>
    <row r="76" spans="1:256">
      <c r="A76" s="10"/>
      <c r="B76" s="10"/>
      <c r="C76" s="11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</row>
    <row r="77" spans="1:256">
      <c r="A77" s="10"/>
      <c r="B77" s="10"/>
      <c r="C77" s="11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</row>
    <row r="78" spans="1:256">
      <c r="A78" s="10"/>
      <c r="B78" s="10"/>
      <c r="C78" s="11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</row>
    <row r="79" spans="1:256">
      <c r="A79" s="10"/>
      <c r="B79" s="10"/>
      <c r="C79" s="11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</row>
    <row r="80" spans="1:256">
      <c r="A80" s="10"/>
      <c r="B80" s="10"/>
      <c r="C80" s="11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</row>
    <row r="81" spans="1:256">
      <c r="A81" s="10"/>
      <c r="B81" s="10"/>
      <c r="C81" s="11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</row>
    <row r="82" spans="1:256">
      <c r="A82" s="10"/>
      <c r="B82" s="10"/>
      <c r="C82" s="11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</row>
    <row r="83" spans="1:256">
      <c r="A83" s="10"/>
      <c r="B83" s="10"/>
      <c r="C83" s="11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</row>
    <row r="84" spans="1:256">
      <c r="A84" s="10"/>
      <c r="B84" s="10"/>
      <c r="C84" s="11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</row>
    <row r="85" spans="1:256">
      <c r="A85" s="10"/>
      <c r="B85" s="10"/>
      <c r="C85" s="11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</row>
    <row r="86" spans="1:256">
      <c r="A86" s="10"/>
      <c r="B86" s="10"/>
      <c r="C86" s="11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</row>
    <row r="87" spans="1:256">
      <c r="A87" s="10"/>
      <c r="B87" s="10"/>
      <c r="C87" s="11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</row>
    <row r="88" spans="1:256">
      <c r="A88" s="10"/>
      <c r="B88" s="10"/>
      <c r="C88" s="11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</row>
    <row r="89" spans="1:256">
      <c r="A89" s="10"/>
      <c r="B89" s="10"/>
      <c r="C89" s="11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</row>
    <row r="90" spans="1:256">
      <c r="A90" s="10"/>
      <c r="B90" s="10"/>
      <c r="C90" s="11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</row>
    <row r="91" spans="1:256">
      <c r="A91" s="10"/>
      <c r="B91" s="10"/>
      <c r="C91" s="11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</row>
    <row r="92" spans="1:256">
      <c r="A92" s="10"/>
      <c r="B92" s="10"/>
      <c r="C92" s="11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</row>
    <row r="93" spans="1:256">
      <c r="A93" s="10"/>
      <c r="B93" s="10"/>
      <c r="C93" s="11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</row>
    <row r="94" spans="1:256">
      <c r="A94" s="10"/>
      <c r="B94" s="10"/>
      <c r="C94" s="11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</row>
    <row r="95" spans="1:256">
      <c r="A95" s="10"/>
      <c r="B95" s="10"/>
      <c r="C95" s="11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</row>
    <row r="96" spans="1:256">
      <c r="A96" s="10"/>
      <c r="B96" s="10"/>
      <c r="C96" s="11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</row>
    <row r="97" spans="1:256">
      <c r="A97" s="10"/>
      <c r="B97" s="10"/>
      <c r="C97" s="11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</row>
    <row r="98" spans="1:256">
      <c r="A98" s="10"/>
      <c r="B98" s="10"/>
      <c r="C98" s="11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</row>
    <row r="99" spans="1:256">
      <c r="A99" s="10"/>
      <c r="B99" s="10"/>
      <c r="C99" s="11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</row>
    <row r="100" spans="1:256">
      <c r="A100" s="10"/>
      <c r="B100" s="10"/>
      <c r="C100" s="11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0"/>
      <c r="BO100" s="10"/>
      <c r="BP100" s="10"/>
      <c r="BQ100" s="10"/>
      <c r="BR100" s="10"/>
      <c r="BS100" s="10"/>
      <c r="BT100" s="10"/>
      <c r="BU100" s="10"/>
      <c r="BV100" s="10"/>
      <c r="BW100" s="10"/>
      <c r="BX100" s="10"/>
      <c r="BY100" s="10"/>
      <c r="BZ100" s="10"/>
      <c r="CA100" s="10"/>
      <c r="CB100" s="10"/>
      <c r="CC100" s="10"/>
      <c r="CD100" s="10"/>
      <c r="CE100" s="10"/>
      <c r="CF100" s="10"/>
      <c r="CG100" s="10"/>
      <c r="CH100" s="10"/>
      <c r="CI100" s="10"/>
      <c r="CJ100" s="10"/>
      <c r="CK100" s="10"/>
      <c r="CL100" s="10"/>
      <c r="CM100" s="10"/>
      <c r="CN100" s="10"/>
      <c r="CO100" s="10"/>
      <c r="CP100" s="10"/>
      <c r="CQ100" s="10"/>
      <c r="CR100" s="10"/>
      <c r="CS100" s="10"/>
      <c r="CT100" s="10"/>
      <c r="CU100" s="10"/>
      <c r="CV100" s="10"/>
      <c r="CW100" s="10"/>
      <c r="CX100" s="10"/>
      <c r="CY100" s="10"/>
      <c r="CZ100" s="10"/>
      <c r="DA100" s="10"/>
      <c r="DB100" s="10"/>
      <c r="DC100" s="10"/>
      <c r="DD100" s="10"/>
      <c r="DE100" s="10"/>
      <c r="DF100" s="10"/>
      <c r="DG100" s="10"/>
      <c r="DH100" s="10"/>
      <c r="DI100" s="10"/>
      <c r="DJ100" s="10"/>
      <c r="DK100" s="10"/>
      <c r="DL100" s="10"/>
      <c r="DM100" s="10"/>
      <c r="DN100" s="10"/>
      <c r="DO100" s="10"/>
      <c r="DP100" s="10"/>
      <c r="DQ100" s="10"/>
      <c r="DR100" s="10"/>
      <c r="DS100" s="10"/>
      <c r="DT100" s="10"/>
      <c r="DU100" s="10"/>
      <c r="DV100" s="10"/>
      <c r="DW100" s="10"/>
      <c r="DX100" s="10"/>
      <c r="DY100" s="10"/>
      <c r="DZ100" s="10"/>
      <c r="EA100" s="10"/>
      <c r="EB100" s="10"/>
      <c r="EC100" s="10"/>
      <c r="ED100" s="10"/>
      <c r="EE100" s="10"/>
      <c r="EF100" s="10"/>
      <c r="EG100" s="10"/>
      <c r="EH100" s="10"/>
      <c r="EI100" s="10"/>
      <c r="EJ100" s="10"/>
      <c r="EK100" s="10"/>
      <c r="EL100" s="10"/>
      <c r="EM100" s="10"/>
      <c r="EN100" s="10"/>
      <c r="EO100" s="10"/>
      <c r="EP100" s="10"/>
      <c r="EQ100" s="10"/>
      <c r="ER100" s="10"/>
      <c r="ES100" s="10"/>
      <c r="ET100" s="10"/>
      <c r="EU100" s="10"/>
      <c r="EV100" s="10"/>
      <c r="EW100" s="10"/>
      <c r="EX100" s="10"/>
      <c r="EY100" s="10"/>
      <c r="EZ100" s="10"/>
      <c r="FA100" s="10"/>
      <c r="FB100" s="10"/>
      <c r="FC100" s="10"/>
      <c r="FD100" s="10"/>
      <c r="FE100" s="10"/>
      <c r="FF100" s="10"/>
      <c r="FG100" s="10"/>
      <c r="FH100" s="10"/>
      <c r="FI100" s="10"/>
      <c r="FJ100" s="10"/>
      <c r="FK100" s="10"/>
      <c r="FL100" s="10"/>
      <c r="FM100" s="10"/>
      <c r="FN100" s="10"/>
      <c r="FO100" s="10"/>
      <c r="FP100" s="10"/>
      <c r="FQ100" s="10"/>
      <c r="FR100" s="10"/>
      <c r="FS100" s="10"/>
      <c r="FT100" s="10"/>
      <c r="FU100" s="10"/>
      <c r="FV100" s="10"/>
      <c r="FW100" s="10"/>
      <c r="FX100" s="10"/>
      <c r="FY100" s="10"/>
      <c r="FZ100" s="10"/>
      <c r="GA100" s="10"/>
      <c r="GB100" s="10"/>
      <c r="GC100" s="10"/>
      <c r="GD100" s="10"/>
      <c r="GE100" s="10"/>
      <c r="GF100" s="10"/>
      <c r="GG100" s="10"/>
      <c r="GH100" s="10"/>
      <c r="GI100" s="10"/>
      <c r="GJ100" s="10"/>
      <c r="GK100" s="10"/>
      <c r="GL100" s="10"/>
      <c r="GM100" s="10"/>
      <c r="GN100" s="10"/>
      <c r="GO100" s="10"/>
      <c r="GP100" s="10"/>
      <c r="GQ100" s="10"/>
      <c r="GR100" s="10"/>
      <c r="GS100" s="10"/>
      <c r="GT100" s="10"/>
      <c r="GU100" s="10"/>
      <c r="GV100" s="10"/>
      <c r="GW100" s="10"/>
      <c r="GX100" s="10"/>
      <c r="GY100" s="10"/>
      <c r="GZ100" s="10"/>
      <c r="HA100" s="10"/>
      <c r="HB100" s="10"/>
      <c r="HC100" s="10"/>
      <c r="HD100" s="10"/>
      <c r="HE100" s="10"/>
      <c r="HF100" s="10"/>
      <c r="HG100" s="10"/>
      <c r="HH100" s="10"/>
      <c r="HI100" s="10"/>
      <c r="HJ100" s="10"/>
      <c r="HK100" s="10"/>
      <c r="HL100" s="10"/>
      <c r="HM100" s="10"/>
      <c r="HN100" s="10"/>
      <c r="HO100" s="10"/>
      <c r="HP100" s="10"/>
      <c r="HQ100" s="10"/>
      <c r="HR100" s="10"/>
      <c r="HS100" s="10"/>
      <c r="HT100" s="10"/>
      <c r="HU100" s="10"/>
      <c r="HV100" s="10"/>
      <c r="HW100" s="10"/>
      <c r="HX100" s="10"/>
      <c r="HY100" s="10"/>
      <c r="HZ100" s="10"/>
      <c r="IA100" s="10"/>
      <c r="IB100" s="10"/>
      <c r="IC100" s="10"/>
      <c r="ID100" s="10"/>
      <c r="IE100" s="10"/>
      <c r="IF100" s="10"/>
      <c r="IG100" s="10"/>
      <c r="IH100" s="10"/>
      <c r="II100" s="10"/>
      <c r="IJ100" s="10"/>
      <c r="IK100" s="10"/>
      <c r="IL100" s="10"/>
      <c r="IM100" s="10"/>
      <c r="IN100" s="10"/>
      <c r="IO100" s="10"/>
      <c r="IP100" s="10"/>
      <c r="IQ100" s="10"/>
      <c r="IR100" s="10"/>
      <c r="IS100" s="10"/>
      <c r="IT100" s="10"/>
      <c r="IU100" s="10"/>
      <c r="IV100" s="10"/>
    </row>
    <row r="101" spans="1:256">
      <c r="A101" s="10"/>
      <c r="B101" s="10"/>
      <c r="C101" s="11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  <c r="BZ101" s="10"/>
      <c r="CA101" s="10"/>
      <c r="CB101" s="10"/>
      <c r="CC101" s="10"/>
      <c r="CD101" s="10"/>
      <c r="CE101" s="10"/>
      <c r="CF101" s="10"/>
      <c r="CG101" s="10"/>
      <c r="CH101" s="10"/>
      <c r="CI101" s="10"/>
      <c r="CJ101" s="10"/>
      <c r="CK101" s="10"/>
      <c r="CL101" s="10"/>
      <c r="CM101" s="10"/>
      <c r="CN101" s="10"/>
      <c r="CO101" s="10"/>
      <c r="CP101" s="10"/>
      <c r="CQ101" s="10"/>
      <c r="CR101" s="10"/>
      <c r="CS101" s="10"/>
      <c r="CT101" s="10"/>
      <c r="CU101" s="10"/>
      <c r="CV101" s="10"/>
      <c r="CW101" s="10"/>
      <c r="CX101" s="10"/>
      <c r="CY101" s="10"/>
      <c r="CZ101" s="10"/>
      <c r="DA101" s="10"/>
      <c r="DB101" s="10"/>
      <c r="DC101" s="10"/>
      <c r="DD101" s="10"/>
      <c r="DE101" s="10"/>
      <c r="DF101" s="10"/>
      <c r="DG101" s="10"/>
      <c r="DH101" s="10"/>
      <c r="DI101" s="10"/>
      <c r="DJ101" s="10"/>
      <c r="DK101" s="10"/>
      <c r="DL101" s="10"/>
      <c r="DM101" s="10"/>
      <c r="DN101" s="10"/>
      <c r="DO101" s="10"/>
      <c r="DP101" s="10"/>
      <c r="DQ101" s="10"/>
      <c r="DR101" s="10"/>
      <c r="DS101" s="10"/>
      <c r="DT101" s="10"/>
      <c r="DU101" s="10"/>
      <c r="DV101" s="10"/>
      <c r="DW101" s="10"/>
      <c r="DX101" s="10"/>
      <c r="DY101" s="10"/>
      <c r="DZ101" s="10"/>
      <c r="EA101" s="10"/>
      <c r="EB101" s="10"/>
      <c r="EC101" s="10"/>
      <c r="ED101" s="10"/>
      <c r="EE101" s="10"/>
      <c r="EF101" s="10"/>
      <c r="EG101" s="10"/>
      <c r="EH101" s="10"/>
      <c r="EI101" s="10"/>
      <c r="EJ101" s="10"/>
      <c r="EK101" s="10"/>
      <c r="EL101" s="10"/>
      <c r="EM101" s="10"/>
      <c r="EN101" s="10"/>
      <c r="EO101" s="10"/>
      <c r="EP101" s="10"/>
      <c r="EQ101" s="10"/>
      <c r="ER101" s="10"/>
      <c r="ES101" s="10"/>
      <c r="ET101" s="10"/>
      <c r="EU101" s="10"/>
      <c r="EV101" s="10"/>
      <c r="EW101" s="10"/>
      <c r="EX101" s="10"/>
      <c r="EY101" s="10"/>
      <c r="EZ101" s="10"/>
      <c r="FA101" s="10"/>
      <c r="FB101" s="10"/>
      <c r="FC101" s="10"/>
      <c r="FD101" s="10"/>
      <c r="FE101" s="10"/>
      <c r="FF101" s="10"/>
      <c r="FG101" s="10"/>
      <c r="FH101" s="10"/>
      <c r="FI101" s="10"/>
      <c r="FJ101" s="10"/>
      <c r="FK101" s="10"/>
      <c r="FL101" s="10"/>
      <c r="FM101" s="10"/>
      <c r="FN101" s="10"/>
      <c r="FO101" s="10"/>
      <c r="FP101" s="10"/>
      <c r="FQ101" s="10"/>
      <c r="FR101" s="10"/>
      <c r="FS101" s="10"/>
      <c r="FT101" s="10"/>
      <c r="FU101" s="10"/>
      <c r="FV101" s="10"/>
      <c r="FW101" s="10"/>
      <c r="FX101" s="10"/>
      <c r="FY101" s="10"/>
      <c r="FZ101" s="10"/>
      <c r="GA101" s="10"/>
      <c r="GB101" s="10"/>
      <c r="GC101" s="10"/>
      <c r="GD101" s="10"/>
      <c r="GE101" s="10"/>
      <c r="GF101" s="10"/>
      <c r="GG101" s="10"/>
      <c r="GH101" s="10"/>
      <c r="GI101" s="10"/>
      <c r="GJ101" s="10"/>
      <c r="GK101" s="10"/>
      <c r="GL101" s="10"/>
      <c r="GM101" s="10"/>
      <c r="GN101" s="10"/>
      <c r="GO101" s="10"/>
      <c r="GP101" s="10"/>
      <c r="GQ101" s="10"/>
      <c r="GR101" s="10"/>
      <c r="GS101" s="10"/>
      <c r="GT101" s="10"/>
      <c r="GU101" s="10"/>
      <c r="GV101" s="10"/>
      <c r="GW101" s="10"/>
      <c r="GX101" s="10"/>
      <c r="GY101" s="10"/>
      <c r="GZ101" s="10"/>
      <c r="HA101" s="10"/>
      <c r="HB101" s="10"/>
      <c r="HC101" s="10"/>
      <c r="HD101" s="10"/>
      <c r="HE101" s="10"/>
      <c r="HF101" s="10"/>
      <c r="HG101" s="10"/>
      <c r="HH101" s="10"/>
      <c r="HI101" s="10"/>
      <c r="HJ101" s="10"/>
      <c r="HK101" s="10"/>
      <c r="HL101" s="10"/>
      <c r="HM101" s="10"/>
      <c r="HN101" s="10"/>
      <c r="HO101" s="10"/>
      <c r="HP101" s="10"/>
      <c r="HQ101" s="10"/>
      <c r="HR101" s="10"/>
      <c r="HS101" s="10"/>
      <c r="HT101" s="10"/>
      <c r="HU101" s="10"/>
      <c r="HV101" s="10"/>
      <c r="HW101" s="10"/>
      <c r="HX101" s="10"/>
      <c r="HY101" s="10"/>
      <c r="HZ101" s="10"/>
      <c r="IA101" s="10"/>
      <c r="IB101" s="10"/>
      <c r="IC101" s="10"/>
      <c r="ID101" s="10"/>
      <c r="IE101" s="10"/>
      <c r="IF101" s="10"/>
      <c r="IG101" s="10"/>
      <c r="IH101" s="10"/>
      <c r="II101" s="10"/>
      <c r="IJ101" s="10"/>
      <c r="IK101" s="10"/>
      <c r="IL101" s="10"/>
      <c r="IM101" s="10"/>
      <c r="IN101" s="10"/>
      <c r="IO101" s="10"/>
      <c r="IP101" s="10"/>
      <c r="IQ101" s="10"/>
      <c r="IR101" s="10"/>
      <c r="IS101" s="10"/>
      <c r="IT101" s="10"/>
      <c r="IU101" s="10"/>
      <c r="IV101" s="10"/>
    </row>
    <row r="102" spans="1:256">
      <c r="A102" s="10"/>
      <c r="B102" s="10"/>
      <c r="C102" s="11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  <c r="BW102" s="10"/>
      <c r="BX102" s="10"/>
      <c r="BY102" s="10"/>
      <c r="BZ102" s="10"/>
      <c r="CA102" s="10"/>
      <c r="CB102" s="10"/>
      <c r="CC102" s="10"/>
      <c r="CD102" s="10"/>
      <c r="CE102" s="10"/>
      <c r="CF102" s="10"/>
      <c r="CG102" s="10"/>
      <c r="CH102" s="10"/>
      <c r="CI102" s="10"/>
      <c r="CJ102" s="10"/>
      <c r="CK102" s="10"/>
      <c r="CL102" s="10"/>
      <c r="CM102" s="10"/>
      <c r="CN102" s="10"/>
      <c r="CO102" s="10"/>
      <c r="CP102" s="10"/>
      <c r="CQ102" s="10"/>
      <c r="CR102" s="10"/>
      <c r="CS102" s="10"/>
      <c r="CT102" s="10"/>
      <c r="CU102" s="10"/>
      <c r="CV102" s="10"/>
      <c r="CW102" s="10"/>
      <c r="CX102" s="10"/>
      <c r="CY102" s="10"/>
      <c r="CZ102" s="10"/>
      <c r="DA102" s="10"/>
      <c r="DB102" s="10"/>
      <c r="DC102" s="10"/>
      <c r="DD102" s="10"/>
      <c r="DE102" s="10"/>
      <c r="DF102" s="10"/>
      <c r="DG102" s="10"/>
      <c r="DH102" s="10"/>
      <c r="DI102" s="10"/>
      <c r="DJ102" s="10"/>
      <c r="DK102" s="10"/>
      <c r="DL102" s="10"/>
      <c r="DM102" s="10"/>
      <c r="DN102" s="10"/>
      <c r="DO102" s="10"/>
      <c r="DP102" s="10"/>
      <c r="DQ102" s="10"/>
      <c r="DR102" s="10"/>
      <c r="DS102" s="10"/>
      <c r="DT102" s="10"/>
      <c r="DU102" s="10"/>
      <c r="DV102" s="10"/>
      <c r="DW102" s="10"/>
      <c r="DX102" s="10"/>
      <c r="DY102" s="10"/>
      <c r="DZ102" s="10"/>
      <c r="EA102" s="10"/>
      <c r="EB102" s="10"/>
      <c r="EC102" s="10"/>
      <c r="ED102" s="10"/>
      <c r="EE102" s="10"/>
      <c r="EF102" s="10"/>
      <c r="EG102" s="10"/>
      <c r="EH102" s="10"/>
      <c r="EI102" s="10"/>
      <c r="EJ102" s="10"/>
      <c r="EK102" s="10"/>
      <c r="EL102" s="10"/>
      <c r="EM102" s="10"/>
      <c r="EN102" s="10"/>
      <c r="EO102" s="10"/>
      <c r="EP102" s="10"/>
      <c r="EQ102" s="10"/>
      <c r="ER102" s="10"/>
      <c r="ES102" s="10"/>
      <c r="ET102" s="10"/>
      <c r="EU102" s="10"/>
      <c r="EV102" s="10"/>
      <c r="EW102" s="10"/>
      <c r="EX102" s="10"/>
      <c r="EY102" s="10"/>
      <c r="EZ102" s="10"/>
      <c r="FA102" s="10"/>
      <c r="FB102" s="10"/>
      <c r="FC102" s="10"/>
      <c r="FD102" s="10"/>
      <c r="FE102" s="10"/>
      <c r="FF102" s="10"/>
      <c r="FG102" s="10"/>
      <c r="FH102" s="10"/>
      <c r="FI102" s="10"/>
      <c r="FJ102" s="10"/>
      <c r="FK102" s="10"/>
      <c r="FL102" s="10"/>
      <c r="FM102" s="10"/>
      <c r="FN102" s="10"/>
      <c r="FO102" s="10"/>
      <c r="FP102" s="10"/>
      <c r="FQ102" s="10"/>
      <c r="FR102" s="10"/>
      <c r="FS102" s="10"/>
      <c r="FT102" s="10"/>
      <c r="FU102" s="10"/>
      <c r="FV102" s="10"/>
      <c r="FW102" s="10"/>
      <c r="FX102" s="10"/>
      <c r="FY102" s="10"/>
      <c r="FZ102" s="10"/>
      <c r="GA102" s="10"/>
      <c r="GB102" s="10"/>
      <c r="GC102" s="10"/>
      <c r="GD102" s="10"/>
      <c r="GE102" s="10"/>
      <c r="GF102" s="10"/>
      <c r="GG102" s="10"/>
      <c r="GH102" s="10"/>
      <c r="GI102" s="10"/>
      <c r="GJ102" s="10"/>
      <c r="GK102" s="10"/>
      <c r="GL102" s="10"/>
      <c r="GM102" s="10"/>
      <c r="GN102" s="10"/>
      <c r="GO102" s="10"/>
      <c r="GP102" s="10"/>
      <c r="GQ102" s="10"/>
      <c r="GR102" s="10"/>
      <c r="GS102" s="10"/>
      <c r="GT102" s="10"/>
      <c r="GU102" s="10"/>
      <c r="GV102" s="10"/>
      <c r="GW102" s="10"/>
      <c r="GX102" s="10"/>
      <c r="GY102" s="10"/>
      <c r="GZ102" s="10"/>
      <c r="HA102" s="10"/>
      <c r="HB102" s="10"/>
      <c r="HC102" s="10"/>
      <c r="HD102" s="10"/>
      <c r="HE102" s="10"/>
      <c r="HF102" s="10"/>
      <c r="HG102" s="10"/>
      <c r="HH102" s="10"/>
      <c r="HI102" s="10"/>
      <c r="HJ102" s="10"/>
      <c r="HK102" s="10"/>
      <c r="HL102" s="10"/>
      <c r="HM102" s="10"/>
      <c r="HN102" s="10"/>
      <c r="HO102" s="10"/>
      <c r="HP102" s="10"/>
      <c r="HQ102" s="10"/>
      <c r="HR102" s="10"/>
      <c r="HS102" s="10"/>
      <c r="HT102" s="10"/>
      <c r="HU102" s="10"/>
      <c r="HV102" s="10"/>
      <c r="HW102" s="10"/>
      <c r="HX102" s="10"/>
      <c r="HY102" s="10"/>
      <c r="HZ102" s="10"/>
      <c r="IA102" s="10"/>
      <c r="IB102" s="10"/>
      <c r="IC102" s="10"/>
      <c r="ID102" s="10"/>
      <c r="IE102" s="10"/>
      <c r="IF102" s="10"/>
      <c r="IG102" s="10"/>
      <c r="IH102" s="10"/>
      <c r="II102" s="10"/>
      <c r="IJ102" s="10"/>
      <c r="IK102" s="10"/>
      <c r="IL102" s="10"/>
      <c r="IM102" s="10"/>
      <c r="IN102" s="10"/>
      <c r="IO102" s="10"/>
      <c r="IP102" s="10"/>
      <c r="IQ102" s="10"/>
      <c r="IR102" s="10"/>
      <c r="IS102" s="10"/>
      <c r="IT102" s="10"/>
      <c r="IU102" s="10"/>
      <c r="IV102" s="10"/>
    </row>
    <row r="103" spans="1:256">
      <c r="A103" s="10"/>
      <c r="B103" s="10"/>
      <c r="C103" s="11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  <c r="BW103" s="10"/>
      <c r="BX103" s="10"/>
      <c r="BY103" s="10"/>
      <c r="BZ103" s="10"/>
      <c r="CA103" s="10"/>
      <c r="CB103" s="10"/>
      <c r="CC103" s="10"/>
      <c r="CD103" s="10"/>
      <c r="CE103" s="10"/>
      <c r="CF103" s="10"/>
      <c r="CG103" s="10"/>
      <c r="CH103" s="10"/>
      <c r="CI103" s="10"/>
      <c r="CJ103" s="10"/>
      <c r="CK103" s="10"/>
      <c r="CL103" s="10"/>
      <c r="CM103" s="10"/>
      <c r="CN103" s="10"/>
      <c r="CO103" s="10"/>
      <c r="CP103" s="10"/>
      <c r="CQ103" s="10"/>
      <c r="CR103" s="10"/>
      <c r="CS103" s="10"/>
      <c r="CT103" s="10"/>
      <c r="CU103" s="10"/>
      <c r="CV103" s="10"/>
      <c r="CW103" s="10"/>
      <c r="CX103" s="10"/>
      <c r="CY103" s="10"/>
      <c r="CZ103" s="10"/>
      <c r="DA103" s="10"/>
      <c r="DB103" s="10"/>
      <c r="DC103" s="10"/>
      <c r="DD103" s="10"/>
      <c r="DE103" s="10"/>
      <c r="DF103" s="10"/>
      <c r="DG103" s="10"/>
      <c r="DH103" s="10"/>
      <c r="DI103" s="10"/>
      <c r="DJ103" s="10"/>
      <c r="DK103" s="10"/>
      <c r="DL103" s="10"/>
      <c r="DM103" s="10"/>
      <c r="DN103" s="10"/>
      <c r="DO103" s="10"/>
      <c r="DP103" s="10"/>
      <c r="DQ103" s="10"/>
      <c r="DR103" s="10"/>
      <c r="DS103" s="10"/>
      <c r="DT103" s="10"/>
      <c r="DU103" s="10"/>
      <c r="DV103" s="10"/>
      <c r="DW103" s="10"/>
      <c r="DX103" s="10"/>
      <c r="DY103" s="10"/>
      <c r="DZ103" s="10"/>
      <c r="EA103" s="10"/>
      <c r="EB103" s="10"/>
      <c r="EC103" s="10"/>
      <c r="ED103" s="10"/>
      <c r="EE103" s="10"/>
      <c r="EF103" s="10"/>
      <c r="EG103" s="10"/>
      <c r="EH103" s="10"/>
      <c r="EI103" s="10"/>
      <c r="EJ103" s="10"/>
      <c r="EK103" s="10"/>
      <c r="EL103" s="10"/>
      <c r="EM103" s="10"/>
      <c r="EN103" s="10"/>
      <c r="EO103" s="10"/>
      <c r="EP103" s="10"/>
      <c r="EQ103" s="10"/>
      <c r="ER103" s="10"/>
      <c r="ES103" s="10"/>
      <c r="ET103" s="10"/>
      <c r="EU103" s="10"/>
      <c r="EV103" s="10"/>
      <c r="EW103" s="10"/>
      <c r="EX103" s="10"/>
      <c r="EY103" s="10"/>
      <c r="EZ103" s="10"/>
      <c r="FA103" s="10"/>
      <c r="FB103" s="10"/>
      <c r="FC103" s="10"/>
      <c r="FD103" s="10"/>
      <c r="FE103" s="10"/>
      <c r="FF103" s="10"/>
      <c r="FG103" s="10"/>
      <c r="FH103" s="10"/>
      <c r="FI103" s="10"/>
      <c r="FJ103" s="10"/>
      <c r="FK103" s="10"/>
      <c r="FL103" s="10"/>
      <c r="FM103" s="10"/>
      <c r="FN103" s="10"/>
      <c r="FO103" s="10"/>
      <c r="FP103" s="10"/>
      <c r="FQ103" s="10"/>
      <c r="FR103" s="10"/>
      <c r="FS103" s="10"/>
      <c r="FT103" s="10"/>
      <c r="FU103" s="10"/>
      <c r="FV103" s="10"/>
      <c r="FW103" s="10"/>
      <c r="FX103" s="10"/>
      <c r="FY103" s="10"/>
      <c r="FZ103" s="10"/>
      <c r="GA103" s="10"/>
      <c r="GB103" s="10"/>
      <c r="GC103" s="10"/>
      <c r="GD103" s="10"/>
      <c r="GE103" s="10"/>
      <c r="GF103" s="10"/>
      <c r="GG103" s="10"/>
      <c r="GH103" s="10"/>
      <c r="GI103" s="10"/>
      <c r="GJ103" s="10"/>
      <c r="GK103" s="10"/>
      <c r="GL103" s="10"/>
      <c r="GM103" s="10"/>
      <c r="GN103" s="10"/>
      <c r="GO103" s="10"/>
      <c r="GP103" s="10"/>
      <c r="GQ103" s="10"/>
      <c r="GR103" s="10"/>
      <c r="GS103" s="10"/>
      <c r="GT103" s="10"/>
      <c r="GU103" s="10"/>
      <c r="GV103" s="10"/>
      <c r="GW103" s="10"/>
      <c r="GX103" s="10"/>
      <c r="GY103" s="10"/>
      <c r="GZ103" s="10"/>
      <c r="HA103" s="10"/>
      <c r="HB103" s="10"/>
      <c r="HC103" s="10"/>
      <c r="HD103" s="10"/>
      <c r="HE103" s="10"/>
      <c r="HF103" s="10"/>
      <c r="HG103" s="10"/>
      <c r="HH103" s="10"/>
      <c r="HI103" s="10"/>
      <c r="HJ103" s="10"/>
      <c r="HK103" s="10"/>
      <c r="HL103" s="10"/>
      <c r="HM103" s="10"/>
      <c r="HN103" s="10"/>
      <c r="HO103" s="10"/>
      <c r="HP103" s="10"/>
      <c r="HQ103" s="10"/>
      <c r="HR103" s="10"/>
      <c r="HS103" s="10"/>
      <c r="HT103" s="10"/>
      <c r="HU103" s="10"/>
      <c r="HV103" s="10"/>
      <c r="HW103" s="10"/>
      <c r="HX103" s="10"/>
      <c r="HY103" s="10"/>
      <c r="HZ103" s="10"/>
      <c r="IA103" s="10"/>
      <c r="IB103" s="10"/>
      <c r="IC103" s="10"/>
      <c r="ID103" s="10"/>
      <c r="IE103" s="10"/>
      <c r="IF103" s="10"/>
      <c r="IG103" s="10"/>
      <c r="IH103" s="10"/>
      <c r="II103" s="10"/>
      <c r="IJ103" s="10"/>
      <c r="IK103" s="10"/>
      <c r="IL103" s="10"/>
      <c r="IM103" s="10"/>
      <c r="IN103" s="10"/>
      <c r="IO103" s="10"/>
      <c r="IP103" s="10"/>
      <c r="IQ103" s="10"/>
      <c r="IR103" s="10"/>
      <c r="IS103" s="10"/>
      <c r="IT103" s="10"/>
      <c r="IU103" s="10"/>
      <c r="IV103" s="10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K25"/>
  <sheetViews>
    <sheetView workbookViewId="0">
      <selection activeCell="E14" sqref="E14"/>
    </sheetView>
  </sheetViews>
  <sheetFormatPr defaultRowHeight="15.75"/>
  <cols>
    <col min="1" max="1" width="31.140625" style="52" customWidth="1"/>
    <col min="2" max="2" width="66.28515625" style="52" customWidth="1"/>
    <col min="3" max="3" width="7.28515625" style="51" customWidth="1"/>
    <col min="4" max="4" width="17.28515625" style="52" customWidth="1"/>
    <col min="5" max="5" width="13.28515625" style="52" customWidth="1"/>
    <col min="6" max="7" width="13.5703125" style="52" customWidth="1"/>
    <col min="8" max="8" width="7.42578125" style="52" customWidth="1"/>
    <col min="9" max="9" width="18" style="52" customWidth="1"/>
    <col min="10" max="10" width="14.85546875" style="52" customWidth="1"/>
    <col min="11" max="11" width="10.28515625" style="52" customWidth="1"/>
    <col min="12" max="14" width="7.42578125" style="52" customWidth="1"/>
    <col min="15" max="16384" width="9.140625" style="52"/>
  </cols>
  <sheetData>
    <row r="1" spans="1:11" ht="22.5">
      <c r="A1" s="50" t="s">
        <v>33</v>
      </c>
      <c r="B1" s="50" t="s">
        <v>59</v>
      </c>
    </row>
    <row r="2" spans="1:11" ht="22.5">
      <c r="A2" s="53" t="s">
        <v>34</v>
      </c>
      <c r="B2" s="50"/>
    </row>
    <row r="4" spans="1:11">
      <c r="A4" s="54" t="s">
        <v>35</v>
      </c>
      <c r="B4" s="52" t="str">
        <f>ModelName</f>
        <v>(model name)</v>
      </c>
    </row>
    <row r="5" spans="1:11">
      <c r="A5" s="54" t="s">
        <v>36</v>
      </c>
      <c r="B5" s="52" t="s">
        <v>60</v>
      </c>
    </row>
    <row r="6" spans="1:11">
      <c r="A6" s="54" t="s">
        <v>37</v>
      </c>
      <c r="B6" s="55"/>
    </row>
    <row r="7" spans="1:11">
      <c r="A7" s="54"/>
      <c r="B7" s="56"/>
    </row>
    <row r="8" spans="1:11" ht="16.5" thickBot="1">
      <c r="A8" s="54" t="s">
        <v>38</v>
      </c>
      <c r="B8" s="52" t="s">
        <v>39</v>
      </c>
    </row>
    <row r="9" spans="1:11">
      <c r="A9" s="54" t="s">
        <v>40</v>
      </c>
      <c r="B9" s="59">
        <v>43175</v>
      </c>
      <c r="C9" s="90" t="s">
        <v>85</v>
      </c>
      <c r="D9" s="99" t="s">
        <v>62</v>
      </c>
      <c r="E9" s="99"/>
      <c r="F9" s="100"/>
      <c r="H9" s="90" t="s">
        <v>85</v>
      </c>
      <c r="I9" s="99" t="s">
        <v>84</v>
      </c>
      <c r="J9" s="99"/>
      <c r="K9" s="100"/>
    </row>
    <row r="10" spans="1:11">
      <c r="A10" s="54" t="s">
        <v>41</v>
      </c>
      <c r="B10" s="57" t="s">
        <v>42</v>
      </c>
      <c r="C10" s="91"/>
      <c r="D10" s="101" t="s">
        <v>66</v>
      </c>
      <c r="E10" s="101" t="s">
        <v>43</v>
      </c>
      <c r="F10" s="102" t="s">
        <v>44</v>
      </c>
      <c r="H10" s="91"/>
      <c r="I10" s="101" t="s">
        <v>66</v>
      </c>
      <c r="J10" s="101" t="s">
        <v>43</v>
      </c>
      <c r="K10" s="102" t="s">
        <v>44</v>
      </c>
    </row>
    <row r="11" spans="1:11">
      <c r="A11" s="52" t="s">
        <v>45</v>
      </c>
      <c r="B11" s="57" t="s">
        <v>61</v>
      </c>
      <c r="C11" s="94">
        <v>0.1</v>
      </c>
      <c r="D11" s="98" t="s">
        <v>69</v>
      </c>
      <c r="E11" s="101"/>
      <c r="F11" s="102"/>
      <c r="H11" s="103">
        <v>0.6</v>
      </c>
      <c r="I11" s="98" t="s">
        <v>74</v>
      </c>
      <c r="J11" s="101"/>
      <c r="K11" s="102"/>
    </row>
    <row r="12" spans="1:11">
      <c r="C12" s="94">
        <v>0.2</v>
      </c>
      <c r="D12" s="98" t="s">
        <v>70</v>
      </c>
      <c r="E12" s="101"/>
      <c r="F12" s="102"/>
      <c r="H12" s="103">
        <v>0.7</v>
      </c>
      <c r="I12" s="98" t="s">
        <v>75</v>
      </c>
      <c r="J12" s="101"/>
      <c r="K12" s="102"/>
    </row>
    <row r="13" spans="1:11">
      <c r="A13" s="58" t="s">
        <v>46</v>
      </c>
      <c r="C13" s="96">
        <v>0.3</v>
      </c>
      <c r="D13" s="98" t="s">
        <v>71</v>
      </c>
      <c r="E13" s="101"/>
      <c r="F13" s="102"/>
      <c r="H13" s="103">
        <v>0.8</v>
      </c>
      <c r="I13" s="98" t="s">
        <v>76</v>
      </c>
      <c r="J13" s="101"/>
      <c r="K13" s="102"/>
    </row>
    <row r="14" spans="1:11">
      <c r="A14" s="84"/>
      <c r="B14" s="84"/>
      <c r="C14" s="96">
        <v>0.4</v>
      </c>
      <c r="D14" s="98" t="s">
        <v>72</v>
      </c>
      <c r="E14" s="101"/>
      <c r="F14" s="102"/>
      <c r="H14" s="103">
        <v>0.9</v>
      </c>
      <c r="I14" s="98" t="s">
        <v>77</v>
      </c>
      <c r="J14" s="101"/>
      <c r="K14" s="102"/>
    </row>
    <row r="15" spans="1:11" ht="15.75" customHeight="1">
      <c r="A15" s="62"/>
      <c r="B15" s="62"/>
      <c r="C15" s="97">
        <v>0.5</v>
      </c>
      <c r="D15" s="98" t="s">
        <v>73</v>
      </c>
      <c r="E15" s="101"/>
      <c r="F15" s="102"/>
      <c r="H15" s="103">
        <v>1</v>
      </c>
      <c r="I15" s="98" t="s">
        <v>79</v>
      </c>
      <c r="J15" s="101"/>
      <c r="K15" s="102"/>
    </row>
    <row r="16" spans="1:11">
      <c r="A16" s="62"/>
      <c r="B16" s="62"/>
      <c r="C16" s="72"/>
      <c r="D16" s="95"/>
      <c r="E16" s="92"/>
      <c r="F16" s="93"/>
      <c r="H16" s="103"/>
      <c r="I16" s="95"/>
      <c r="J16" s="92"/>
      <c r="K16" s="93"/>
    </row>
    <row r="17" spans="1:11">
      <c r="A17" s="62"/>
      <c r="B17" s="62"/>
      <c r="C17" s="72"/>
      <c r="D17" s="67" t="s">
        <v>47</v>
      </c>
      <c r="E17" s="67" t="e">
        <f>AVERAGE(E11:E15)</f>
        <v>#DIV/0!</v>
      </c>
      <c r="F17" s="71" t="e">
        <f>AVERAGE(F11:F15)</f>
        <v>#DIV/0!</v>
      </c>
      <c r="H17" s="78"/>
      <c r="I17" s="67" t="s">
        <v>48</v>
      </c>
      <c r="J17" s="67" t="e">
        <f>AVERAGE(J11:J15)</f>
        <v>#DIV/0!</v>
      </c>
      <c r="K17" s="71" t="e">
        <f>AVERAGE(K11:K15)</f>
        <v>#DIV/0!</v>
      </c>
    </row>
    <row r="18" spans="1:11">
      <c r="A18" s="63"/>
      <c r="B18" s="62"/>
      <c r="C18" s="72"/>
      <c r="D18" s="67" t="s">
        <v>49</v>
      </c>
      <c r="E18" s="67" t="e">
        <f>STDEV(E11:E15)</f>
        <v>#DIV/0!</v>
      </c>
      <c r="F18" s="71" t="e">
        <f>STDEV(F11:F15)</f>
        <v>#DIV/0!</v>
      </c>
      <c r="H18" s="78"/>
      <c r="I18" s="67" t="s">
        <v>49</v>
      </c>
      <c r="J18" s="67" t="e">
        <f>STDEV(J11:J15)</f>
        <v>#DIV/0!</v>
      </c>
      <c r="K18" s="71" t="e">
        <f>STDEV(K11:K15)</f>
        <v>#DIV/0!</v>
      </c>
    </row>
    <row r="19" spans="1:11">
      <c r="A19" s="64"/>
      <c r="B19" s="65"/>
      <c r="C19" s="73"/>
      <c r="D19" s="68" t="s">
        <v>50</v>
      </c>
      <c r="E19" s="69">
        <f>MIN(E11:E15)</f>
        <v>0</v>
      </c>
      <c r="F19" s="74">
        <f>MIN(F11:F15)</f>
        <v>0</v>
      </c>
      <c r="H19" s="78"/>
      <c r="I19" s="68" t="s">
        <v>50</v>
      </c>
      <c r="J19" s="69">
        <f>MIN(J11:J15)</f>
        <v>0</v>
      </c>
      <c r="K19" s="74">
        <f>MIN(K11:K15)</f>
        <v>0</v>
      </c>
    </row>
    <row r="20" spans="1:11">
      <c r="A20" s="66"/>
      <c r="B20" s="66"/>
      <c r="C20" s="75"/>
      <c r="D20" s="68" t="s">
        <v>51</v>
      </c>
      <c r="E20" s="69">
        <f>MAX(E11:E15)</f>
        <v>0</v>
      </c>
      <c r="F20" s="74">
        <f>MAX(F11:F15)</f>
        <v>0</v>
      </c>
      <c r="H20" s="78"/>
      <c r="I20" s="68" t="s">
        <v>51</v>
      </c>
      <c r="J20" s="69">
        <f>MAX(J11:J15)</f>
        <v>0</v>
      </c>
      <c r="K20" s="74">
        <f>MAX(K11:K15)</f>
        <v>0</v>
      </c>
    </row>
    <row r="21" spans="1:11">
      <c r="A21" s="66"/>
      <c r="B21" s="66"/>
      <c r="C21" s="75"/>
      <c r="D21" s="68" t="s">
        <v>52</v>
      </c>
      <c r="E21" s="69">
        <f>COUNT(E11:E15)</f>
        <v>0</v>
      </c>
      <c r="F21" s="74">
        <f>COUNT(F11:F15)</f>
        <v>0</v>
      </c>
      <c r="H21" s="78"/>
      <c r="I21" s="68" t="s">
        <v>52</v>
      </c>
      <c r="J21" s="69">
        <f>COUNT(J11:J15)</f>
        <v>0</v>
      </c>
      <c r="K21" s="74">
        <f>COUNT(K11:K15)</f>
        <v>0</v>
      </c>
    </row>
    <row r="22" spans="1:11">
      <c r="A22" s="66"/>
      <c r="B22" s="66"/>
      <c r="C22" s="75"/>
      <c r="D22" s="68" t="s">
        <v>53</v>
      </c>
      <c r="E22" s="69">
        <v>-10</v>
      </c>
      <c r="F22" s="74">
        <v>-10</v>
      </c>
      <c r="H22" s="78"/>
      <c r="I22" s="68" t="s">
        <v>53</v>
      </c>
      <c r="J22" s="69">
        <v>-10</v>
      </c>
      <c r="K22" s="74">
        <v>-10</v>
      </c>
    </row>
    <row r="23" spans="1:11">
      <c r="A23" s="66"/>
      <c r="B23" s="66"/>
      <c r="C23" s="75"/>
      <c r="D23" s="68" t="s">
        <v>54</v>
      </c>
      <c r="E23" s="69">
        <v>-15</v>
      </c>
      <c r="F23" s="74">
        <v>-15</v>
      </c>
      <c r="H23" s="78"/>
      <c r="I23" s="68" t="s">
        <v>54</v>
      </c>
      <c r="J23" s="69">
        <v>-15</v>
      </c>
      <c r="K23" s="74">
        <v>-15</v>
      </c>
    </row>
    <row r="24" spans="1:11" ht="43.5">
      <c r="A24" s="66" t="s">
        <v>55</v>
      </c>
      <c r="B24" s="66"/>
      <c r="C24" s="75"/>
      <c r="D24" s="70" t="s">
        <v>56</v>
      </c>
      <c r="E24" s="80" t="e">
        <f>NORMDIST(E22,E17,E18,TRUE)</f>
        <v>#DIV/0!</v>
      </c>
      <c r="F24" s="81" t="e">
        <f>NORMDIST(F22,F17,F18,TRUE)</f>
        <v>#DIV/0!</v>
      </c>
      <c r="H24" s="78"/>
      <c r="I24" s="70" t="s">
        <v>56</v>
      </c>
      <c r="J24" s="80" t="e">
        <f>NORMDIST(J22,J17,J18,TRUE)</f>
        <v>#DIV/0!</v>
      </c>
      <c r="K24" s="81" t="e">
        <f>NORMDIST(K22,K17,K18,TRUE)</f>
        <v>#DIV/0!</v>
      </c>
    </row>
    <row r="25" spans="1:11" ht="44.25" thickBot="1">
      <c r="C25" s="76"/>
      <c r="D25" s="77" t="s">
        <v>57</v>
      </c>
      <c r="E25" s="82" t="e">
        <f>NORMDIST(E23,E17,E18,TRUE)</f>
        <v>#DIV/0!</v>
      </c>
      <c r="F25" s="83" t="e">
        <f>NORMDIST(F23,F17,F18,TRUE)</f>
        <v>#DIV/0!</v>
      </c>
      <c r="H25" s="79"/>
      <c r="I25" s="77" t="s">
        <v>57</v>
      </c>
      <c r="J25" s="82" t="e">
        <f>NORMDIST(J23,J17,J18,TRUE)</f>
        <v>#DIV/0!</v>
      </c>
      <c r="K25" s="83" t="e">
        <f>NORMDIST(K23,K17,K18,TRUE)</f>
        <v>#DIV/0!</v>
      </c>
    </row>
  </sheetData>
  <mergeCells count="5">
    <mergeCell ref="D9:F9"/>
    <mergeCell ref="I9:K9"/>
    <mergeCell ref="A14:B14"/>
    <mergeCell ref="C9:C10"/>
    <mergeCell ref="H9:H1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defaultSize="0" autoLine="0" r:id="rId4">
            <anchor moveWithCells="1">
              <from>
                <xdr:col>4</xdr:col>
                <xdr:colOff>447675</xdr:colOff>
                <xdr:row>2</xdr:row>
                <xdr:rowOff>114300</xdr:rowOff>
              </from>
              <to>
                <xdr:col>6</xdr:col>
                <xdr:colOff>38100</xdr:colOff>
                <xdr:row>5</xdr:row>
                <xdr:rowOff>57150</xdr:rowOff>
              </to>
            </anchor>
          </controlPr>
        </control>
      </mc:Choice>
      <mc:Fallback>
        <control shapeId="11265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18"/>
  <sheetViews>
    <sheetView workbookViewId="0">
      <selection activeCell="C27" sqref="C27"/>
    </sheetView>
  </sheetViews>
  <sheetFormatPr defaultRowHeight="15"/>
  <cols>
    <col min="1" max="1" width="38.85546875" style="31" customWidth="1"/>
    <col min="2" max="4" width="12" style="31" bestFit="1" customWidth="1"/>
    <col min="5" max="5" width="11.5703125" style="31" customWidth="1"/>
    <col min="6" max="8" width="12" style="31" bestFit="1" customWidth="1"/>
    <col min="9" max="9" width="16.140625" style="31" customWidth="1"/>
    <col min="10" max="10" width="12" style="31" bestFit="1" customWidth="1"/>
    <col min="11" max="11" width="13.7109375" style="31" bestFit="1" customWidth="1"/>
    <col min="12" max="22" width="12" style="31" bestFit="1" customWidth="1"/>
    <col min="23" max="23" width="11" style="31" bestFit="1" customWidth="1"/>
    <col min="24" max="30" width="12" style="31" bestFit="1" customWidth="1"/>
    <col min="31" max="31" width="11" style="31" bestFit="1" customWidth="1"/>
    <col min="32" max="33" width="12" style="31" bestFit="1" customWidth="1"/>
    <col min="34" max="34" width="10" style="31" bestFit="1" customWidth="1"/>
    <col min="35" max="37" width="12" style="31" bestFit="1" customWidth="1"/>
    <col min="38" max="38" width="11" style="31" bestFit="1" customWidth="1"/>
    <col min="39" max="84" width="12" style="31" bestFit="1" customWidth="1"/>
    <col min="85" max="85" width="11" style="31" bestFit="1" customWidth="1"/>
    <col min="86" max="99" width="12" style="31" bestFit="1" customWidth="1"/>
    <col min="100" max="100" width="11" style="31" bestFit="1" customWidth="1"/>
    <col min="101" max="104" width="12" style="31" bestFit="1" customWidth="1"/>
    <col min="105" max="106" width="11" style="31" bestFit="1" customWidth="1"/>
    <col min="107" max="129" width="12" style="31" bestFit="1" customWidth="1"/>
    <col min="130" max="16384" width="9.140625" style="31"/>
  </cols>
  <sheetData>
    <row r="1" spans="1:18" s="61" customFormat="1" ht="15.75">
      <c r="B1" s="31"/>
      <c r="C1" s="31"/>
      <c r="D1" s="31"/>
      <c r="E1" s="31"/>
      <c r="F1" s="31"/>
      <c r="G1" s="31"/>
      <c r="H1" s="31"/>
      <c r="I1" s="31"/>
      <c r="J1" s="31"/>
      <c r="K1" s="31"/>
    </row>
    <row r="4" spans="1:18" ht="15.75" thickBot="1"/>
    <row r="5" spans="1:18" s="35" customFormat="1" ht="23.25">
      <c r="A5" s="85" t="s">
        <v>10</v>
      </c>
      <c r="B5" s="33">
        <v>0</v>
      </c>
      <c r="C5" s="33">
        <f>IF(F16="palpatine",163,168)</f>
        <v>163</v>
      </c>
      <c r="D5" s="33">
        <f>IF(F16="palpatine",329,340)</f>
        <v>329</v>
      </c>
      <c r="E5" s="33">
        <f>IF(F16="palpatine",501,518)</f>
        <v>501</v>
      </c>
      <c r="F5" s="33">
        <f>IF(F16="palpatine",682,706)</f>
        <v>682</v>
      </c>
      <c r="G5" s="33">
        <f>IF(F16="palpatine",876,908)</f>
        <v>876</v>
      </c>
      <c r="H5" s="33">
        <f>IF(F16="palpatine",1090,1131)</f>
        <v>1090</v>
      </c>
      <c r="I5" s="33">
        <f>IF(F16="palpatine",1328,1383)</f>
        <v>1328</v>
      </c>
      <c r="J5" s="33">
        <f>IF(F16="palpatine",1600,1674)</f>
        <v>1600</v>
      </c>
      <c r="K5" s="33">
        <f>IF(F16="palpatine",1919,2019)</f>
        <v>1919</v>
      </c>
      <c r="L5" s="33">
        <f>IF(F16="palpatine",2301,2442)</f>
        <v>2301</v>
      </c>
      <c r="M5" s="33">
        <f>IF(F16="palpatine",2773,2981)</f>
        <v>2773</v>
      </c>
      <c r="N5" s="33">
        <f>IF(F16="palpatine",3370,3693)</f>
        <v>3370</v>
      </c>
      <c r="O5" s="33">
        <f>IF(F16="palpatine",4140,4672)</f>
        <v>4140</v>
      </c>
      <c r="P5" s="33">
        <f>IF(F16="palpatine",5136,6059)</f>
        <v>5136</v>
      </c>
      <c r="Q5" s="33">
        <f>IF(F16="palpatine",6383,7997)</f>
        <v>6383</v>
      </c>
      <c r="R5" s="34">
        <f>IF(F16="palpatine",7812,10417)</f>
        <v>7812</v>
      </c>
    </row>
    <row r="6" spans="1:18" s="35" customFormat="1" ht="24" thickBot="1">
      <c r="A6" s="86"/>
      <c r="B6" s="36">
        <v>-9</v>
      </c>
      <c r="C6" s="36">
        <v>-9</v>
      </c>
      <c r="D6" s="36">
        <v>-9</v>
      </c>
      <c r="E6" s="36">
        <v>-9</v>
      </c>
      <c r="F6" s="36">
        <v>-8</v>
      </c>
      <c r="G6" s="36">
        <v>-7</v>
      </c>
      <c r="H6" s="36">
        <v>-10</v>
      </c>
      <c r="I6" s="36">
        <v>-10</v>
      </c>
      <c r="J6" s="36">
        <v>-8</v>
      </c>
      <c r="K6" s="36">
        <v>-7</v>
      </c>
      <c r="L6" s="36">
        <v>-4</v>
      </c>
      <c r="M6" s="36">
        <v>-5</v>
      </c>
      <c r="N6" s="36">
        <v>0</v>
      </c>
      <c r="O6" s="36">
        <v>2</v>
      </c>
      <c r="P6" s="36">
        <v>-1</v>
      </c>
      <c r="Q6" s="36">
        <v>0</v>
      </c>
      <c r="R6" s="37">
        <v>0</v>
      </c>
    </row>
    <row r="7" spans="1:18" s="35" customFormat="1" ht="24" thickBot="1"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</row>
    <row r="8" spans="1:18" s="35" customFormat="1" ht="23.25">
      <c r="A8" s="87" t="s">
        <v>64</v>
      </c>
      <c r="B8" s="39">
        <v>250</v>
      </c>
      <c r="C8" s="33">
        <v>500</v>
      </c>
      <c r="D8" s="33">
        <v>750</v>
      </c>
      <c r="E8" s="33">
        <v>1000</v>
      </c>
      <c r="F8" s="33">
        <v>1500</v>
      </c>
      <c r="G8" s="33">
        <v>2000</v>
      </c>
      <c r="H8" s="33">
        <v>3000</v>
      </c>
      <c r="I8" s="33">
        <v>4000</v>
      </c>
      <c r="J8" s="33">
        <v>6000</v>
      </c>
      <c r="K8" s="34" t="str">
        <f>IF(F16="palpatine","",8000)</f>
        <v/>
      </c>
      <c r="L8" s="38"/>
      <c r="M8" s="38"/>
      <c r="N8" s="38"/>
      <c r="O8" s="38"/>
      <c r="P8" s="38"/>
      <c r="Q8" s="38"/>
      <c r="R8" s="38"/>
    </row>
    <row r="9" spans="1:18" s="35" customFormat="1" ht="24" thickBot="1">
      <c r="A9" s="88"/>
      <c r="B9" s="40">
        <v>50</v>
      </c>
      <c r="C9" s="36">
        <v>50</v>
      </c>
      <c r="D9" s="36">
        <v>50</v>
      </c>
      <c r="E9" s="36">
        <v>50</v>
      </c>
      <c r="F9" s="36">
        <v>50</v>
      </c>
      <c r="G9" s="36">
        <v>50</v>
      </c>
      <c r="H9" s="36">
        <v>47</v>
      </c>
      <c r="I9" s="36">
        <v>47</v>
      </c>
      <c r="J9" s="36">
        <v>47</v>
      </c>
      <c r="K9" s="37"/>
      <c r="L9" s="38"/>
      <c r="M9" s="38"/>
      <c r="N9" s="38"/>
      <c r="O9" s="38"/>
      <c r="P9" s="38"/>
      <c r="Q9" s="38"/>
      <c r="R9" s="38"/>
    </row>
    <row r="11" spans="1:18" ht="23.25">
      <c r="F11" s="41" t="s">
        <v>78</v>
      </c>
      <c r="G11" s="42"/>
    </row>
    <row r="12" spans="1:18" ht="18.75">
      <c r="G12" s="43" t="s">
        <v>9</v>
      </c>
    </row>
    <row r="13" spans="1:18" ht="23.25">
      <c r="F13" s="41"/>
    </row>
    <row r="15" spans="1:18" ht="19.5" thickBot="1">
      <c r="F15" s="31" t="s">
        <v>68</v>
      </c>
      <c r="G15" s="44"/>
    </row>
    <row r="16" spans="1:18" ht="24" thickBot="1">
      <c r="F16" s="45" t="s">
        <v>4</v>
      </c>
      <c r="G16" s="46">
        <f>IF(F16="palpatine",Palpatine,Dooku)</f>
        <v>6</v>
      </c>
      <c r="H16" s="47"/>
      <c r="I16" s="48" t="s">
        <v>65</v>
      </c>
      <c r="J16" s="32">
        <v>-10</v>
      </c>
    </row>
    <row r="17" spans="6:11" ht="18.75">
      <c r="G17" s="44"/>
    </row>
    <row r="18" spans="6:11">
      <c r="F18" s="49" t="s">
        <v>8</v>
      </c>
      <c r="G18" s="89" t="s">
        <v>32</v>
      </c>
      <c r="H18" s="89"/>
      <c r="I18" s="89"/>
      <c r="J18" s="89"/>
      <c r="K18" s="89"/>
    </row>
  </sheetData>
  <dataConsolidate/>
  <mergeCells count="3">
    <mergeCell ref="A5:A6"/>
    <mergeCell ref="A8:A9"/>
    <mergeCell ref="G18:K18"/>
  </mergeCells>
  <dataValidations count="1">
    <dataValidation type="list" allowBlank="1" showInputMessage="1" showErrorMessage="1" sqref="F16">
      <formula1>首列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defaultSize="0" autoLine="0" r:id="rId5">
            <anchor moveWithCells="1">
              <from>
                <xdr:col>5</xdr:col>
                <xdr:colOff>0</xdr:colOff>
                <xdr:row>20</xdr:row>
                <xdr:rowOff>180975</xdr:rowOff>
              </from>
              <to>
                <xdr:col>6</xdr:col>
                <xdr:colOff>647700</xdr:colOff>
                <xdr:row>23</xdr:row>
                <xdr:rowOff>123825</xdr:rowOff>
              </to>
            </anchor>
          </controlPr>
        </control>
      </mc:Choice>
      <mc:Fallback>
        <control shapeId="1028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J22" sqref="J22"/>
    </sheetView>
  </sheetViews>
  <sheetFormatPr defaultRowHeight="15"/>
  <sheetData/>
  <dataConsolidate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6:DZ19"/>
  <sheetViews>
    <sheetView workbookViewId="0">
      <selection activeCell="C12" sqref="C12:DZ12"/>
    </sheetView>
  </sheetViews>
  <sheetFormatPr defaultRowHeight="15"/>
  <cols>
    <col min="2" max="2" width="11.7109375" bestFit="1" customWidth="1"/>
  </cols>
  <sheetData>
    <row r="6" spans="2:130" ht="15.75" thickBot="1"/>
    <row r="7" spans="2:130">
      <c r="B7" s="8" t="s">
        <v>3</v>
      </c>
      <c r="C7" s="1">
        <f>import!B5</f>
        <v>0</v>
      </c>
      <c r="D7" s="1">
        <f>import!C5</f>
        <v>163</v>
      </c>
      <c r="E7" s="1">
        <f>import!D5</f>
        <v>329</v>
      </c>
      <c r="F7" s="1">
        <f>import!E5</f>
        <v>501</v>
      </c>
      <c r="G7" s="1">
        <f>import!F5</f>
        <v>682</v>
      </c>
      <c r="H7" s="1">
        <f>import!G5</f>
        <v>876</v>
      </c>
      <c r="I7" s="1">
        <f>import!H5</f>
        <v>1090</v>
      </c>
      <c r="J7" s="1">
        <f>import!I5</f>
        <v>1328</v>
      </c>
      <c r="K7" s="1">
        <f>import!J5</f>
        <v>1600</v>
      </c>
      <c r="L7" s="1">
        <f>import!K5</f>
        <v>1919</v>
      </c>
      <c r="M7" s="1">
        <f>import!L5</f>
        <v>2301</v>
      </c>
      <c r="N7" s="1">
        <f>import!M5</f>
        <v>2773</v>
      </c>
      <c r="O7" s="1">
        <f>import!N5</f>
        <v>3370</v>
      </c>
      <c r="P7" s="1">
        <f>import!O5</f>
        <v>4140</v>
      </c>
      <c r="Q7" s="1">
        <f>import!P5</f>
        <v>5136</v>
      </c>
      <c r="R7" s="1">
        <f>import!Q5</f>
        <v>6383</v>
      </c>
      <c r="S7" s="1">
        <f>import!R5</f>
        <v>7812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5"/>
    </row>
    <row r="8" spans="2:130">
      <c r="B8" s="2" t="s">
        <v>0</v>
      </c>
      <c r="C8" s="3">
        <f>import!B6+import!$B$2-import!$G$16</f>
        <v>-15</v>
      </c>
      <c r="D8" s="3">
        <f>import!C6+import!$B$2-import!$G$16</f>
        <v>-15</v>
      </c>
      <c r="E8" s="3">
        <f>import!D6+import!$B$2-import!$G$16</f>
        <v>-15</v>
      </c>
      <c r="F8" s="3">
        <f>import!E6+import!$B$2-import!$G$16</f>
        <v>-15</v>
      </c>
      <c r="G8" s="3">
        <f>import!F6+import!$B$2-import!$G$16</f>
        <v>-14</v>
      </c>
      <c r="H8" s="3">
        <f>import!G6+import!$B$2-import!$G$16</f>
        <v>-13</v>
      </c>
      <c r="I8" s="3">
        <f>import!H6+import!$B$2-import!$G$16</f>
        <v>-16</v>
      </c>
      <c r="J8" s="3">
        <f>import!I6+import!$B$2-import!$G$16</f>
        <v>-16</v>
      </c>
      <c r="K8" s="3">
        <f>import!J6+import!$B$2-import!$G$16</f>
        <v>-14</v>
      </c>
      <c r="L8" s="3">
        <f>import!K6+import!$B$2-import!$G$16</f>
        <v>-13</v>
      </c>
      <c r="M8" s="3">
        <f>import!L6+import!$B$2-import!$G$16</f>
        <v>-10</v>
      </c>
      <c r="N8" s="3">
        <f>import!M6+import!$B$2-import!$G$16</f>
        <v>-11</v>
      </c>
      <c r="O8" s="3">
        <f>import!N6+import!$B$2-import!$G$16</f>
        <v>-6</v>
      </c>
      <c r="P8" s="3">
        <f>import!O6+import!$B$2-import!$G$16</f>
        <v>-4</v>
      </c>
      <c r="Q8" s="3">
        <f>import!P6+import!$B$2-import!$G$16</f>
        <v>-7</v>
      </c>
      <c r="R8" s="3">
        <f>import!Q6+import!$B$2-import!$G$16</f>
        <v>-6</v>
      </c>
      <c r="S8" s="3">
        <f>import!R6+import!$B$2-import!$G$16</f>
        <v>-6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4"/>
    </row>
    <row r="9" spans="2:130">
      <c r="B9" s="2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4"/>
    </row>
    <row r="10" spans="2:130">
      <c r="B10" s="2" t="s">
        <v>2</v>
      </c>
      <c r="C10" s="3">
        <v>1</v>
      </c>
      <c r="D10" s="3">
        <f>IF(import!$F$16="palpatine",calibration!D15,calibration!D14)</f>
        <v>62.03125</v>
      </c>
      <c r="E10" s="3">
        <f>IF(import!$F$16="palpatine",calibration!E15,calibration!E14)</f>
        <v>123.0625</v>
      </c>
      <c r="F10" s="3">
        <f>IF(import!$F$16="palpatine",calibration!F15,calibration!F14)</f>
        <v>184.09375</v>
      </c>
      <c r="G10" s="3">
        <f>IF(import!$F$16="palpatine",calibration!G15,calibration!G14)</f>
        <v>245.125</v>
      </c>
      <c r="H10" s="3">
        <f>IF(import!$F$16="palpatine",calibration!H15,calibration!H14)</f>
        <v>306.15625</v>
      </c>
      <c r="I10" s="3">
        <f>IF(import!$F$16="palpatine",calibration!I15,calibration!I14)</f>
        <v>367.1875</v>
      </c>
      <c r="J10" s="3">
        <f>IF(import!$F$16="palpatine",calibration!J15,calibration!J14)</f>
        <v>428.21875</v>
      </c>
      <c r="K10" s="3">
        <f>IF(import!$F$16="palpatine",calibration!K15,calibration!K14)</f>
        <v>489.25</v>
      </c>
      <c r="L10" s="3">
        <f>IF(import!$F$16="palpatine",calibration!L15,calibration!L14)</f>
        <v>550.28125</v>
      </c>
      <c r="M10" s="3">
        <f>IF(import!$F$16="palpatine",calibration!M15,calibration!M14)</f>
        <v>611.3125</v>
      </c>
      <c r="N10" s="3">
        <f>IF(import!$F$16="palpatine",calibration!N15,calibration!N14)</f>
        <v>672.34375</v>
      </c>
      <c r="O10" s="3">
        <f>IF(import!$F$16="palpatine",calibration!O15,calibration!O14)</f>
        <v>733.375</v>
      </c>
      <c r="P10" s="3">
        <f>IF(import!$F$16="palpatine",calibration!P15,calibration!P14)</f>
        <v>794.40625</v>
      </c>
      <c r="Q10" s="3">
        <f>IF(import!$F$16="palpatine",calibration!Q15,calibration!Q14)</f>
        <v>855.4375</v>
      </c>
      <c r="R10" s="3">
        <f>IF(import!$F$16="palpatine",calibration!R15,calibration!R14)</f>
        <v>916.46875</v>
      </c>
      <c r="S10" s="3">
        <f>IF(import!$F$16="palpatine",calibration!S15,calibration!S14)</f>
        <v>977.5</v>
      </c>
      <c r="T10" s="3">
        <f>IF(import!$F$16="palpatine",calibration!T15,calibration!T14)</f>
        <v>1038.53125</v>
      </c>
      <c r="U10" s="3">
        <f>IF(import!$F$16="palpatine",calibration!U15,calibration!U14)</f>
        <v>1099.5625</v>
      </c>
      <c r="V10" s="3">
        <f>IF(import!$F$16="palpatine",calibration!V15,calibration!V14)</f>
        <v>1160.59375</v>
      </c>
      <c r="W10" s="3">
        <f>IF(import!$F$16="palpatine",calibration!W15,calibration!W14)</f>
        <v>1221.625</v>
      </c>
      <c r="X10" s="3">
        <f>IF(import!$F$16="palpatine",calibration!X15,calibration!X14)</f>
        <v>1282.65625</v>
      </c>
      <c r="Y10" s="3">
        <f>IF(import!$F$16="palpatine",calibration!Y15,calibration!Y14)</f>
        <v>1343.6875</v>
      </c>
      <c r="Z10" s="3">
        <f>IF(import!$F$16="palpatine",calibration!Z15,calibration!Z14)</f>
        <v>1404.71875</v>
      </c>
      <c r="AA10" s="3">
        <f>IF(import!$F$16="palpatine",calibration!AA15,calibration!AA14)</f>
        <v>1465.75</v>
      </c>
      <c r="AB10" s="3">
        <f>IF(import!$F$16="palpatine",calibration!AB15,calibration!AB14)</f>
        <v>1526.78125</v>
      </c>
      <c r="AC10" s="3">
        <f>IF(import!$F$16="palpatine",calibration!AC15,calibration!AC14)</f>
        <v>1587.8125</v>
      </c>
      <c r="AD10" s="3">
        <f>IF(import!$F$16="palpatine",calibration!AD15,calibration!AD14)</f>
        <v>1648.84375</v>
      </c>
      <c r="AE10" s="3">
        <f>IF(import!$F$16="palpatine",calibration!AE15,calibration!AE14)</f>
        <v>1709.875</v>
      </c>
      <c r="AF10" s="3">
        <f>IF(import!$F$16="palpatine",calibration!AF15,calibration!AF14)</f>
        <v>1770.90625</v>
      </c>
      <c r="AG10" s="3">
        <f>IF(import!$F$16="palpatine",calibration!AG15,calibration!AG14)</f>
        <v>1831.9375</v>
      </c>
      <c r="AH10" s="3">
        <f>IF(import!$F$16="palpatine",calibration!AH15,calibration!AH14)</f>
        <v>1892.96875</v>
      </c>
      <c r="AI10" s="3">
        <f>IF(import!$F$16="palpatine",calibration!AI15,calibration!AI14)</f>
        <v>1954</v>
      </c>
      <c r="AJ10" s="3">
        <f>IF(import!$F$16="palpatine",calibration!AJ15,calibration!AJ14)</f>
        <v>2015.03125</v>
      </c>
      <c r="AK10" s="3">
        <f>IF(import!$F$16="palpatine",calibration!AK15,calibration!AK14)</f>
        <v>2076.0625</v>
      </c>
      <c r="AL10" s="3">
        <f>IF(import!$F$16="palpatine",calibration!AL15,calibration!AL14)</f>
        <v>2137.09375</v>
      </c>
      <c r="AM10" s="3">
        <f>IF(import!$F$16="palpatine",calibration!AM15,calibration!AM14)</f>
        <v>2198.125</v>
      </c>
      <c r="AN10" s="3">
        <f>IF(import!$F$16="palpatine",calibration!AN15,calibration!AN14)</f>
        <v>2259.15625</v>
      </c>
      <c r="AO10" s="3">
        <f>IF(import!$F$16="palpatine",calibration!AO15,calibration!AO14)</f>
        <v>2320.1875</v>
      </c>
      <c r="AP10" s="3">
        <f>IF(import!$F$16="palpatine",calibration!AP15,calibration!AP14)</f>
        <v>2381.21875</v>
      </c>
      <c r="AQ10" s="3">
        <f>IF(import!$F$16="palpatine",calibration!AQ15,calibration!AQ14)</f>
        <v>2442.25</v>
      </c>
      <c r="AR10" s="3">
        <f>IF(import!$F$16="palpatine",calibration!AR15,calibration!AR14)</f>
        <v>2503.28125</v>
      </c>
      <c r="AS10" s="3">
        <f>IF(import!$F$16="palpatine",calibration!AS15,calibration!AS14)</f>
        <v>2564.3125</v>
      </c>
      <c r="AT10" s="3">
        <f>IF(import!$F$16="palpatine",calibration!AT15,calibration!AT14)</f>
        <v>2625.34375</v>
      </c>
      <c r="AU10" s="3">
        <f>IF(import!$F$16="palpatine",calibration!AU15,calibration!AU14)</f>
        <v>2686.375</v>
      </c>
      <c r="AV10" s="3">
        <f>IF(import!$F$16="palpatine",calibration!AV15,calibration!AV14)</f>
        <v>2747.40625</v>
      </c>
      <c r="AW10" s="3">
        <f>IF(import!$F$16="palpatine",calibration!AW15,calibration!AW14)</f>
        <v>2808.4375</v>
      </c>
      <c r="AX10" s="3">
        <f>IF(import!$F$16="palpatine",calibration!AX15,calibration!AX14)</f>
        <v>2869.46875</v>
      </c>
      <c r="AY10" s="3">
        <f>IF(import!$F$16="palpatine",calibration!AY15,calibration!AY14)</f>
        <v>2930.5</v>
      </c>
      <c r="AZ10" s="3">
        <f>IF(import!$F$16="palpatine",calibration!AZ15,calibration!AZ14)</f>
        <v>2991.53125</v>
      </c>
      <c r="BA10" s="3">
        <f>IF(import!$F$16="palpatine",calibration!BA15,calibration!BA14)</f>
        <v>3052.5625</v>
      </c>
      <c r="BB10" s="3">
        <f>IF(import!$F$16="palpatine",calibration!BB15,calibration!BB14)</f>
        <v>3113.59375</v>
      </c>
      <c r="BC10" s="3">
        <f>IF(import!$F$16="palpatine",calibration!BC15,calibration!BC14)</f>
        <v>3174.625</v>
      </c>
      <c r="BD10" s="3">
        <f>IF(import!$F$16="palpatine",calibration!BD15,calibration!BD14)</f>
        <v>3235.65625</v>
      </c>
      <c r="BE10" s="3">
        <f>IF(import!$F$16="palpatine",calibration!BE15,calibration!BE14)</f>
        <v>3296.6875</v>
      </c>
      <c r="BF10" s="3">
        <f>IF(import!$F$16="palpatine",calibration!BF15,calibration!BF14)</f>
        <v>3357.71875</v>
      </c>
      <c r="BG10" s="3">
        <f>IF(import!$F$16="palpatine",calibration!BG15,calibration!BG14)</f>
        <v>3418.75</v>
      </c>
      <c r="BH10" s="3">
        <f>IF(import!$F$16="palpatine",calibration!BH15,calibration!BH14)</f>
        <v>3479.78125</v>
      </c>
      <c r="BI10" s="3">
        <f>IF(import!$F$16="palpatine",calibration!BI15,calibration!BI14)</f>
        <v>3540.8125</v>
      </c>
      <c r="BJ10" s="3">
        <f>IF(import!$F$16="palpatine",calibration!BJ15,calibration!BJ14)</f>
        <v>3601.84375</v>
      </c>
      <c r="BK10" s="3">
        <f>IF(import!$F$16="palpatine",calibration!BK15,calibration!BK14)</f>
        <v>3662.875</v>
      </c>
      <c r="BL10" s="3">
        <f>IF(import!$F$16="palpatine",calibration!BL15,calibration!BL14)</f>
        <v>3723.90625</v>
      </c>
      <c r="BM10" s="3">
        <f>IF(import!$F$16="palpatine",calibration!BM15,calibration!BM14)</f>
        <v>3784.9375</v>
      </c>
      <c r="BN10" s="3">
        <f>IF(import!$F$16="palpatine",calibration!BN15,calibration!BN14)</f>
        <v>3845.96875</v>
      </c>
      <c r="BO10" s="3">
        <f>IF(import!$F$16="palpatine",calibration!BO15,calibration!BO14)</f>
        <v>3907</v>
      </c>
      <c r="BP10" s="3">
        <f>IF(import!$F$16="palpatine",calibration!BP15,calibration!BP14)</f>
        <v>3968.03125</v>
      </c>
      <c r="BQ10" s="3">
        <f>IF(import!$F$16="palpatine",calibration!BQ15,calibration!BQ14)</f>
        <v>4029.0625</v>
      </c>
      <c r="BR10" s="3">
        <f>IF(import!$F$16="palpatine",calibration!BR15,calibration!BR14)</f>
        <v>4090.09375</v>
      </c>
      <c r="BS10" s="3">
        <f>IF(import!$F$16="palpatine",calibration!BS15,calibration!BS14)</f>
        <v>4151.125</v>
      </c>
      <c r="BT10" s="3">
        <f>IF(import!$F$16="palpatine",calibration!BT15,calibration!BT14)</f>
        <v>4212.15625</v>
      </c>
      <c r="BU10" s="3">
        <f>IF(import!$F$16="palpatine",calibration!BU15,calibration!BU14)</f>
        <v>4273.1875</v>
      </c>
      <c r="BV10" s="3">
        <f>IF(import!$F$16="palpatine",calibration!BV15,calibration!BV14)</f>
        <v>4334.21875</v>
      </c>
      <c r="BW10" s="3">
        <f>IF(import!$F$16="palpatine",calibration!BW15,calibration!BW14)</f>
        <v>4395.25</v>
      </c>
      <c r="BX10" s="3">
        <f>IF(import!$F$16="palpatine",calibration!BX15,calibration!BX14)</f>
        <v>4456.28125</v>
      </c>
      <c r="BY10" s="3">
        <f>IF(import!$F$16="palpatine",calibration!BY15,calibration!BY14)</f>
        <v>4517.3125</v>
      </c>
      <c r="BZ10" s="3">
        <f>IF(import!$F$16="palpatine",calibration!BZ15,calibration!BZ14)</f>
        <v>4578.34375</v>
      </c>
      <c r="CA10" s="3">
        <f>IF(import!$F$16="palpatine",calibration!CA15,calibration!CA14)</f>
        <v>4639.375</v>
      </c>
      <c r="CB10" s="3">
        <f>IF(import!$F$16="palpatine",calibration!CB15,calibration!CB14)</f>
        <v>4700.40625</v>
      </c>
      <c r="CC10" s="3">
        <f>IF(import!$F$16="palpatine",calibration!CC15,calibration!CC14)</f>
        <v>4761.4375</v>
      </c>
      <c r="CD10" s="3">
        <f>IF(import!$F$16="palpatine",calibration!CD15,calibration!CD14)</f>
        <v>4822.46875</v>
      </c>
      <c r="CE10" s="3">
        <f>IF(import!$F$16="palpatine",calibration!CE15,calibration!CE14)</f>
        <v>4883.5</v>
      </c>
      <c r="CF10" s="3">
        <f>IF(import!$F$16="palpatine",calibration!CF15,calibration!CF14)</f>
        <v>4944.53125</v>
      </c>
      <c r="CG10" s="3">
        <f>IF(import!$F$16="palpatine",calibration!CG15,calibration!CG14)</f>
        <v>5005.5625</v>
      </c>
      <c r="CH10" s="3">
        <f>IF(import!$F$16="palpatine",calibration!CH15,calibration!CH14)</f>
        <v>5066.59375</v>
      </c>
      <c r="CI10" s="3">
        <f>IF(import!$F$16="palpatine",calibration!CI15,calibration!CI14)</f>
        <v>5127.625</v>
      </c>
      <c r="CJ10" s="3">
        <f>IF(import!$F$16="palpatine",calibration!CJ15,calibration!CJ14)</f>
        <v>5188.65625</v>
      </c>
      <c r="CK10" s="3">
        <f>IF(import!$F$16="palpatine",calibration!CK15,calibration!CK14)</f>
        <v>5249.6875</v>
      </c>
      <c r="CL10" s="3">
        <f>IF(import!$F$16="palpatine",calibration!CL15,calibration!CL14)</f>
        <v>5310.71875</v>
      </c>
      <c r="CM10" s="3">
        <f>IF(import!$F$16="palpatine",calibration!CM15,calibration!CM14)</f>
        <v>5371.75</v>
      </c>
      <c r="CN10" s="3">
        <f>IF(import!$F$16="palpatine",calibration!CN15,calibration!CN14)</f>
        <v>5432.78125</v>
      </c>
      <c r="CO10" s="3">
        <f>IF(import!$F$16="palpatine",calibration!CO15,calibration!CO14)</f>
        <v>5493.8125</v>
      </c>
      <c r="CP10" s="3">
        <f>IF(import!$F$16="palpatine",calibration!CP15,calibration!CP14)</f>
        <v>5554.84375</v>
      </c>
      <c r="CQ10" s="3">
        <f>IF(import!$F$16="palpatine",calibration!CQ15,calibration!CQ14)</f>
        <v>5615.875</v>
      </c>
      <c r="CR10" s="3">
        <f>IF(import!$F$16="palpatine",calibration!CR15,calibration!CR14)</f>
        <v>5676.90625</v>
      </c>
      <c r="CS10" s="3">
        <f>IF(import!$F$16="palpatine",calibration!CS15,calibration!CS14)</f>
        <v>5737.9375</v>
      </c>
      <c r="CT10" s="3">
        <f>IF(import!$F$16="palpatine",calibration!CT15,calibration!CT14)</f>
        <v>5798.96875</v>
      </c>
      <c r="CU10" s="3">
        <f>IF(import!$F$16="palpatine",calibration!CU15,calibration!CU14)</f>
        <v>5860</v>
      </c>
      <c r="CV10" s="3">
        <f>IF(import!$F$16="palpatine",calibration!CV15,calibration!CV14)</f>
        <v>5921.03125</v>
      </c>
      <c r="CW10" s="3">
        <f>IF(import!$F$16="palpatine",calibration!CW15,calibration!CW14)</f>
        <v>5982.0625</v>
      </c>
      <c r="CX10" s="3">
        <f>IF(import!$F$16="palpatine",calibration!CX15,calibration!CX14)</f>
        <v>6043.09375</v>
      </c>
      <c r="CY10" s="3">
        <f>IF(import!$F$16="palpatine",calibration!CY15,calibration!CY14)</f>
        <v>6104.125</v>
      </c>
      <c r="CZ10" s="3">
        <f>IF(import!$F$16="palpatine",calibration!CZ15,calibration!CZ14)</f>
        <v>6165.15625</v>
      </c>
      <c r="DA10" s="3">
        <f>IF(import!$F$16="palpatine",calibration!DA15,calibration!DA14)</f>
        <v>6226.1875</v>
      </c>
      <c r="DB10" s="3">
        <f>IF(import!$F$16="palpatine",calibration!DB15,calibration!DB14)</f>
        <v>6287.21875</v>
      </c>
      <c r="DC10" s="3">
        <f>IF(import!$F$16="palpatine",calibration!DC15,calibration!DC14)</f>
        <v>6348.25</v>
      </c>
      <c r="DD10" s="3">
        <f>IF(import!$F$16="palpatine",calibration!DD15,calibration!DD14)</f>
        <v>6409.28125</v>
      </c>
      <c r="DE10" s="3">
        <f>IF(import!$F$16="palpatine",calibration!DE15,calibration!DE14)</f>
        <v>6470.3125</v>
      </c>
      <c r="DF10" s="3">
        <f>IF(import!$F$16="palpatine",calibration!DF15,calibration!DF14)</f>
        <v>6531.34375</v>
      </c>
      <c r="DG10" s="3">
        <f>IF(import!$F$16="palpatine",calibration!DG15,calibration!DG14)</f>
        <v>6592.375</v>
      </c>
      <c r="DH10" s="3">
        <f>IF(import!$F$16="palpatine",calibration!DH15,calibration!DH14)</f>
        <v>6653.40625</v>
      </c>
      <c r="DI10" s="3">
        <f>IF(import!$F$16="palpatine",calibration!DI15,calibration!DI14)</f>
        <v>6714.4375</v>
      </c>
      <c r="DJ10" s="3">
        <f>IF(import!$F$16="palpatine",calibration!DJ15,calibration!DJ14)</f>
        <v>6775.46875</v>
      </c>
      <c r="DK10" s="3">
        <f>IF(import!$F$16="palpatine",calibration!DK15,calibration!DK14)</f>
        <v>6836.5</v>
      </c>
      <c r="DL10" s="3">
        <f>IF(import!$F$16="palpatine",calibration!DL15,calibration!DL14)</f>
        <v>6897.53125</v>
      </c>
      <c r="DM10" s="3">
        <f>IF(import!$F$16="palpatine",calibration!DM15,calibration!DM14)</f>
        <v>6958.5625</v>
      </c>
      <c r="DN10" s="3">
        <f>IF(import!$F$16="palpatine",calibration!DN15,calibration!DN14)</f>
        <v>7019.59375</v>
      </c>
      <c r="DO10" s="3">
        <f>IF(import!$F$16="palpatine",calibration!DO15,calibration!DO14)</f>
        <v>7080.625</v>
      </c>
      <c r="DP10" s="3">
        <f>IF(import!$F$16="palpatine",calibration!DP15,calibration!DP14)</f>
        <v>7141.65625</v>
      </c>
      <c r="DQ10" s="3">
        <f>IF(import!$F$16="palpatine",calibration!DQ15,calibration!DQ14)</f>
        <v>7202.6875</v>
      </c>
      <c r="DR10" s="3">
        <f>IF(import!$F$16="palpatine",calibration!DR15,calibration!DR14)</f>
        <v>7263.71875</v>
      </c>
      <c r="DS10" s="3">
        <f>IF(import!$F$16="palpatine",calibration!DS15,calibration!DS14)</f>
        <v>7324.75</v>
      </c>
      <c r="DT10" s="3">
        <f>IF(import!$F$16="palpatine",calibration!DT15,calibration!DT14)</f>
        <v>7385.78125</v>
      </c>
      <c r="DU10" s="3">
        <f>IF(import!$F$16="palpatine",calibration!DU15,calibration!DU14)</f>
        <v>7446.8125</v>
      </c>
      <c r="DV10" s="3">
        <f>IF(import!$F$16="palpatine",calibration!DV15,calibration!DV14)</f>
        <v>7507.84375</v>
      </c>
      <c r="DW10" s="3">
        <f>IF(import!$F$16="palpatine",calibration!DW15,calibration!DW14)</f>
        <v>7568.875</v>
      </c>
      <c r="DX10" s="3">
        <f>IF(import!$F$16="palpatine",calibration!DX15,calibration!DX14)</f>
        <v>7629.90625</v>
      </c>
      <c r="DY10" s="3">
        <f>IF(import!$F$16="palpatine",calibration!DY15,calibration!DY14)</f>
        <v>7690.9375</v>
      </c>
      <c r="DZ10" s="4">
        <f>IF(import!$F$16="palpatine",calibration!DZ15,calibration!DZ14)</f>
        <v>7751.96875</v>
      </c>
    </row>
    <row r="11" spans="2:130">
      <c r="B11" s="29" t="s">
        <v>1</v>
      </c>
      <c r="C11" s="3">
        <v>-15</v>
      </c>
      <c r="D11" s="3">
        <v>-15</v>
      </c>
      <c r="E11" s="3">
        <v>-15</v>
      </c>
      <c r="F11" s="3">
        <v>-15</v>
      </c>
      <c r="G11" s="3">
        <v>-15</v>
      </c>
      <c r="H11" s="3">
        <v>-15</v>
      </c>
      <c r="I11" s="3">
        <v>-15</v>
      </c>
      <c r="J11" s="3">
        <v>-15</v>
      </c>
      <c r="K11" s="3">
        <v>-15</v>
      </c>
      <c r="L11" s="3">
        <v>-14.727727900552486</v>
      </c>
      <c r="M11" s="3">
        <v>-14.390538674033149</v>
      </c>
      <c r="N11" s="3">
        <v>-14.053349447513812</v>
      </c>
      <c r="O11" s="3">
        <v>-13.735180412371134</v>
      </c>
      <c r="P11" s="3">
        <v>-13.420586340206185</v>
      </c>
      <c r="Q11" s="3">
        <v>-13.105992268041238</v>
      </c>
      <c r="R11" s="3">
        <v>-13.567318925233645</v>
      </c>
      <c r="S11" s="3">
        <v>-14.422897196261681</v>
      </c>
      <c r="T11" s="3">
        <v>-15.27847546728972</v>
      </c>
      <c r="U11" s="3">
        <v>-16</v>
      </c>
      <c r="V11" s="3">
        <v>-16</v>
      </c>
      <c r="W11" s="3">
        <v>-16</v>
      </c>
      <c r="X11" s="3">
        <v>-16</v>
      </c>
      <c r="Y11" s="3">
        <v>-15.884650735294118</v>
      </c>
      <c r="Z11" s="3">
        <v>-15.435891544117647</v>
      </c>
      <c r="AA11" s="3">
        <v>-14.987132352941176</v>
      </c>
      <c r="AB11" s="3">
        <v>-14.538373161764707</v>
      </c>
      <c r="AC11" s="3">
        <v>-14.089613970588236</v>
      </c>
      <c r="AD11" s="3">
        <v>-13.846884796238244</v>
      </c>
      <c r="AE11" s="3">
        <v>-13.655564263322884</v>
      </c>
      <c r="AF11" s="3">
        <v>-13.464243730407523</v>
      </c>
      <c r="AG11" s="3">
        <v>-13.272923197492164</v>
      </c>
      <c r="AH11" s="3">
        <v>-13.081602664576803</v>
      </c>
      <c r="AI11" s="3">
        <v>-12.725130890052355</v>
      </c>
      <c r="AJ11" s="3">
        <v>-12.245827879581151</v>
      </c>
      <c r="AK11" s="3">
        <v>-11.766524869109947</v>
      </c>
      <c r="AL11" s="3">
        <v>-11.287221858638743</v>
      </c>
      <c r="AM11" s="3">
        <v>-10.807918848167539</v>
      </c>
      <c r="AN11" s="3">
        <v>-10.328615837696335</v>
      </c>
      <c r="AO11" s="3">
        <v>-10.040651483050848</v>
      </c>
      <c r="AP11" s="3">
        <v>-10.169954978813559</v>
      </c>
      <c r="AQ11" s="3">
        <v>-10.299258474576272</v>
      </c>
      <c r="AR11" s="3">
        <v>-10.428561970338983</v>
      </c>
      <c r="AS11" s="3">
        <v>-10.557865466101696</v>
      </c>
      <c r="AT11" s="3">
        <v>-10.687168961864407</v>
      </c>
      <c r="AU11" s="3">
        <v>-10.816472457627119</v>
      </c>
      <c r="AV11" s="3">
        <v>-10.94577595338983</v>
      </c>
      <c r="AW11" s="3">
        <v>-10.703203517587939</v>
      </c>
      <c r="AX11" s="3">
        <v>-10.192054020100503</v>
      </c>
      <c r="AY11" s="3">
        <v>-9.6809045226130657</v>
      </c>
      <c r="AZ11" s="3">
        <v>-9.1697550251256281</v>
      </c>
      <c r="BA11" s="3">
        <v>-8.6586055276381906</v>
      </c>
      <c r="BB11" s="3">
        <v>-8.147456030150753</v>
      </c>
      <c r="BC11" s="3">
        <v>-7.6363065326633164</v>
      </c>
      <c r="BD11" s="3">
        <v>-7.1251570351758797</v>
      </c>
      <c r="BE11" s="3">
        <v>-6.6140075376884422</v>
      </c>
      <c r="BF11" s="3">
        <v>-6.1028580402010046</v>
      </c>
      <c r="BG11" s="3">
        <v>-5.8733766233766236</v>
      </c>
      <c r="BH11" s="3">
        <v>-5.7148538961038957</v>
      </c>
      <c r="BI11" s="3">
        <v>-5.5563311688311687</v>
      </c>
      <c r="BJ11" s="3">
        <v>-5.3978084415584417</v>
      </c>
      <c r="BK11" s="3">
        <v>-5.2392857142857139</v>
      </c>
      <c r="BL11" s="3">
        <v>-5.0807629870129869</v>
      </c>
      <c r="BM11" s="3">
        <v>-4.9222402597402599</v>
      </c>
      <c r="BN11" s="3">
        <v>-4.763717532467532</v>
      </c>
      <c r="BO11" s="3">
        <v>-4.6051948051948051</v>
      </c>
      <c r="BP11" s="3">
        <v>-4.4466720779220781</v>
      </c>
      <c r="BQ11" s="3">
        <v>-4.2881493506493502</v>
      </c>
      <c r="BR11" s="3">
        <v>-4.1296266233766232</v>
      </c>
      <c r="BS11" s="3">
        <v>-4.0335090361445785</v>
      </c>
      <c r="BT11" s="3">
        <v>-4.2173381024096388</v>
      </c>
      <c r="BU11" s="3">
        <v>-4.4011671686746991</v>
      </c>
      <c r="BV11" s="3">
        <v>-4.5849962349397586</v>
      </c>
      <c r="BW11" s="3">
        <v>-4.768825301204819</v>
      </c>
      <c r="BX11" s="3">
        <v>-4.9526543674698793</v>
      </c>
      <c r="BY11" s="3">
        <v>-5.1364834337349397</v>
      </c>
      <c r="BZ11" s="3">
        <v>-5.3203125</v>
      </c>
      <c r="CA11" s="3">
        <v>-5.5041415662650603</v>
      </c>
      <c r="CB11" s="3">
        <v>-5.6879706325301207</v>
      </c>
      <c r="CC11" s="3">
        <v>-5.871799698795181</v>
      </c>
      <c r="CD11" s="3">
        <v>-6.0556287650602414</v>
      </c>
      <c r="CE11" s="3">
        <v>-6.2394578313253009</v>
      </c>
      <c r="CF11" s="3">
        <v>-6.4232868975903612</v>
      </c>
      <c r="CG11" s="3">
        <v>-6.6071159638554215</v>
      </c>
      <c r="CH11" s="3">
        <v>-6.7909450301204819</v>
      </c>
      <c r="CI11" s="3">
        <v>-6.9747740963855422</v>
      </c>
      <c r="CJ11" s="3">
        <v>-6.9577736567762631</v>
      </c>
      <c r="CK11" s="3">
        <v>-6.9088311948676822</v>
      </c>
      <c r="CL11" s="3">
        <v>-6.8598887329591021</v>
      </c>
      <c r="CM11" s="3">
        <v>-6.8109462710505211</v>
      </c>
      <c r="CN11" s="3">
        <v>-6.762003809141941</v>
      </c>
      <c r="CO11" s="3">
        <v>-6.71306134723336</v>
      </c>
      <c r="CP11" s="3">
        <v>-6.664118885324779</v>
      </c>
      <c r="CQ11" s="3">
        <v>-6.6151764234161989</v>
      </c>
      <c r="CR11" s="3">
        <v>-6.566233961507618</v>
      </c>
      <c r="CS11" s="3">
        <v>-6.5172914995990379</v>
      </c>
      <c r="CT11" s="3">
        <v>-6.4683490376904569</v>
      </c>
      <c r="CU11" s="3">
        <v>-6.4194065757818768</v>
      </c>
      <c r="CV11" s="3">
        <v>-6.3704641138732958</v>
      </c>
      <c r="CW11" s="3">
        <v>-6.3215216519647157</v>
      </c>
      <c r="CX11" s="3">
        <v>-6.2725791900561347</v>
      </c>
      <c r="CY11" s="3">
        <v>-6.2236367281475538</v>
      </c>
      <c r="CZ11" s="3">
        <v>-6.1746942662389737</v>
      </c>
      <c r="DA11" s="3">
        <v>-6.1257518043303927</v>
      </c>
      <c r="DB11" s="3">
        <v>-6.0768093424218126</v>
      </c>
      <c r="DC11" s="3">
        <v>-6.0278668805132316</v>
      </c>
      <c r="DD11" s="3">
        <v>-6</v>
      </c>
      <c r="DE11" s="3">
        <v>-6</v>
      </c>
      <c r="DF11" s="3">
        <v>-6</v>
      </c>
      <c r="DG11" s="3">
        <v>-6</v>
      </c>
      <c r="DH11" s="3">
        <v>-6</v>
      </c>
      <c r="DI11" s="3">
        <v>-6</v>
      </c>
      <c r="DJ11" s="3">
        <v>-6</v>
      </c>
      <c r="DK11" s="3">
        <v>-6</v>
      </c>
      <c r="DL11" s="3">
        <v>-6</v>
      </c>
      <c r="DM11" s="3">
        <v>-6</v>
      </c>
      <c r="DN11" s="3">
        <v>-6</v>
      </c>
      <c r="DO11" s="3">
        <v>-6</v>
      </c>
      <c r="DP11" s="3">
        <v>-6</v>
      </c>
      <c r="DQ11" s="3">
        <v>-6</v>
      </c>
      <c r="DR11" s="3">
        <v>-6</v>
      </c>
      <c r="DS11" s="3">
        <v>-6</v>
      </c>
      <c r="DT11" s="3">
        <v>-6</v>
      </c>
      <c r="DU11" s="3">
        <v>-6</v>
      </c>
      <c r="DV11" s="3">
        <v>-6</v>
      </c>
      <c r="DW11" s="3">
        <v>-6</v>
      </c>
      <c r="DX11" s="3">
        <v>-6</v>
      </c>
      <c r="DY11" s="3">
        <v>-6</v>
      </c>
      <c r="DZ11" s="4">
        <v>-6</v>
      </c>
    </row>
    <row r="12" spans="2:130" ht="15.75" thickBot="1">
      <c r="B12" s="30" t="s">
        <v>63</v>
      </c>
      <c r="C12" s="6">
        <v>50</v>
      </c>
      <c r="D12" s="6">
        <v>50</v>
      </c>
      <c r="E12" s="6">
        <v>50</v>
      </c>
      <c r="F12" s="6">
        <v>50</v>
      </c>
      <c r="G12" s="6">
        <v>50</v>
      </c>
      <c r="H12" s="6">
        <v>50</v>
      </c>
      <c r="I12" s="6">
        <v>50</v>
      </c>
      <c r="J12" s="6">
        <v>50</v>
      </c>
      <c r="K12" s="6">
        <v>50</v>
      </c>
      <c r="L12" s="6">
        <v>50</v>
      </c>
      <c r="M12" s="6">
        <v>50</v>
      </c>
      <c r="N12" s="6">
        <v>50</v>
      </c>
      <c r="O12" s="6">
        <v>50</v>
      </c>
      <c r="P12" s="6">
        <v>50</v>
      </c>
      <c r="Q12" s="6">
        <v>50</v>
      </c>
      <c r="R12" s="6">
        <v>50</v>
      </c>
      <c r="S12" s="6">
        <v>50</v>
      </c>
      <c r="T12" s="6">
        <v>50</v>
      </c>
      <c r="U12" s="6">
        <v>50</v>
      </c>
      <c r="V12" s="6">
        <v>50</v>
      </c>
      <c r="W12" s="6">
        <v>50</v>
      </c>
      <c r="X12" s="6">
        <v>50</v>
      </c>
      <c r="Y12" s="6">
        <v>50</v>
      </c>
      <c r="Z12" s="6">
        <v>50</v>
      </c>
      <c r="AA12" s="6">
        <v>50</v>
      </c>
      <c r="AB12" s="6">
        <v>50</v>
      </c>
      <c r="AC12" s="6">
        <v>50</v>
      </c>
      <c r="AD12" s="6">
        <v>50</v>
      </c>
      <c r="AE12" s="6">
        <v>50</v>
      </c>
      <c r="AF12" s="6">
        <v>50</v>
      </c>
      <c r="AG12" s="6">
        <v>50</v>
      </c>
      <c r="AH12" s="6">
        <v>50</v>
      </c>
      <c r="AI12" s="6">
        <v>50</v>
      </c>
      <c r="AJ12" s="6">
        <v>49.954906250000001</v>
      </c>
      <c r="AK12" s="6">
        <v>49.771812500000003</v>
      </c>
      <c r="AL12" s="6">
        <v>49.588718749999998</v>
      </c>
      <c r="AM12" s="6">
        <v>49.405625000000001</v>
      </c>
      <c r="AN12" s="6">
        <v>49.222531250000003</v>
      </c>
      <c r="AO12" s="6">
        <v>49.039437499999998</v>
      </c>
      <c r="AP12" s="6">
        <v>48.856343750000001</v>
      </c>
      <c r="AQ12" s="6">
        <v>48.673250000000003</v>
      </c>
      <c r="AR12" s="6">
        <v>48.490156249999998</v>
      </c>
      <c r="AS12" s="6">
        <v>48.307062500000001</v>
      </c>
      <c r="AT12" s="6">
        <v>48.123968750000003</v>
      </c>
      <c r="AU12" s="6">
        <v>47.940874999999998</v>
      </c>
      <c r="AV12" s="6">
        <v>47.757781250000001</v>
      </c>
      <c r="AW12" s="6">
        <v>47.574687500000003</v>
      </c>
      <c r="AX12" s="6">
        <v>47.391593749999998</v>
      </c>
      <c r="AY12" s="6">
        <v>47.208500000000001</v>
      </c>
      <c r="AZ12" s="6">
        <v>47.025406250000003</v>
      </c>
      <c r="BA12" s="6">
        <v>47</v>
      </c>
      <c r="BB12" s="6">
        <v>47</v>
      </c>
      <c r="BC12" s="6">
        <v>47</v>
      </c>
      <c r="BD12" s="6">
        <v>47</v>
      </c>
      <c r="BE12" s="6">
        <v>47</v>
      </c>
      <c r="BF12" s="6">
        <v>47</v>
      </c>
      <c r="BG12" s="6">
        <v>47</v>
      </c>
      <c r="BH12" s="6">
        <v>47</v>
      </c>
      <c r="BI12" s="6">
        <v>47</v>
      </c>
      <c r="BJ12" s="6">
        <v>47</v>
      </c>
      <c r="BK12" s="6">
        <v>47</v>
      </c>
      <c r="BL12" s="6">
        <v>47</v>
      </c>
      <c r="BM12" s="6">
        <v>47</v>
      </c>
      <c r="BN12" s="6">
        <v>47</v>
      </c>
      <c r="BO12" s="6">
        <v>47</v>
      </c>
      <c r="BP12" s="6">
        <v>47</v>
      </c>
      <c r="BQ12" s="6">
        <v>47</v>
      </c>
      <c r="BR12" s="6">
        <v>47</v>
      </c>
      <c r="BS12" s="6">
        <v>47</v>
      </c>
      <c r="BT12" s="6">
        <v>47</v>
      </c>
      <c r="BU12" s="6">
        <v>47</v>
      </c>
      <c r="BV12" s="6">
        <v>47</v>
      </c>
      <c r="BW12" s="6">
        <v>47</v>
      </c>
      <c r="BX12" s="6">
        <v>47</v>
      </c>
      <c r="BY12" s="6">
        <v>47</v>
      </c>
      <c r="BZ12" s="6">
        <v>47</v>
      </c>
      <c r="CA12" s="6">
        <v>47</v>
      </c>
      <c r="CB12" s="6">
        <v>47</v>
      </c>
      <c r="CC12" s="6">
        <v>47</v>
      </c>
      <c r="CD12" s="6">
        <v>47</v>
      </c>
      <c r="CE12" s="6">
        <v>47</v>
      </c>
      <c r="CF12" s="6">
        <v>47</v>
      </c>
      <c r="CG12" s="6">
        <v>47</v>
      </c>
      <c r="CH12" s="6">
        <v>47</v>
      </c>
      <c r="CI12" s="6">
        <v>47</v>
      </c>
      <c r="CJ12" s="6">
        <v>47</v>
      </c>
      <c r="CK12" s="6">
        <v>47</v>
      </c>
      <c r="CL12" s="6">
        <v>47</v>
      </c>
      <c r="CM12" s="6">
        <v>47</v>
      </c>
      <c r="CN12" s="6">
        <v>47</v>
      </c>
      <c r="CO12" s="6">
        <v>47</v>
      </c>
      <c r="CP12" s="6">
        <v>47</v>
      </c>
      <c r="CQ12" s="6">
        <v>47</v>
      </c>
      <c r="CR12" s="6">
        <v>47</v>
      </c>
      <c r="CS12" s="6">
        <v>47</v>
      </c>
      <c r="CT12" s="6">
        <v>47</v>
      </c>
      <c r="CU12" s="6">
        <v>47</v>
      </c>
      <c r="CV12" s="6">
        <v>47</v>
      </c>
      <c r="CW12" s="6">
        <v>47</v>
      </c>
      <c r="CX12" s="6">
        <v>47</v>
      </c>
      <c r="CY12" s="6">
        <v>47</v>
      </c>
      <c r="CZ12" s="6">
        <v>47</v>
      </c>
      <c r="DA12" s="6">
        <v>47</v>
      </c>
      <c r="DB12" s="6">
        <v>47</v>
      </c>
      <c r="DC12" s="6">
        <v>47</v>
      </c>
      <c r="DD12" s="6">
        <v>47</v>
      </c>
      <c r="DE12" s="6">
        <v>47</v>
      </c>
      <c r="DF12" s="6">
        <v>47</v>
      </c>
      <c r="DG12" s="6">
        <v>47</v>
      </c>
      <c r="DH12" s="6">
        <v>47</v>
      </c>
      <c r="DI12" s="6">
        <v>47</v>
      </c>
      <c r="DJ12" s="6">
        <v>47</v>
      </c>
      <c r="DK12" s="6">
        <v>47</v>
      </c>
      <c r="DL12" s="6">
        <v>47</v>
      </c>
      <c r="DM12" s="6">
        <v>47</v>
      </c>
      <c r="DN12" s="6">
        <v>47</v>
      </c>
      <c r="DO12" s="6">
        <v>47</v>
      </c>
      <c r="DP12" s="6">
        <v>47</v>
      </c>
      <c r="DQ12" s="6">
        <v>47</v>
      </c>
      <c r="DR12" s="6">
        <v>47</v>
      </c>
      <c r="DS12" s="6">
        <v>47</v>
      </c>
      <c r="DT12" s="6">
        <v>47</v>
      </c>
      <c r="DU12" s="6">
        <v>47</v>
      </c>
      <c r="DV12" s="6">
        <v>47</v>
      </c>
      <c r="DW12" s="6">
        <v>47</v>
      </c>
      <c r="DX12" s="6">
        <v>47</v>
      </c>
      <c r="DY12" s="6">
        <v>47</v>
      </c>
      <c r="DZ12" s="7">
        <v>47</v>
      </c>
    </row>
    <row r="14" spans="2:130">
      <c r="B14" s="9" t="s">
        <v>7</v>
      </c>
      <c r="C14">
        <v>1</v>
      </c>
      <c r="D14">
        <v>82.3828125</v>
      </c>
      <c r="E14">
        <v>163.765625</v>
      </c>
      <c r="F14">
        <v>245.1484375</v>
      </c>
      <c r="G14">
        <v>326.53125</v>
      </c>
      <c r="H14">
        <v>407.9140625</v>
      </c>
      <c r="I14">
        <v>489.296875</v>
      </c>
      <c r="J14">
        <v>570.6796875</v>
      </c>
      <c r="K14">
        <v>652.0625</v>
      </c>
      <c r="L14">
        <v>733.4453125</v>
      </c>
      <c r="M14">
        <v>814.828125</v>
      </c>
      <c r="N14">
        <v>896.2109375</v>
      </c>
      <c r="O14">
        <v>977.59375</v>
      </c>
      <c r="P14">
        <v>1058.9765625</v>
      </c>
      <c r="Q14">
        <v>1140.359375</v>
      </c>
      <c r="R14">
        <v>1221.7421875</v>
      </c>
      <c r="S14">
        <v>1303.125</v>
      </c>
      <c r="T14">
        <v>1384.5078125</v>
      </c>
      <c r="U14">
        <v>1465.890625</v>
      </c>
      <c r="V14">
        <v>1547.2734375</v>
      </c>
      <c r="W14">
        <v>1628.65625</v>
      </c>
      <c r="X14">
        <v>1710.0390625</v>
      </c>
      <c r="Y14">
        <v>1791.421875</v>
      </c>
      <c r="Z14">
        <v>1872.8046875</v>
      </c>
      <c r="AA14">
        <v>1954.1875</v>
      </c>
      <c r="AB14">
        <v>2035.5703125</v>
      </c>
      <c r="AC14">
        <v>2116.953125</v>
      </c>
      <c r="AD14">
        <v>2198.3359375</v>
      </c>
      <c r="AE14">
        <v>2279.71875</v>
      </c>
      <c r="AF14">
        <v>2361.1015625</v>
      </c>
      <c r="AG14">
        <v>2442.484375</v>
      </c>
      <c r="AH14">
        <v>2523.8671875</v>
      </c>
      <c r="AI14">
        <v>2605.25</v>
      </c>
      <c r="AJ14">
        <v>2686.6328125</v>
      </c>
      <c r="AK14">
        <v>2768.015625</v>
      </c>
      <c r="AL14">
        <v>2849.3984375</v>
      </c>
      <c r="AM14">
        <v>2930.78125</v>
      </c>
      <c r="AN14">
        <v>3012.1640625</v>
      </c>
      <c r="AO14">
        <v>3093.546875</v>
      </c>
      <c r="AP14">
        <v>3174.9296875</v>
      </c>
      <c r="AQ14">
        <v>3256.3125</v>
      </c>
      <c r="AR14">
        <v>3337.6953125</v>
      </c>
      <c r="AS14">
        <v>3419.078125</v>
      </c>
      <c r="AT14">
        <v>3500.4609375</v>
      </c>
      <c r="AU14">
        <v>3581.84375</v>
      </c>
      <c r="AV14">
        <v>3663.2265625</v>
      </c>
      <c r="AW14">
        <v>3744.609375</v>
      </c>
      <c r="AX14">
        <v>3825.9921875</v>
      </c>
      <c r="AY14">
        <v>3907.375</v>
      </c>
      <c r="AZ14">
        <v>3988.7578125</v>
      </c>
      <c r="BA14">
        <v>4070.140625</v>
      </c>
      <c r="BB14">
        <v>4151.5234375</v>
      </c>
      <c r="BC14">
        <v>4232.90625</v>
      </c>
      <c r="BD14">
        <v>4314.2890625</v>
      </c>
      <c r="BE14">
        <v>4395.671875</v>
      </c>
      <c r="BF14">
        <v>4477.0546875</v>
      </c>
      <c r="BG14">
        <v>4558.4375</v>
      </c>
      <c r="BH14">
        <v>4639.8203125</v>
      </c>
      <c r="BI14">
        <v>4721.203125</v>
      </c>
      <c r="BJ14">
        <v>4802.5859375</v>
      </c>
      <c r="BK14">
        <v>4883.96875</v>
      </c>
      <c r="BL14">
        <v>4965.3515625</v>
      </c>
      <c r="BM14">
        <v>5046.734375</v>
      </c>
      <c r="BN14">
        <v>5128.1171875</v>
      </c>
      <c r="BO14">
        <v>5209.5</v>
      </c>
      <c r="BP14">
        <v>5290.8828125</v>
      </c>
      <c r="BQ14">
        <v>5372.265625</v>
      </c>
      <c r="BR14">
        <v>5453.6484375</v>
      </c>
      <c r="BS14">
        <v>5535.03125</v>
      </c>
      <c r="BT14">
        <v>5616.4140625</v>
      </c>
      <c r="BU14">
        <v>5697.796875</v>
      </c>
      <c r="BV14">
        <v>5779.1796875</v>
      </c>
      <c r="BW14">
        <v>5860.5625</v>
      </c>
      <c r="BX14">
        <v>5941.9453125</v>
      </c>
      <c r="BY14">
        <v>6023.328125</v>
      </c>
      <c r="BZ14">
        <v>6104.7109375</v>
      </c>
      <c r="CA14">
        <v>6186.09375</v>
      </c>
      <c r="CB14">
        <v>6267.4765625</v>
      </c>
      <c r="CC14">
        <v>6348.859375</v>
      </c>
      <c r="CD14">
        <v>6430.2421875</v>
      </c>
      <c r="CE14">
        <v>6511.625</v>
      </c>
      <c r="CF14">
        <v>6593.0078125</v>
      </c>
      <c r="CG14">
        <v>6674.390625</v>
      </c>
      <c r="CH14">
        <v>6755.7734375</v>
      </c>
      <c r="CI14">
        <v>6837.15625</v>
      </c>
      <c r="CJ14">
        <v>6918.5390625</v>
      </c>
      <c r="CK14">
        <v>6999.921875</v>
      </c>
      <c r="CL14">
        <v>7081.3046875</v>
      </c>
      <c r="CM14">
        <v>7162.6875</v>
      </c>
      <c r="CN14">
        <v>7244.0703125</v>
      </c>
      <c r="CO14">
        <v>7325.453125</v>
      </c>
      <c r="CP14">
        <v>7406.8359375</v>
      </c>
      <c r="CQ14">
        <v>7488.21875</v>
      </c>
      <c r="CR14">
        <v>7569.6015625</v>
      </c>
      <c r="CS14">
        <v>7650.984375</v>
      </c>
      <c r="CT14">
        <v>7732.3671875</v>
      </c>
      <c r="CU14">
        <v>7813.75</v>
      </c>
      <c r="CV14">
        <v>7895.1328125</v>
      </c>
      <c r="CW14">
        <v>7976.515625</v>
      </c>
      <c r="CX14">
        <v>8057.8984375</v>
      </c>
      <c r="CY14">
        <v>8139.28125</v>
      </c>
      <c r="CZ14">
        <v>8220.6640625</v>
      </c>
      <c r="DA14">
        <v>8302.046875</v>
      </c>
      <c r="DB14">
        <v>8383.4296875</v>
      </c>
      <c r="DC14">
        <v>8464.8125</v>
      </c>
      <c r="DD14">
        <v>8546.1953125</v>
      </c>
      <c r="DE14">
        <v>8627.578125</v>
      </c>
      <c r="DF14">
        <v>8708.9609375</v>
      </c>
      <c r="DG14">
        <v>8790.34375</v>
      </c>
      <c r="DH14">
        <v>8871.7265625</v>
      </c>
      <c r="DI14">
        <v>8953.109375</v>
      </c>
      <c r="DJ14">
        <v>9034.4921875</v>
      </c>
      <c r="DK14">
        <v>9115.875</v>
      </c>
      <c r="DL14">
        <v>9197.2578125</v>
      </c>
      <c r="DM14">
        <v>9278.640625</v>
      </c>
      <c r="DN14">
        <v>9360.0234375</v>
      </c>
      <c r="DO14">
        <v>9441.40625</v>
      </c>
      <c r="DP14">
        <v>9522.7890625</v>
      </c>
      <c r="DQ14">
        <v>9604.171875</v>
      </c>
      <c r="DR14">
        <v>9685.5546875</v>
      </c>
      <c r="DS14">
        <v>9766.9375</v>
      </c>
      <c r="DT14">
        <v>9848.3203125</v>
      </c>
      <c r="DU14">
        <v>9929.703125</v>
      </c>
      <c r="DV14">
        <v>10011.0859375</v>
      </c>
      <c r="DW14">
        <v>10092.46875</v>
      </c>
      <c r="DX14">
        <v>10173.8515625</v>
      </c>
      <c r="DY14">
        <v>10255.234375</v>
      </c>
      <c r="DZ14">
        <v>10336.6171875</v>
      </c>
    </row>
    <row r="15" spans="2:130">
      <c r="B15" s="9" t="s">
        <v>6</v>
      </c>
      <c r="C15">
        <v>1</v>
      </c>
      <c r="D15">
        <v>62.03125</v>
      </c>
      <c r="E15">
        <v>123.0625</v>
      </c>
      <c r="F15">
        <v>184.09375</v>
      </c>
      <c r="G15">
        <v>245.125</v>
      </c>
      <c r="H15">
        <v>306.15625</v>
      </c>
      <c r="I15">
        <v>367.1875</v>
      </c>
      <c r="J15">
        <v>428.21875</v>
      </c>
      <c r="K15">
        <v>489.25</v>
      </c>
      <c r="L15">
        <v>550.28125</v>
      </c>
      <c r="M15">
        <v>611.3125</v>
      </c>
      <c r="N15">
        <v>672.34375</v>
      </c>
      <c r="O15">
        <v>733.375</v>
      </c>
      <c r="P15">
        <v>794.40625</v>
      </c>
      <c r="Q15">
        <v>855.4375</v>
      </c>
      <c r="R15">
        <v>916.46875</v>
      </c>
      <c r="S15">
        <v>977.5</v>
      </c>
      <c r="T15">
        <v>1038.53125</v>
      </c>
      <c r="U15">
        <v>1099.5625</v>
      </c>
      <c r="V15">
        <v>1160.59375</v>
      </c>
      <c r="W15">
        <v>1221.625</v>
      </c>
      <c r="X15">
        <v>1282.65625</v>
      </c>
      <c r="Y15">
        <v>1343.6875</v>
      </c>
      <c r="Z15">
        <v>1404.71875</v>
      </c>
      <c r="AA15">
        <v>1465.75</v>
      </c>
      <c r="AB15">
        <v>1526.78125</v>
      </c>
      <c r="AC15">
        <v>1587.8125</v>
      </c>
      <c r="AD15">
        <v>1648.84375</v>
      </c>
      <c r="AE15">
        <v>1709.875</v>
      </c>
      <c r="AF15">
        <v>1770.90625</v>
      </c>
      <c r="AG15">
        <v>1831.9375</v>
      </c>
      <c r="AH15">
        <v>1892.96875</v>
      </c>
      <c r="AI15">
        <v>1954</v>
      </c>
      <c r="AJ15">
        <v>2015.03125</v>
      </c>
      <c r="AK15">
        <v>2076.0625</v>
      </c>
      <c r="AL15">
        <v>2137.09375</v>
      </c>
      <c r="AM15">
        <v>2198.125</v>
      </c>
      <c r="AN15">
        <v>2259.15625</v>
      </c>
      <c r="AO15">
        <v>2320.1875</v>
      </c>
      <c r="AP15">
        <v>2381.21875</v>
      </c>
      <c r="AQ15">
        <v>2442.25</v>
      </c>
      <c r="AR15">
        <v>2503.28125</v>
      </c>
      <c r="AS15">
        <v>2564.3125</v>
      </c>
      <c r="AT15">
        <v>2625.34375</v>
      </c>
      <c r="AU15">
        <v>2686.375</v>
      </c>
      <c r="AV15">
        <v>2747.40625</v>
      </c>
      <c r="AW15">
        <v>2808.4375</v>
      </c>
      <c r="AX15">
        <v>2869.46875</v>
      </c>
      <c r="AY15">
        <v>2930.5</v>
      </c>
      <c r="AZ15">
        <v>2991.53125</v>
      </c>
      <c r="BA15">
        <v>3052.5625</v>
      </c>
      <c r="BB15">
        <v>3113.59375</v>
      </c>
      <c r="BC15">
        <v>3174.625</v>
      </c>
      <c r="BD15">
        <v>3235.65625</v>
      </c>
      <c r="BE15">
        <v>3296.6875</v>
      </c>
      <c r="BF15">
        <v>3357.71875</v>
      </c>
      <c r="BG15">
        <v>3418.75</v>
      </c>
      <c r="BH15">
        <v>3479.78125</v>
      </c>
      <c r="BI15">
        <v>3540.8125</v>
      </c>
      <c r="BJ15">
        <v>3601.84375</v>
      </c>
      <c r="BK15">
        <v>3662.875</v>
      </c>
      <c r="BL15">
        <v>3723.90625</v>
      </c>
      <c r="BM15">
        <v>3784.9375</v>
      </c>
      <c r="BN15">
        <v>3845.96875</v>
      </c>
      <c r="BO15">
        <v>3907</v>
      </c>
      <c r="BP15">
        <v>3968.03125</v>
      </c>
      <c r="BQ15">
        <v>4029.0625</v>
      </c>
      <c r="BR15">
        <v>4090.09375</v>
      </c>
      <c r="BS15">
        <v>4151.125</v>
      </c>
      <c r="BT15">
        <v>4212.15625</v>
      </c>
      <c r="BU15">
        <v>4273.1875</v>
      </c>
      <c r="BV15">
        <v>4334.21875</v>
      </c>
      <c r="BW15">
        <v>4395.25</v>
      </c>
      <c r="BX15">
        <v>4456.28125</v>
      </c>
      <c r="BY15">
        <v>4517.3125</v>
      </c>
      <c r="BZ15">
        <v>4578.34375</v>
      </c>
      <c r="CA15">
        <v>4639.375</v>
      </c>
      <c r="CB15">
        <v>4700.40625</v>
      </c>
      <c r="CC15">
        <v>4761.4375</v>
      </c>
      <c r="CD15">
        <v>4822.46875</v>
      </c>
      <c r="CE15">
        <v>4883.5</v>
      </c>
      <c r="CF15">
        <v>4944.53125</v>
      </c>
      <c r="CG15">
        <v>5005.5625</v>
      </c>
      <c r="CH15">
        <v>5066.59375</v>
      </c>
      <c r="CI15">
        <v>5127.625</v>
      </c>
      <c r="CJ15">
        <v>5188.65625</v>
      </c>
      <c r="CK15">
        <v>5249.6875</v>
      </c>
      <c r="CL15">
        <v>5310.71875</v>
      </c>
      <c r="CM15">
        <v>5371.75</v>
      </c>
      <c r="CN15">
        <v>5432.78125</v>
      </c>
      <c r="CO15">
        <v>5493.8125</v>
      </c>
      <c r="CP15">
        <v>5554.84375</v>
      </c>
      <c r="CQ15">
        <v>5615.875</v>
      </c>
      <c r="CR15">
        <v>5676.90625</v>
      </c>
      <c r="CS15">
        <v>5737.9375</v>
      </c>
      <c r="CT15">
        <v>5798.96875</v>
      </c>
      <c r="CU15">
        <v>5860</v>
      </c>
      <c r="CV15">
        <v>5921.03125</v>
      </c>
      <c r="CW15">
        <v>5982.0625</v>
      </c>
      <c r="CX15">
        <v>6043.09375</v>
      </c>
      <c r="CY15">
        <v>6104.125</v>
      </c>
      <c r="CZ15">
        <v>6165.15625</v>
      </c>
      <c r="DA15">
        <v>6226.1875</v>
      </c>
      <c r="DB15">
        <v>6287.21875</v>
      </c>
      <c r="DC15">
        <v>6348.25</v>
      </c>
      <c r="DD15">
        <v>6409.28125</v>
      </c>
      <c r="DE15">
        <v>6470.3125</v>
      </c>
      <c r="DF15">
        <v>6531.34375</v>
      </c>
      <c r="DG15">
        <v>6592.375</v>
      </c>
      <c r="DH15">
        <v>6653.40625</v>
      </c>
      <c r="DI15">
        <v>6714.4375</v>
      </c>
      <c r="DJ15">
        <v>6775.46875</v>
      </c>
      <c r="DK15">
        <v>6836.5</v>
      </c>
      <c r="DL15">
        <v>6897.53125</v>
      </c>
      <c r="DM15">
        <v>6958.5625</v>
      </c>
      <c r="DN15">
        <v>7019.59375</v>
      </c>
      <c r="DO15">
        <v>7080.625</v>
      </c>
      <c r="DP15">
        <v>7141.65625</v>
      </c>
      <c r="DQ15">
        <v>7202.6875</v>
      </c>
      <c r="DR15">
        <v>7263.71875</v>
      </c>
      <c r="DS15">
        <v>7324.75</v>
      </c>
      <c r="DT15">
        <v>7385.78125</v>
      </c>
      <c r="DU15">
        <v>7446.8125</v>
      </c>
      <c r="DV15">
        <v>7507.84375</v>
      </c>
      <c r="DW15">
        <v>7568.875</v>
      </c>
      <c r="DX15">
        <v>7629.90625</v>
      </c>
      <c r="DY15">
        <v>7690.9375</v>
      </c>
      <c r="DZ15">
        <v>7751.96875</v>
      </c>
    </row>
    <row r="18" spans="2:3">
      <c r="B18" s="9" t="s">
        <v>4</v>
      </c>
      <c r="C18">
        <v>6</v>
      </c>
    </row>
    <row r="19" spans="2:3">
      <c r="B19" s="9" t="s">
        <v>5</v>
      </c>
      <c r="C19">
        <v>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XFD1048576"/>
    </sheetView>
  </sheetViews>
  <sheetFormatPr defaultRowHeight="15"/>
  <sheetData>
    <row r="1" spans="1:1">
      <c r="A1" s="9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F19" sqref="F19"/>
    </sheetView>
  </sheetViews>
  <sheetFormatPr defaultRowHeight="15"/>
  <sheetData>
    <row r="1" spans="1:1">
      <c r="A1" s="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User Guide</vt:lpstr>
      <vt:lpstr>cover</vt:lpstr>
      <vt:lpstr>import</vt:lpstr>
      <vt:lpstr>output</vt:lpstr>
      <vt:lpstr>calibration</vt:lpstr>
      <vt:lpstr>front</vt:lpstr>
      <vt:lpstr>rear</vt:lpstr>
      <vt:lpstr>Dooku</vt:lpstr>
      <vt:lpstr>ModelName</vt:lpstr>
      <vt:lpstr>Palpatine</vt:lpstr>
      <vt:lpstr>import!temp</vt:lpstr>
      <vt:lpstr>import!temp_1</vt:lpstr>
      <vt:lpstr>首列</vt:lpstr>
    </vt:vector>
  </TitlesOfParts>
  <Company>GN ReSound A/S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Chen, Chandler</dc:creator>
  <cp:lastModifiedBy>Chen, Chandler</cp:lastModifiedBy>
  <dcterms:created xsi:type="dcterms:W3CDTF">2018-01-26T03:41:57Z</dcterms:created>
  <dcterms:modified xsi:type="dcterms:W3CDTF">2018-04-02T07:13:40Z</dcterms:modified>
</cp:coreProperties>
</file>