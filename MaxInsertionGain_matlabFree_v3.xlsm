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6040" yWindow="0" windowWidth="24540" windowHeight="16020"/>
  </bookViews>
  <sheets>
    <sheet name="User Guide" sheetId="7" r:id="rId1"/>
    <sheet name="cover" sheetId="9" r:id="rId2"/>
    <sheet name="import" sheetId="1" r:id="rId3"/>
    <sheet name="output" sheetId="3" r:id="rId4"/>
    <sheet name="calibration" sheetId="4" state="hidden" r:id="rId5"/>
    <sheet name="front" sheetId="5" state="hidden" r:id="rId6"/>
    <sheet name="rear" sheetId="6" state="hidden" r:id="rId7"/>
  </sheets>
  <definedNames>
    <definedName name="Dooku">calibration!$C$19</definedName>
    <definedName name="ModelName">cover!$B$1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B45" i="1" l="1"/>
  <c r="EB44" i="1"/>
  <c r="EA45" i="1"/>
  <c r="EA44" i="1"/>
  <c r="E18" i="9" l="1"/>
  <c r="E17" i="9"/>
  <c r="E24" i="9" l="1"/>
  <c r="J17" i="9"/>
  <c r="F17" i="9"/>
  <c r="F19" i="9" l="1"/>
  <c r="E19" i="9"/>
  <c r="B4" i="9"/>
  <c r="J19" i="9" l="1"/>
  <c r="E21" i="9"/>
  <c r="K20" i="9"/>
  <c r="K19" i="9"/>
  <c r="F20" i="9"/>
  <c r="F18" i="9"/>
  <c r="F24" i="9" s="1"/>
  <c r="J18" i="9"/>
  <c r="J25" i="9" s="1"/>
  <c r="F21" i="9"/>
  <c r="E20" i="9"/>
  <c r="J20" i="9"/>
  <c r="J21" i="9"/>
  <c r="K17" i="9"/>
  <c r="K21" i="9"/>
  <c r="K18" i="9"/>
  <c r="J24" i="9" l="1"/>
  <c r="E25" i="9"/>
  <c r="K25" i="9"/>
  <c r="K24" i="9"/>
  <c r="F25" i="9"/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<sst xmlns="http://schemas.openxmlformats.org/spreadsheetml/2006/main" count="105" uniqueCount="87">
  <si>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</si>
  <si>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</si>
  <si>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</si>
  <si>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</si>
  <si>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</si>
  <si>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</si>
  <si>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</si>
  <si>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</si>
  <si>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</si>
  <si>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Don't type anything besides yellow cells</t>
  </si>
  <si>
    <t>sys. cal</t>
  </si>
  <si>
    <t>Made by (document owner):</t>
  </si>
  <si>
    <t>Chandler Chen</t>
  </si>
  <si>
    <t>Date</t>
  </si>
  <si>
    <t>Change(s)</t>
  </si>
  <si>
    <t>Author</t>
  </si>
  <si>
    <t>overview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</si>
  <si>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</si>
  <si>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</si>
  <si>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</si>
  <si>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</si>
  <si>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</si>
  <si>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</si>
  <si>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Background</t>
  </si>
  <si>
    <t>Actually the DFS modeler has already exported this which is named "msg_dfs_off"</t>
  </si>
  <si>
    <t>So, What I did is import all msg_dfs_off from log files, include the system and make the MaxStableInsertionGain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</si>
  <si>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</si>
  <si>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</si>
  <si>
    <t>The matlab script is transfering impluse response of the feedback path into frequency domain</t>
  </si>
  <si>
    <t>Rev:</t>
  </si>
  <si>
    <t>Revision Log</t>
  </si>
  <si>
    <t>make it running even if DFS init failed - v2</t>
  </si>
  <si>
    <t>Technical Report on</t>
  </si>
  <si>
    <t>Applications group</t>
  </si>
  <si>
    <t>Device Model:</t>
  </si>
  <si>
    <t>Type of measurement:</t>
  </si>
  <si>
    <t>In relation to:</t>
  </si>
  <si>
    <t>Test laboratory:</t>
  </si>
  <si>
    <t>GN ReSound, R&amp;D Xiamen</t>
    <phoneticPr fontId="17" type="noConversion"/>
  </si>
  <si>
    <t>Date of test:</t>
  </si>
  <si>
    <t>Tested by:</t>
  </si>
  <si>
    <t>Chandler</t>
  </si>
  <si>
    <t>Front</t>
    <phoneticPr fontId="17" type="noConversion"/>
  </si>
  <si>
    <t>Rear</t>
    <phoneticPr fontId="17" type="noConversion"/>
  </si>
  <si>
    <t>Measurement series no.</t>
  </si>
  <si>
    <t>Short summary:</t>
  </si>
  <si>
    <t>Average.</t>
    <phoneticPr fontId="17" type="noConversion"/>
  </si>
  <si>
    <t>Average.</t>
    <phoneticPr fontId="17" type="noConversion"/>
  </si>
  <si>
    <t>Std.dev</t>
    <phoneticPr fontId="17" type="noConversion"/>
  </si>
  <si>
    <t>MIN</t>
  </si>
  <si>
    <t>MAX</t>
  </si>
  <si>
    <t>Count</t>
  </si>
  <si>
    <t>Limit1</t>
  </si>
  <si>
    <t>Limit2</t>
  </si>
  <si>
    <t xml:space="preserve">  </t>
    <phoneticPr fontId="17" type="noConversion"/>
  </si>
  <si>
    <r>
      <t>Confidence levels
@</t>
    </r>
    <r>
      <rPr>
        <b/>
        <sz val="11"/>
        <color indexed="10"/>
        <rFont val="宋体"/>
        <family val="3"/>
        <charset val="134"/>
      </rPr>
      <t>-10</t>
    </r>
    <r>
      <rPr>
        <b/>
        <sz val="11"/>
        <color indexed="8"/>
        <rFont val="宋体"/>
        <family val="3"/>
        <charset val="134"/>
      </rPr>
      <t>dB Margin</t>
    </r>
  </si>
  <si>
    <r>
      <t>Confidence levels
@</t>
    </r>
    <r>
      <rPr>
        <b/>
        <sz val="11"/>
        <color indexed="10"/>
        <rFont val="宋体"/>
        <family val="3"/>
        <charset val="134"/>
      </rPr>
      <t>-15</t>
    </r>
    <r>
      <rPr>
        <b/>
        <sz val="11"/>
        <color indexed="8"/>
        <rFont val="宋体"/>
        <family val="3"/>
        <charset val="134"/>
      </rPr>
      <t>dB Margin</t>
    </r>
  </si>
  <si>
    <t>add cover report from OPL template</t>
  </si>
  <si>
    <t>(model name)</t>
  </si>
  <si>
    <t>FOIG, MSIG</t>
  </si>
  <si>
    <t>1111111111</t>
  </si>
  <si>
    <t>IG margin Statistic data</t>
  </si>
  <si>
    <t>FOIG_interp</t>
  </si>
  <si>
    <t>FOIG</t>
  </si>
  <si>
    <t>MarginLimit</t>
  </si>
  <si>
    <t>Devices</t>
  </si>
  <si>
    <t>Import Log files firstly, then view the validation process</t>
  </si>
  <si>
    <t>Now add validation module</t>
  </si>
  <si>
    <t>pull-down list</t>
  </si>
  <si>
    <t>Fill all the yellow section, choose firmware from pull-down list below</t>
  </si>
  <si>
    <t>Generate the dfs calibration log files and move them into one folder</t>
  </si>
  <si>
    <t>fill the devices SN&amp;prod. Offset in "cover" sheet</t>
  </si>
  <si>
    <t>fill the yellow section info. in "import" sheet</t>
  </si>
  <si>
    <t>click to view validation only if you want to check after import</t>
  </si>
  <si>
    <t>5 devices more</t>
  </si>
  <si>
    <t>prod. Offset</t>
  </si>
  <si>
    <t>include the calibration</t>
  </si>
  <si>
    <t>Front_Hz</t>
  </si>
  <si>
    <t>Hz</t>
  </si>
  <si>
    <t>FOIG_interp_plusMargin</t>
  </si>
  <si>
    <t>Get the margin</t>
  </si>
  <si>
    <t>Max</t>
  </si>
  <si>
    <t>C:\Users\chache\Documents\logfile</t>
  </si>
  <si>
    <t>Front_B70_SH_P5_129_omni</t>
  </si>
  <si>
    <t>Front_B70_SH_P5_132_omni</t>
  </si>
  <si>
    <t>Front_B70_SH_P5_129_omni_Margin</t>
  </si>
  <si>
    <t>Front_B70_SH_P5_132_omni_Margin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</si>
</sst>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;@"/>
  </numFmts>
  <fonts count="3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b/>
      <i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color theme="1"/>
      <name val="Times New Roman"/>
      <family val="1"/>
    </font>
    <font>
      <sz val="10"/>
      <name val="Times New Roman"/>
      <family val="1"/>
    </font>
    <font>
      <b/>
      <sz val="11"/>
      <color theme="1"/>
      <name val="Calibri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rgb="FFFF0000"/>
      <name val="Calibri"/>
      <family val="3"/>
      <charset val="134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0" fillId="0" borderId="0"/>
    <xf numFmtId="9" fontId="16" fillId="0" borderId="0" applyFont="0" applyFill="0" applyBorder="0" applyAlignment="0" applyProtection="0"/>
  </cellStyleXfs>
  <cellXfs count="106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15" fillId="0" borderId="0" xfId="1" applyFont="1" applyAlignment="1" applyProtection="1">
      <alignment horizontal="right" vertical="top"/>
    </xf>
    <xf numFmtId="0" fontId="1" fillId="2" borderId="4" xfId="0" applyFont="1" applyFill="1" applyBorder="1" applyAlignment="1">
      <alignment vertical="center"/>
    </xf>
    <xf numFmtId="0" fontId="1" fillId="2" borderId="8" xfId="0" applyFont="1" applyFill="1" applyBorder="1"/>
    <xf numFmtId="0" fontId="0" fillId="0" borderId="0" xfId="0" applyNumberFormat="1"/>
    <xf numFmtId="0" fontId="5" fillId="3" borderId="12" xfId="0" applyNumberFormat="1" applyFont="1" applyFill="1" applyBorder="1" applyAlignment="1">
      <alignment horizontal="center"/>
    </xf>
    <xf numFmtId="0" fontId="5" fillId="4" borderId="2" xfId="0" applyNumberFormat="1" applyFont="1" applyFill="1" applyBorder="1" applyAlignment="1">
      <alignment horizontal="center"/>
    </xf>
    <xf numFmtId="0" fontId="5" fillId="4" borderId="3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5" fillId="3" borderId="6" xfId="0" applyNumberFormat="1" applyFont="1" applyFill="1" applyBorder="1" applyAlignment="1">
      <alignment horizontal="center"/>
    </xf>
    <xf numFmtId="0" fontId="5" fillId="3" borderId="7" xfId="0" applyNumberFormat="1" applyFont="1" applyFill="1" applyBorder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4" borderId="1" xfId="0" applyNumberFormat="1" applyFont="1" applyFill="1" applyBorder="1" applyAlignment="1">
      <alignment horizontal="center"/>
    </xf>
    <xf numFmtId="0" fontId="5" fillId="3" borderId="8" xfId="0" applyNumberFormat="1" applyFont="1" applyFill="1" applyBorder="1" applyAlignment="1">
      <alignment horizontal="center"/>
    </xf>
    <xf numFmtId="0" fontId="4" fillId="0" borderId="0" xfId="0" applyNumberFormat="1" applyFont="1"/>
    <xf numFmtId="0" fontId="3" fillId="0" borderId="0" xfId="0" applyNumberFormat="1" applyFont="1"/>
    <xf numFmtId="0" fontId="15" fillId="0" borderId="0" xfId="0" applyNumberFormat="1" applyFont="1"/>
    <xf numFmtId="0" fontId="6" fillId="0" borderId="0" xfId="0" applyNumberFormat="1" applyFont="1"/>
    <xf numFmtId="0" fontId="7" fillId="3" borderId="11" xfId="0" applyNumberFormat="1" applyFont="1" applyFill="1" applyBorder="1"/>
    <xf numFmtId="0" fontId="8" fillId="0" borderId="12" xfId="0" applyNumberFormat="1" applyFont="1" applyFill="1" applyBorder="1" applyAlignment="1">
      <alignment horizontal="center"/>
    </xf>
    <xf numFmtId="0" fontId="9" fillId="0" borderId="0" xfId="0" applyNumberFormat="1" applyFont="1"/>
    <xf numFmtId="0" fontId="6" fillId="0" borderId="11" xfId="0" applyNumberFormat="1" applyFont="1" applyFill="1" applyBorder="1" applyAlignment="1">
      <alignment horizontal="right"/>
    </xf>
    <xf numFmtId="0" fontId="1" fillId="5" borderId="0" xfId="0" applyNumberFormat="1" applyFont="1" applyFill="1" applyBorder="1" applyAlignment="1">
      <alignment horizontal="right"/>
    </xf>
    <xf numFmtId="2" fontId="18" fillId="0" borderId="0" xfId="0" applyNumberFormat="1" applyFont="1"/>
    <xf numFmtId="2" fontId="19" fillId="0" borderId="0" xfId="0" applyNumberFormat="1" applyFont="1" applyAlignment="1">
      <alignment horizontal="right"/>
    </xf>
    <xf numFmtId="2" fontId="19" fillId="0" borderId="0" xfId="0" applyNumberFormat="1" applyFont="1"/>
    <xf numFmtId="2" fontId="20" fillId="0" borderId="0" xfId="0" applyNumberFormat="1" applyFont="1"/>
    <xf numFmtId="2" fontId="21" fillId="0" borderId="0" xfId="0" applyNumberFormat="1" applyFont="1"/>
    <xf numFmtId="2" fontId="0" fillId="0" borderId="13" xfId="0" applyNumberFormat="1" applyFill="1" applyBorder="1" applyAlignment="1">
      <alignment horizontal="left" vertical="center"/>
    </xf>
    <xf numFmtId="2" fontId="22" fillId="6" borderId="0" xfId="0" applyNumberFormat="1" applyFont="1" applyFill="1"/>
    <xf numFmtId="2" fontId="19" fillId="0" borderId="0" xfId="0" applyNumberFormat="1" applyFont="1" applyAlignment="1">
      <alignment horizontal="left"/>
    </xf>
    <xf numFmtId="2" fontId="23" fillId="0" borderId="0" xfId="0" applyNumberFormat="1" applyFont="1"/>
    <xf numFmtId="164" fontId="19" fillId="0" borderId="0" xfId="0" applyNumberFormat="1" applyFont="1" applyAlignment="1">
      <alignment horizontal="left"/>
    </xf>
    <xf numFmtId="0" fontId="12" fillId="0" borderId="0" xfId="1" applyNumberFormat="1" applyFont="1" applyAlignment="1" applyProtection="1">
      <alignment horizontal="center" vertical="center"/>
    </xf>
    <xf numFmtId="0" fontId="31" fillId="0" borderId="0" xfId="0" applyNumberFormat="1" applyFont="1"/>
    <xf numFmtId="2" fontId="19" fillId="0" borderId="0" xfId="0" applyNumberFormat="1" applyFont="1" applyAlignment="1">
      <alignment vertical="top" wrapText="1"/>
    </xf>
    <xf numFmtId="2" fontId="19" fillId="0" borderId="0" xfId="0" quotePrefix="1" applyNumberFormat="1" applyFont="1" applyAlignment="1">
      <alignment vertical="top" wrapText="1"/>
    </xf>
    <xf numFmtId="2" fontId="24" fillId="0" borderId="0" xfId="0" applyNumberFormat="1" applyFont="1" applyAlignment="1">
      <alignment vertical="top" wrapText="1"/>
    </xf>
    <xf numFmtId="2" fontId="21" fillId="0" borderId="0" xfId="0" applyNumberFormat="1" applyFont="1" applyAlignment="1">
      <alignment vertical="top" wrapText="1"/>
    </xf>
    <xf numFmtId="2" fontId="26" fillId="0" borderId="0" xfId="0" applyNumberFormat="1" applyFont="1" applyAlignment="1">
      <alignment vertical="top" wrapText="1"/>
    </xf>
    <xf numFmtId="2" fontId="19" fillId="7" borderId="0" xfId="0" applyNumberFormat="1" applyFont="1" applyFill="1" applyBorder="1"/>
    <xf numFmtId="2" fontId="25" fillId="8" borderId="0" xfId="0" applyNumberFormat="1" applyFont="1" applyFill="1" applyBorder="1" applyAlignment="1">
      <alignment horizontal="right" vertical="center"/>
    </xf>
    <xf numFmtId="2" fontId="0" fillId="8" borderId="0" xfId="0" applyNumberFormat="1" applyFill="1" applyBorder="1" applyAlignment="1">
      <alignment horizontal="center" vertical="center"/>
    </xf>
    <xf numFmtId="2" fontId="27" fillId="8" borderId="0" xfId="0" applyNumberFormat="1" applyFont="1" applyFill="1" applyBorder="1" applyAlignment="1">
      <alignment horizontal="right" vertical="center" wrapText="1"/>
    </xf>
    <xf numFmtId="2" fontId="19" fillId="7" borderId="5" xfId="0" applyNumberFormat="1" applyFont="1" applyFill="1" applyBorder="1"/>
    <xf numFmtId="2" fontId="19" fillId="0" borderId="4" xfId="0" applyNumberFormat="1" applyFont="1" applyBorder="1" applyAlignment="1">
      <alignment vertical="top" wrapText="1"/>
    </xf>
    <xf numFmtId="2" fontId="21" fillId="0" borderId="4" xfId="0" applyNumberFormat="1" applyFont="1" applyBorder="1" applyAlignment="1">
      <alignment vertical="top" wrapText="1"/>
    </xf>
    <xf numFmtId="2" fontId="0" fillId="8" borderId="5" xfId="0" applyNumberFormat="1" applyFill="1" applyBorder="1" applyAlignment="1">
      <alignment horizontal="center" vertical="center"/>
    </xf>
    <xf numFmtId="2" fontId="26" fillId="0" borderId="4" xfId="0" applyNumberFormat="1" applyFont="1" applyBorder="1" applyAlignment="1">
      <alignment vertical="top" wrapText="1"/>
    </xf>
    <xf numFmtId="2" fontId="19" fillId="0" borderId="8" xfId="0" applyNumberFormat="1" applyFont="1" applyBorder="1" applyAlignment="1">
      <alignment horizontal="right"/>
    </xf>
    <xf numFmtId="2" fontId="27" fillId="8" borderId="6" xfId="0" applyNumberFormat="1" applyFont="1" applyFill="1" applyBorder="1" applyAlignment="1">
      <alignment horizontal="right" vertical="center" wrapText="1"/>
    </xf>
    <xf numFmtId="2" fontId="19" fillId="0" borderId="4" xfId="0" applyNumberFormat="1" applyFont="1" applyBorder="1"/>
    <xf numFmtId="2" fontId="19" fillId="0" borderId="8" xfId="0" applyNumberFormat="1" applyFont="1" applyBorder="1"/>
    <xf numFmtId="9" fontId="14" fillId="8" borderId="0" xfId="3" applyFont="1" applyFill="1" applyBorder="1" applyAlignment="1">
      <alignment horizontal="center" vertical="center" wrapText="1"/>
    </xf>
    <xf numFmtId="9" fontId="14" fillId="8" borderId="5" xfId="3" applyFont="1" applyFill="1" applyBorder="1" applyAlignment="1">
      <alignment horizontal="center" vertical="center" wrapText="1"/>
    </xf>
    <xf numFmtId="9" fontId="30" fillId="8" borderId="6" xfId="3" applyFont="1" applyFill="1" applyBorder="1" applyAlignment="1">
      <alignment horizontal="center" vertical="center" wrapText="1"/>
    </xf>
    <xf numFmtId="9" fontId="30" fillId="8" borderId="7" xfId="3" applyFont="1" applyFill="1" applyBorder="1" applyAlignment="1">
      <alignment horizontal="center" vertical="center" wrapText="1"/>
    </xf>
    <xf numFmtId="2" fontId="19" fillId="0" borderId="0" xfId="0" applyNumberFormat="1" applyFont="1" applyFill="1" applyBorder="1"/>
    <xf numFmtId="2" fontId="19" fillId="0" borderId="5" xfId="0" applyNumberFormat="1" applyFont="1" applyFill="1" applyBorder="1"/>
    <xf numFmtId="2" fontId="19" fillId="0" borderId="4" xfId="0" applyNumberFormat="1" applyFont="1" applyFill="1" applyBorder="1" applyAlignment="1">
      <alignment horizontal="right"/>
    </xf>
    <xf numFmtId="49" fontId="19" fillId="0" borderId="0" xfId="0" applyNumberFormat="1" applyFont="1" applyFill="1" applyBorder="1"/>
    <xf numFmtId="2" fontId="19" fillId="0" borderId="4" xfId="0" applyNumberFormat="1" applyFont="1" applyFill="1" applyBorder="1" applyAlignment="1"/>
    <xf numFmtId="2" fontId="19" fillId="0" borderId="4" xfId="0" applyNumberFormat="1" applyFont="1" applyFill="1" applyBorder="1" applyAlignment="1">
      <alignment vertical="top" wrapText="1"/>
    </xf>
    <xf numFmtId="2" fontId="19" fillId="0" borderId="0" xfId="0" applyNumberFormat="1" applyFont="1" applyFill="1" applyBorder="1" applyAlignment="1">
      <alignment horizontal="center" vertical="center"/>
    </xf>
    <xf numFmtId="2" fontId="19" fillId="0" borderId="5" xfId="0" applyNumberFormat="1" applyFont="1" applyFill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/>
    <xf numFmtId="2" fontId="21" fillId="0" borderId="2" xfId="0" applyNumberFormat="1" applyFont="1" applyFill="1" applyBorder="1" applyAlignment="1">
      <alignment horizontal="center" vertical="center"/>
    </xf>
    <xf numFmtId="2" fontId="21" fillId="0" borderId="3" xfId="0" applyNumberFormat="1" applyFont="1" applyFill="1" applyBorder="1" applyAlignment="1">
      <alignment horizontal="center" vertical="center"/>
    </xf>
    <xf numFmtId="2" fontId="19" fillId="0" borderId="0" xfId="0" applyNumberFormat="1" applyFont="1" applyAlignment="1">
      <alignment vertical="top" wrapText="1"/>
    </xf>
    <xf numFmtId="2" fontId="21" fillId="0" borderId="1" xfId="0" applyNumberFormat="1" applyFont="1" applyFill="1" applyBorder="1" applyAlignment="1">
      <alignment horizontal="center" vertical="center" wrapText="1"/>
    </xf>
    <xf numFmtId="2" fontId="21" fillId="0" borderId="4" xfId="0" applyNumberFormat="1" applyFont="1" applyFill="1" applyBorder="1" applyAlignment="1">
      <alignment horizontal="center" vertical="center" wrapText="1"/>
    </xf>
    <xf numFmtId="2" fontId="21" fillId="0" borderId="1" xfId="0" applyNumberFormat="1" applyFont="1" applyBorder="1" applyAlignment="1">
      <alignment horizontal="center" vertical="center" wrapText="1"/>
    </xf>
    <xf numFmtId="2" fontId="21" fillId="0" borderId="4" xfId="0" applyNumberFormat="1" applyFont="1" applyBorder="1" applyAlignment="1">
      <alignment horizontal="center" vertical="center" wrapText="1"/>
    </xf>
    <xf numFmtId="0" fontId="2" fillId="3" borderId="9" xfId="0" applyNumberFormat="1" applyFont="1" applyFill="1" applyBorder="1" applyAlignment="1">
      <alignment horizontal="center" vertical="center"/>
    </xf>
    <xf numFmtId="0" fontId="2" fillId="3" borderId="10" xfId="0" applyNumberFormat="1" applyFont="1" applyFill="1" applyBorder="1" applyAlignment="1">
      <alignment horizontal="center" vertical="center"/>
    </xf>
    <xf numFmtId="0" fontId="2" fillId="4" borderId="9" xfId="0" applyNumberFormat="1" applyFont="1" applyFill="1" applyBorder="1" applyAlignment="1">
      <alignment horizontal="center" vertical="center"/>
    </xf>
    <xf numFmtId="0" fontId="2" fillId="4" borderId="1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/>
    </xf>
  </cellXfs>
  <cellStyles count="4">
    <cellStyle name="Normal" xfId="0" builtinId="0"/>
    <cellStyle name="Normal 2" xfId="1"/>
    <cellStyle name="Normal 2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2</xdr:row>
          <xdr:rowOff>114300</xdr:rowOff>
        </xdr:from>
        <xdr:to>
          <xdr:col>6</xdr:col>
          <xdr:colOff>38100</xdr:colOff>
          <xdr:row>5</xdr:row>
          <xdr:rowOff>57150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180975</xdr:rowOff>
        </xdr:from>
        <xdr:to>
          <xdr:col>6</xdr:col>
          <xdr:colOff>647700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1"/>
  <sheetViews>
    <sheetView tabSelected="1" workbookViewId="0">
      <selection activeCell="G27" sqref="G27"/>
    </sheetView>
  </sheetViews>
  <sheetFormatPr defaultRowHeight="12.75"/>
  <cols>
    <col min="1" max="1" width="3.42578125" style="12" customWidth="1"/>
    <col min="2" max="2" width="35.140625" style="12" customWidth="1"/>
    <col min="3" max="3" width="49.85546875" style="23" customWidth="1"/>
    <col min="4" max="16384" width="9.140625" style="12"/>
  </cols>
  <sheetData>
    <row r="1" spans="1:256">
      <c r="A1" s="10"/>
      <c r="B1" s="10"/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</row>
    <row r="2" spans="1:256" ht="20.25">
      <c r="A2" s="10"/>
      <c r="B2" s="13" t="s">
        <v>21</v>
      </c>
      <c r="C2" s="11"/>
      <c r="D2" s="10"/>
      <c r="E2" s="10"/>
      <c r="F2" s="10"/>
      <c r="G2" s="10"/>
      <c r="H2" s="10"/>
      <c r="I2" s="28" t="s">
        <v>29</v>
      </c>
      <c r="J2" s="60">
        <v>3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</row>
    <row r="3" spans="1:256">
      <c r="A3" s="10"/>
      <c r="B3" s="10"/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</row>
    <row r="4" spans="1:256" ht="25.5">
      <c r="A4" s="10"/>
      <c r="B4" s="14" t="s">
        <v>16</v>
      </c>
      <c r="C4" s="11" t="s">
        <v>17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</row>
    <row r="5" spans="1:256">
      <c r="A5" s="10"/>
      <c r="B5" s="10"/>
      <c r="C5" s="27" t="s">
        <v>18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</row>
    <row r="6" spans="1:256" ht="15.75">
      <c r="A6" s="10"/>
      <c r="B6" s="14"/>
      <c r="C6" s="15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</row>
    <row r="7" spans="1:256" ht="15.75">
      <c r="A7" s="10"/>
      <c r="B7" s="14" t="s">
        <v>11</v>
      </c>
      <c r="C7" s="15" t="s">
        <v>12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</row>
    <row r="8" spans="1:256" ht="15.75">
      <c r="A8" s="10"/>
      <c r="B8" s="14"/>
      <c r="C8" s="11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</row>
    <row r="9" spans="1:256" ht="25.5">
      <c r="A9" s="10"/>
      <c r="B9" s="14" t="s">
        <v>22</v>
      </c>
      <c r="C9" s="25" t="s">
        <v>70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</row>
    <row r="10" spans="1:256">
      <c r="A10" s="10"/>
      <c r="C10" s="26" t="s">
        <v>71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</row>
    <row r="11" spans="1:256">
      <c r="A11" s="10"/>
      <c r="C11" s="26" t="s">
        <v>72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</row>
    <row r="12" spans="1:256">
      <c r="A12" s="10"/>
      <c r="C12" s="26" t="s">
        <v>27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</row>
    <row r="13" spans="1:256" ht="15.75">
      <c r="A13" s="10"/>
      <c r="B13" s="14"/>
      <c r="C13" s="26" t="s">
        <v>67</v>
      </c>
      <c r="D13" s="24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</row>
    <row r="14" spans="1:256" ht="25.5">
      <c r="A14" s="10"/>
      <c r="B14" s="14"/>
      <c r="C14" s="26" t="s">
        <v>73</v>
      </c>
      <c r="D14" s="24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</row>
    <row r="15" spans="1:256" ht="15.75">
      <c r="A15" s="10"/>
      <c r="B15" s="14"/>
      <c r="C15" s="26"/>
      <c r="D15" s="24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</row>
    <row r="16" spans="1:256" ht="15.75">
      <c r="A16" s="10"/>
      <c r="B16" s="14"/>
      <c r="D16" s="24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</row>
    <row r="17" spans="1:256" ht="25.5">
      <c r="A17" s="10"/>
      <c r="B17" s="14" t="s">
        <v>23</v>
      </c>
      <c r="C17" s="16" t="s">
        <v>28</v>
      </c>
      <c r="D17" s="24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</row>
    <row r="18" spans="1:256" ht="25.5">
      <c r="A18" s="10"/>
      <c r="B18" s="14"/>
      <c r="C18" s="16" t="s">
        <v>24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</row>
    <row r="19" spans="1:256" ht="38.25">
      <c r="A19" s="10"/>
      <c r="B19" s="14"/>
      <c r="C19" s="16" t="s">
        <v>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</row>
    <row r="20" spans="1:256" ht="15.75">
      <c r="A20" s="10"/>
      <c r="B20" s="14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</row>
    <row r="21" spans="1:256" ht="15.75">
      <c r="A21" s="10"/>
      <c r="B21" s="14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</row>
    <row r="22" spans="1:256" ht="15.75">
      <c r="A22" s="10"/>
      <c r="B22" s="14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</row>
    <row r="23" spans="1:256">
      <c r="A23" s="10"/>
      <c r="B23" s="10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</row>
    <row r="24" spans="1:256" ht="18">
      <c r="A24" s="17" t="s">
        <v>30</v>
      </c>
      <c r="B24" s="10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</row>
    <row r="25" spans="1:256" ht="13.5" thickBot="1">
      <c r="A25" s="18"/>
      <c r="B25" s="18" t="s">
        <v>13</v>
      </c>
      <c r="C25" s="19" t="s">
        <v>14</v>
      </c>
      <c r="D25" s="18" t="s">
        <v>15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</row>
    <row r="26" spans="1:256">
      <c r="A26" s="10"/>
      <c r="B26" s="20">
        <v>43139</v>
      </c>
      <c r="C26" s="16" t="s">
        <v>19</v>
      </c>
      <c r="D26" s="21" t="s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</row>
    <row r="27" spans="1:256" ht="38.25">
      <c r="A27" s="10"/>
      <c r="B27" s="22"/>
      <c r="C27" s="16" t="s">
        <v>26</v>
      </c>
      <c r="D27" s="21" t="s">
        <v>20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</row>
    <row r="28" spans="1:256">
      <c r="A28" s="10"/>
      <c r="B28" s="22">
        <v>43154</v>
      </c>
      <c r="C28" s="11" t="s">
        <v>31</v>
      </c>
      <c r="D28" s="10" t="s">
        <v>20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</row>
    <row r="29" spans="1:256">
      <c r="A29" s="10"/>
      <c r="B29" s="22">
        <v>43179</v>
      </c>
      <c r="C29" s="11" t="s">
        <v>57</v>
      </c>
      <c r="D29" s="10" t="s">
        <v>20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</row>
    <row r="30" spans="1:256">
      <c r="A30" s="10"/>
      <c r="B30" s="10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</row>
    <row r="31" spans="1:256">
      <c r="A31" s="10"/>
      <c r="B31" s="10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</row>
    <row r="32" spans="1:256">
      <c r="A32" s="10"/>
      <c r="B32" s="10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</row>
    <row r="33" spans="1:256">
      <c r="A33" s="10"/>
      <c r="B33" s="10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</row>
    <row r="34" spans="1:256">
      <c r="A34" s="10"/>
      <c r="B34" s="10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</row>
    <row r="35" spans="1:256">
      <c r="A35" s="10"/>
      <c r="B35" s="10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</row>
    <row r="36" spans="1:256">
      <c r="A36" s="10"/>
      <c r="B36" s="10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</row>
    <row r="37" spans="1:256">
      <c r="A37" s="10"/>
      <c r="B37" s="10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</row>
    <row r="38" spans="1:256">
      <c r="A38" s="10"/>
      <c r="B38" s="10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</row>
    <row r="39" spans="1:256">
      <c r="A39" s="10"/>
      <c r="B39" s="10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</row>
    <row r="40" spans="1:256">
      <c r="A40" s="10"/>
      <c r="B40" s="10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</row>
    <row r="41" spans="1:256">
      <c r="A41" s="10"/>
      <c r="B41" s="10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</row>
    <row r="42" spans="1:256">
      <c r="A42" s="10"/>
      <c r="B42" s="10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</row>
    <row r="43" spans="1:256">
      <c r="A43" s="10"/>
      <c r="B43" s="10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</row>
    <row r="44" spans="1:256">
      <c r="A44" s="10"/>
      <c r="B44" s="10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</row>
    <row r="45" spans="1:256">
      <c r="A45" s="10"/>
      <c r="B45" s="10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</row>
    <row r="46" spans="1:256">
      <c r="A46" s="10"/>
      <c r="B46" s="10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</row>
    <row r="47" spans="1:256">
      <c r="A47" s="10"/>
      <c r="B47" s="10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</row>
    <row r="48" spans="1:256">
      <c r="A48" s="10"/>
      <c r="B48" s="10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</row>
    <row r="49" spans="1:256">
      <c r="A49" s="10"/>
      <c r="B49" s="10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</row>
    <row r="50" spans="1:256">
      <c r="A50" s="10"/>
      <c r="B50" s="10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</row>
    <row r="51" spans="1:256">
      <c r="A51" s="10"/>
      <c r="B51" s="10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</row>
    <row r="52" spans="1:256">
      <c r="A52" s="10"/>
      <c r="B52" s="10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</row>
    <row r="53" spans="1:256">
      <c r="A53" s="10"/>
      <c r="B53" s="10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</row>
    <row r="54" spans="1:256">
      <c r="A54" s="10"/>
      <c r="B54" s="10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</row>
    <row r="55" spans="1:256">
      <c r="A55" s="10"/>
      <c r="B55" s="10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</row>
    <row r="56" spans="1:256">
      <c r="A56" s="10"/>
      <c r="B56" s="10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</row>
    <row r="57" spans="1:256">
      <c r="A57" s="10"/>
      <c r="B57" s="10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</row>
    <row r="58" spans="1:256">
      <c r="A58" s="10"/>
      <c r="B58" s="10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</row>
    <row r="59" spans="1:256">
      <c r="A59" s="10"/>
      <c r="B59" s="10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</row>
    <row r="60" spans="1:256">
      <c r="A60" s="10"/>
      <c r="B60" s="10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</row>
    <row r="61" spans="1:256">
      <c r="A61" s="10"/>
      <c r="B61" s="10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</row>
    <row r="62" spans="1:256">
      <c r="A62" s="10"/>
      <c r="B62" s="10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</row>
    <row r="63" spans="1:256">
      <c r="A63" s="10"/>
      <c r="B63" s="10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</row>
    <row r="64" spans="1:256">
      <c r="A64" s="10"/>
      <c r="B64" s="10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</row>
    <row r="65" spans="1:256">
      <c r="A65" s="10"/>
      <c r="B65" s="10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</row>
    <row r="66" spans="1:256">
      <c r="A66" s="10"/>
      <c r="B66" s="10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</row>
    <row r="67" spans="1:256">
      <c r="A67" s="10"/>
      <c r="B67" s="10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</row>
    <row r="68" spans="1:256">
      <c r="A68" s="10"/>
      <c r="B68" s="10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</row>
    <row r="69" spans="1:256">
      <c r="A69" s="10"/>
      <c r="B69" s="10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</row>
    <row r="70" spans="1:256">
      <c r="A70" s="10"/>
      <c r="B70" s="10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</row>
    <row r="71" spans="1:256">
      <c r="A71" s="10"/>
      <c r="B71" s="10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</row>
    <row r="72" spans="1:256">
      <c r="A72" s="10"/>
      <c r="B72" s="10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</row>
    <row r="73" spans="1:256">
      <c r="A73" s="10"/>
      <c r="B73" s="10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</row>
    <row r="74" spans="1:256">
      <c r="A74" s="10"/>
      <c r="B74" s="10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</row>
    <row r="75" spans="1:256">
      <c r="A75" s="10"/>
      <c r="B75" s="10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</row>
    <row r="76" spans="1:256">
      <c r="A76" s="10"/>
      <c r="B76" s="10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</row>
    <row r="77" spans="1:256">
      <c r="A77" s="10"/>
      <c r="B77" s="10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</row>
    <row r="78" spans="1:256">
      <c r="A78" s="10"/>
      <c r="B78" s="10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</row>
    <row r="79" spans="1:256">
      <c r="A79" s="10"/>
      <c r="B79" s="10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</row>
    <row r="80" spans="1:256">
      <c r="A80" s="10"/>
      <c r="B80" s="10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</row>
    <row r="81" spans="1:256">
      <c r="A81" s="10"/>
      <c r="B81" s="10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</row>
    <row r="82" spans="1:256">
      <c r="A82" s="10"/>
      <c r="B82" s="10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</row>
    <row r="83" spans="1:256">
      <c r="A83" s="10"/>
      <c r="B83" s="10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</row>
    <row r="84" spans="1:256">
      <c r="A84" s="10"/>
      <c r="B84" s="10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</row>
    <row r="85" spans="1:256">
      <c r="A85" s="10"/>
      <c r="B85" s="10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</row>
    <row r="86" spans="1:256">
      <c r="A86" s="10"/>
      <c r="B86" s="10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</row>
    <row r="87" spans="1:256">
      <c r="A87" s="10"/>
      <c r="B87" s="10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</row>
    <row r="88" spans="1:256">
      <c r="A88" s="10"/>
      <c r="B88" s="10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</row>
    <row r="89" spans="1:256">
      <c r="A89" s="10"/>
      <c r="B89" s="10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</row>
    <row r="90" spans="1:256">
      <c r="A90" s="10"/>
      <c r="B90" s="10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</row>
    <row r="91" spans="1:256">
      <c r="A91" s="10"/>
      <c r="B91" s="10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</row>
    <row r="92" spans="1:256">
      <c r="A92" s="10"/>
      <c r="B92" s="10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</row>
    <row r="93" spans="1:256">
      <c r="A93" s="10"/>
      <c r="B93" s="10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</row>
    <row r="94" spans="1:256">
      <c r="A94" s="10"/>
      <c r="B94" s="10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</row>
    <row r="95" spans="1:256">
      <c r="A95" s="10"/>
      <c r="B95" s="10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</row>
    <row r="96" spans="1:256">
      <c r="A96" s="10"/>
      <c r="B96" s="10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</row>
    <row r="97" spans="1:256">
      <c r="A97" s="10"/>
      <c r="B97" s="10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</row>
    <row r="98" spans="1:256">
      <c r="A98" s="10"/>
      <c r="B98" s="10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</row>
    <row r="99" spans="1:256">
      <c r="A99" s="10"/>
      <c r="B99" s="10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</row>
    <row r="100" spans="1:256">
      <c r="A100" s="10"/>
      <c r="B100" s="10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10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</row>
    <row r="101" spans="1:256">
      <c r="A101" s="10"/>
      <c r="B101" s="10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10"/>
      <c r="IH101" s="10"/>
      <c r="II101" s="10"/>
      <c r="IJ101" s="10"/>
      <c r="IK101" s="10"/>
      <c r="IL101" s="10"/>
      <c r="IM101" s="10"/>
      <c r="IN101" s="10"/>
      <c r="IO101" s="10"/>
      <c r="IP101" s="10"/>
      <c r="IQ101" s="10"/>
      <c r="IR101" s="10"/>
      <c r="IS101" s="10"/>
      <c r="IT101" s="10"/>
      <c r="IU101" s="10"/>
      <c r="IV101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25"/>
  <sheetViews>
    <sheetView workbookViewId="0">
      <selection activeCell="D15" sqref="D15"/>
    </sheetView>
  </sheetViews>
  <sheetFormatPr defaultRowHeight="15.75"/>
  <cols>
    <col min="1" max="1" width="31.140625" style="52" customWidth="1"/>
    <col min="2" max="2" width="66.28515625" style="52" customWidth="1"/>
    <col min="3" max="3" width="7.28515625" style="51" customWidth="1"/>
    <col min="4" max="4" width="17.28515625" style="52" customWidth="1"/>
    <col min="5" max="5" width="13.28515625" style="52" customWidth="1"/>
    <col min="6" max="7" width="13.5703125" style="52" customWidth="1"/>
    <col min="8" max="8" width="7.42578125" style="52" customWidth="1"/>
    <col min="9" max="9" width="18" style="52" customWidth="1"/>
    <col min="10" max="10" width="14.85546875" style="52" customWidth="1"/>
    <col min="11" max="11" width="10.28515625" style="52" customWidth="1"/>
    <col min="12" max="14" width="7.42578125" style="52" customWidth="1"/>
    <col min="15" max="16384" width="9.140625" style="52"/>
  </cols>
  <sheetData>
    <row r="1" spans="1:11" ht="22.5">
      <c r="A1" s="50" t="s">
        <v>32</v>
      </c>
      <c r="B1" s="50" t="s">
        <v>58</v>
      </c>
    </row>
    <row r="2" spans="1:11" ht="22.5">
      <c r="A2" s="53" t="s">
        <v>33</v>
      </c>
      <c r="B2" s="50"/>
    </row>
    <row r="4" spans="1:11">
      <c r="A4" s="54" t="s">
        <v>34</v>
      </c>
      <c r="B4" s="52" t="str">
        <f>ModelName</f>
        <v>(model name)</v>
      </c>
    </row>
    <row r="5" spans="1:11">
      <c r="A5" s="54" t="s">
        <v>35</v>
      </c>
      <c r="B5" s="52" t="s">
        <v>59</v>
      </c>
    </row>
    <row r="6" spans="1:11">
      <c r="A6" s="54" t="s">
        <v>36</v>
      </c>
      <c r="B6" s="55"/>
    </row>
    <row r="7" spans="1:11">
      <c r="A7" s="54"/>
      <c r="B7" s="56"/>
    </row>
    <row r="8" spans="1:11" ht="16.5" thickBot="1">
      <c r="A8" s="54" t="s">
        <v>37</v>
      </c>
      <c r="B8" s="52" t="s">
        <v>38</v>
      </c>
    </row>
    <row r="9" spans="1:11">
      <c r="A9" s="54" t="s">
        <v>39</v>
      </c>
      <c r="B9" s="59">
        <v>43175</v>
      </c>
      <c r="C9" s="97" t="s">
        <v>75</v>
      </c>
      <c r="D9" s="94" t="s">
        <v>61</v>
      </c>
      <c r="E9" s="94"/>
      <c r="F9" s="95"/>
      <c r="H9" s="99" t="s">
        <v>75</v>
      </c>
      <c r="I9" s="94" t="s">
        <v>74</v>
      </c>
      <c r="J9" s="94"/>
      <c r="K9" s="95"/>
    </row>
    <row r="10" spans="1:11">
      <c r="A10" s="54" t="s">
        <v>40</v>
      </c>
      <c r="B10" s="57" t="s">
        <v>41</v>
      </c>
      <c r="C10" s="98"/>
      <c r="D10" s="90" t="s">
        <v>65</v>
      </c>
      <c r="E10" s="90" t="s">
        <v>42</v>
      </c>
      <c r="F10" s="91" t="s">
        <v>43</v>
      </c>
      <c r="H10" s="100"/>
      <c r="I10" s="90" t="s">
        <v>65</v>
      </c>
      <c r="J10" s="90" t="s">
        <v>42</v>
      </c>
      <c r="K10" s="91" t="s">
        <v>43</v>
      </c>
    </row>
    <row r="11" spans="1:11">
      <c r="A11" s="52" t="s">
        <v>44</v>
      </c>
      <c r="B11" s="57" t="s">
        <v>60</v>
      </c>
      <c r="C11" s="86"/>
      <c r="D11" s="92"/>
      <c r="E11" s="90"/>
      <c r="F11" s="91"/>
      <c r="H11" s="78"/>
      <c r="I11" s="92"/>
      <c r="J11" s="90"/>
      <c r="K11" s="91"/>
    </row>
    <row r="12" spans="1:11">
      <c r="C12" s="86"/>
      <c r="D12" s="92"/>
      <c r="E12" s="90"/>
      <c r="F12" s="91"/>
      <c r="H12" s="78"/>
      <c r="I12" s="92"/>
      <c r="J12" s="90"/>
      <c r="K12" s="91"/>
    </row>
    <row r="13" spans="1:11">
      <c r="A13" s="58" t="s">
        <v>45</v>
      </c>
      <c r="C13" s="88"/>
      <c r="D13" s="92"/>
      <c r="E13" s="90"/>
      <c r="F13" s="91"/>
      <c r="H13" s="78"/>
      <c r="I13" s="92"/>
      <c r="J13" s="90"/>
      <c r="K13" s="91"/>
    </row>
    <row r="14" spans="1:11">
      <c r="A14" s="96"/>
      <c r="B14" s="96"/>
      <c r="C14" s="88"/>
      <c r="D14" s="92"/>
      <c r="E14" s="90"/>
      <c r="F14" s="91"/>
      <c r="H14" s="78"/>
      <c r="I14" s="92"/>
      <c r="J14" s="90"/>
      <c r="K14" s="91"/>
    </row>
    <row r="15" spans="1:11" ht="15.75" customHeight="1">
      <c r="A15" s="62"/>
      <c r="B15" s="62"/>
      <c r="C15" s="89"/>
      <c r="D15" s="92"/>
      <c r="E15" s="90"/>
      <c r="F15" s="91"/>
      <c r="H15" s="78"/>
      <c r="I15" s="92"/>
      <c r="J15" s="90"/>
      <c r="K15" s="91"/>
    </row>
    <row r="16" spans="1:11">
      <c r="A16" s="62"/>
      <c r="B16" s="62"/>
      <c r="C16" s="89"/>
      <c r="D16" s="87"/>
      <c r="E16" s="84"/>
      <c r="F16" s="85"/>
      <c r="H16" s="78"/>
      <c r="I16" s="92"/>
      <c r="J16" s="90"/>
      <c r="K16" s="91"/>
    </row>
    <row r="17" spans="1:11">
      <c r="A17" s="62"/>
      <c r="B17" s="62"/>
      <c r="C17" s="72"/>
      <c r="D17" s="67" t="s">
        <v>46</v>
      </c>
      <c r="E17" s="67" t="e">
        <f>AVERAGE(E11:E15)</f>
        <v>#DIV/0!</v>
      </c>
      <c r="F17" s="71" t="e">
        <f>AVERAGE(F11:F15)</f>
        <v>#DIV/0!</v>
      </c>
      <c r="H17" s="78"/>
      <c r="I17" s="67" t="s">
        <v>47</v>
      </c>
      <c r="J17" s="67" t="e">
        <f>AVERAGE(J11:J15)</f>
        <v>#DIV/0!</v>
      </c>
      <c r="K17" s="71" t="e">
        <f>AVERAGE(K11:K15)</f>
        <v>#DIV/0!</v>
      </c>
    </row>
    <row r="18" spans="1:11">
      <c r="A18" s="63"/>
      <c r="B18" s="62"/>
      <c r="C18" s="72"/>
      <c r="D18" s="67" t="s">
        <v>48</v>
      </c>
      <c r="E18" s="67" t="e">
        <f>STDEV(E11:E15)</f>
        <v>#DIV/0!</v>
      </c>
      <c r="F18" s="71" t="e">
        <f>STDEV(F11:F15)</f>
        <v>#DIV/0!</v>
      </c>
      <c r="H18" s="78"/>
      <c r="I18" s="67" t="s">
        <v>48</v>
      </c>
      <c r="J18" s="67" t="e">
        <f>STDEV(J11:J15)</f>
        <v>#DIV/0!</v>
      </c>
      <c r="K18" s="71" t="e">
        <f>STDEV(K11:K15)</f>
        <v>#DIV/0!</v>
      </c>
    </row>
    <row r="19" spans="1:11">
      <c r="A19" s="64"/>
      <c r="B19" s="65"/>
      <c r="C19" s="73"/>
      <c r="D19" s="68" t="s">
        <v>49</v>
      </c>
      <c r="E19" s="69">
        <f>MIN(E11:E15)</f>
        <v>0</v>
      </c>
      <c r="F19" s="74">
        <f>MIN(F11:F15)</f>
        <v>0</v>
      </c>
      <c r="H19" s="78"/>
      <c r="I19" s="68" t="s">
        <v>49</v>
      </c>
      <c r="J19" s="69">
        <f>MIN(J11:J15)</f>
        <v>0</v>
      </c>
      <c r="K19" s="74">
        <f>MIN(K11:K15)</f>
        <v>0</v>
      </c>
    </row>
    <row r="20" spans="1:11">
      <c r="A20" s="66"/>
      <c r="B20" s="66"/>
      <c r="C20" s="75"/>
      <c r="D20" s="68" t="s">
        <v>50</v>
      </c>
      <c r="E20" s="69">
        <f>MAX(E11:E15)</f>
        <v>0</v>
      </c>
      <c r="F20" s="74">
        <f>MAX(F11:F15)</f>
        <v>0</v>
      </c>
      <c r="H20" s="78"/>
      <c r="I20" s="68" t="s">
        <v>50</v>
      </c>
      <c r="J20" s="69">
        <f>MAX(J11:J15)</f>
        <v>0</v>
      </c>
      <c r="K20" s="74">
        <f>MAX(K11:K15)</f>
        <v>0</v>
      </c>
    </row>
    <row r="21" spans="1:11">
      <c r="A21" s="66"/>
      <c r="B21" s="66"/>
      <c r="C21" s="75"/>
      <c r="D21" s="68" t="s">
        <v>51</v>
      </c>
      <c r="E21" s="69">
        <f>COUNT(E11:E15)</f>
        <v>0</v>
      </c>
      <c r="F21" s="74">
        <f>COUNT(F11:F15)</f>
        <v>0</v>
      </c>
      <c r="H21" s="78"/>
      <c r="I21" s="68" t="s">
        <v>51</v>
      </c>
      <c r="J21" s="69">
        <f>COUNT(J11:J15)</f>
        <v>0</v>
      </c>
      <c r="K21" s="74">
        <f>COUNT(K11:K15)</f>
        <v>0</v>
      </c>
    </row>
    <row r="22" spans="1:11">
      <c r="A22" s="66"/>
      <c r="B22" s="66"/>
      <c r="C22" s="75"/>
      <c r="D22" s="68" t="s">
        <v>52</v>
      </c>
      <c r="E22" s="69">
        <v>-10</v>
      </c>
      <c r="F22" s="74">
        <v>-10</v>
      </c>
      <c r="H22" s="78"/>
      <c r="I22" s="68" t="s">
        <v>52</v>
      </c>
      <c r="J22" s="69">
        <v>-10</v>
      </c>
      <c r="K22" s="74">
        <v>-10</v>
      </c>
    </row>
    <row r="23" spans="1:11">
      <c r="A23" s="66"/>
      <c r="B23" s="66"/>
      <c r="C23" s="75"/>
      <c r="D23" s="68" t="s">
        <v>53</v>
      </c>
      <c r="E23" s="69">
        <v>-15</v>
      </c>
      <c r="F23" s="74">
        <v>-15</v>
      </c>
      <c r="H23" s="78"/>
      <c r="I23" s="68" t="s">
        <v>53</v>
      </c>
      <c r="J23" s="69">
        <v>-15</v>
      </c>
      <c r="K23" s="74">
        <v>-15</v>
      </c>
    </row>
    <row r="24" spans="1:11" ht="43.5">
      <c r="A24" s="66" t="s">
        <v>54</v>
      </c>
      <c r="B24" s="66"/>
      <c r="C24" s="75"/>
      <c r="D24" s="70" t="s">
        <v>55</v>
      </c>
      <c r="E24" s="80" t="e">
        <f>NORMDIST(E22,E17,E18,TRUE)</f>
        <v>#DIV/0!</v>
      </c>
      <c r="F24" s="81" t="e">
        <f>NORMDIST(F22,F17,F18,TRUE)</f>
        <v>#DIV/0!</v>
      </c>
      <c r="H24" s="78"/>
      <c r="I24" s="70" t="s">
        <v>55</v>
      </c>
      <c r="J24" s="80" t="e">
        <f>NORMDIST(J22,J17,J18,TRUE)</f>
        <v>#DIV/0!</v>
      </c>
      <c r="K24" s="81" t="e">
        <f>NORMDIST(K22,K17,K18,TRUE)</f>
        <v>#DIV/0!</v>
      </c>
    </row>
    <row r="25" spans="1:11" ht="44.25" thickBot="1">
      <c r="C25" s="76"/>
      <c r="D25" s="77" t="s">
        <v>56</v>
      </c>
      <c r="E25" s="82" t="e">
        <f>NORMDIST(E23,E17,E18,TRUE)</f>
        <v>#DIV/0!</v>
      </c>
      <c r="F25" s="83" t="e">
        <f>NORMDIST(F23,F17,F18,TRUE)</f>
        <v>#DIV/0!</v>
      </c>
      <c r="H25" s="79"/>
      <c r="I25" s="77" t="s">
        <v>56</v>
      </c>
      <c r="J25" s="82" t="e">
        <f>NORMDIST(J23,J17,J18,TRUE)</f>
        <v>#DIV/0!</v>
      </c>
      <c r="K25" s="83" t="e">
        <f>NORMDIST(K23,K17,K18,TRUE)</f>
        <v>#DIV/0!</v>
      </c>
    </row>
  </sheetData>
  <mergeCells count="5">
    <mergeCell ref="D9:F9"/>
    <mergeCell ref="I9:K9"/>
    <mergeCell ref="A14:B14"/>
    <mergeCell ref="C9:C10"/>
    <mergeCell ref="H9:H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4</xdr:col>
                <xdr:colOff>447675</xdr:colOff>
                <xdr:row>2</xdr:row>
                <xdr:rowOff>114300</xdr:rowOff>
              </from>
              <to>
                <xdr:col>6</xdr:col>
                <xdr:colOff>38100</xdr:colOff>
                <xdr:row>5</xdr:row>
                <xdr:rowOff>57150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B45"/>
  <sheetViews>
    <sheetView workbookViewId="0">
      <selection activeCell="C21" sqref="C21"/>
    </sheetView>
  </sheetViews>
  <sheetFormatPr defaultRowHeight="15"/>
  <cols>
    <col min="1" max="1" width="38.85546875" style="31" customWidth="1"/>
    <col min="2" max="4" width="12" style="31" bestFit="1" customWidth="1"/>
    <col min="5" max="5" width="11.5703125" style="31" customWidth="1"/>
    <col min="6" max="8" width="12" style="31" bestFit="1" customWidth="1"/>
    <col min="9" max="9" width="16.140625" style="31" customWidth="1"/>
    <col min="10" max="10" width="12" style="31" bestFit="1" customWidth="1"/>
    <col min="11" max="11" width="13.7109375" style="31" bestFit="1" customWidth="1"/>
    <col min="12" max="22" width="12" style="31" bestFit="1" customWidth="1"/>
    <col min="23" max="23" width="11" style="31" bestFit="1" customWidth="1"/>
    <col min="24" max="30" width="12" style="31" bestFit="1" customWidth="1"/>
    <col min="31" max="31" width="11" style="31" bestFit="1" customWidth="1"/>
    <col min="32" max="33" width="12" style="31" bestFit="1" customWidth="1"/>
    <col min="34" max="34" width="10" style="31" bestFit="1" customWidth="1"/>
    <col min="35" max="37" width="12" style="31" bestFit="1" customWidth="1"/>
    <col min="38" max="38" width="11" style="31" bestFit="1" customWidth="1"/>
    <col min="39" max="84" width="12" style="31" bestFit="1" customWidth="1"/>
    <col min="85" max="85" width="11" style="31" bestFit="1" customWidth="1"/>
    <col min="86" max="99" width="12" style="31" bestFit="1" customWidth="1"/>
    <col min="100" max="100" width="11" style="31" bestFit="1" customWidth="1"/>
    <col min="101" max="104" width="12" style="31" bestFit="1" customWidth="1"/>
    <col min="105" max="106" width="11" style="31" bestFit="1" customWidth="1"/>
    <col min="107" max="129" width="12" style="31" bestFit="1" customWidth="1"/>
    <col min="130" max="16384" width="9.140625" style="31"/>
  </cols>
  <sheetData>
    <row r="1" spans="1:18" s="61" customFormat="1" ht="15.75">
      <c r="B1" s="31"/>
      <c r="C1" s="31"/>
      <c r="D1" s="31"/>
      <c r="E1" s="31"/>
      <c r="F1" s="31"/>
      <c r="G1" s="31"/>
      <c r="H1" s="31"/>
      <c r="I1" s="31"/>
      <c r="J1" s="31"/>
      <c r="K1" s="31"/>
    </row>
    <row r="4" spans="1:18" ht="15.75" thickBot="1"/>
    <row r="5" spans="1:18" s="35" customFormat="1" ht="23.25">
      <c r="A5" s="101" t="s">
        <v>10</v>
      </c>
      <c r="B5" s="33">
        <v>0</v>
      </c>
      <c r="C5" s="33">
        <f>IF(F16="palpatine",163,168)</f>
        <v>163</v>
      </c>
      <c r="D5" s="33">
        <f>IF(F16="palpatine",329,340)</f>
        <v>329</v>
      </c>
      <c r="E5" s="33">
        <f>IF(F16="palpatine",501,518)</f>
        <v>501</v>
      </c>
      <c r="F5" s="33">
        <f>IF(F16="palpatine",682,706)</f>
        <v>682</v>
      </c>
      <c r="G5" s="33">
        <f>IF(F16="palpatine",876,908)</f>
        <v>876</v>
      </c>
      <c r="H5" s="33">
        <f>IF(F16="palpatine",1090,1131)</f>
        <v>1090</v>
      </c>
      <c r="I5" s="33">
        <f>IF(F16="palpatine",1328,1383)</f>
        <v>1328</v>
      </c>
      <c r="J5" s="33">
        <f>IF(F16="palpatine",1600,1674)</f>
        <v>1600</v>
      </c>
      <c r="K5" s="33">
        <f>IF(F16="palpatine",1919,2019)</f>
        <v>1919</v>
      </c>
      <c r="L5" s="33">
        <f>IF(F16="palpatine",2301,2442)</f>
        <v>2301</v>
      </c>
      <c r="M5" s="33">
        <f>IF(F16="palpatine",2773,2981)</f>
        <v>2773</v>
      </c>
      <c r="N5" s="33">
        <f>IF(F16="palpatine",3370,3693)</f>
        <v>3370</v>
      </c>
      <c r="O5" s="33">
        <f>IF(F16="palpatine",4140,4672)</f>
        <v>4140</v>
      </c>
      <c r="P5" s="33">
        <f>IF(F16="palpatine",5136,6059)</f>
        <v>5136</v>
      </c>
      <c r="Q5" s="33">
        <f>IF(F16="palpatine",6383,7997)</f>
        <v>6383</v>
      </c>
      <c r="R5" s="34">
        <f>IF(F16="palpatine",7812,10417)</f>
        <v>7812</v>
      </c>
    </row>
    <row r="6" spans="1:18" s="35" customFormat="1" ht="24" thickBot="1">
      <c r="A6" s="102"/>
      <c r="B6" s="36">
        <v>-9</v>
      </c>
      <c r="C6" s="36">
        <v>-9</v>
      </c>
      <c r="D6" s="36">
        <v>-9</v>
      </c>
      <c r="E6" s="36">
        <v>-9</v>
      </c>
      <c r="F6" s="36">
        <v>-8</v>
      </c>
      <c r="G6" s="36">
        <v>-7</v>
      </c>
      <c r="H6" s="36">
        <v>-10</v>
      </c>
      <c r="I6" s="36">
        <v>-10</v>
      </c>
      <c r="J6" s="36">
        <v>-8</v>
      </c>
      <c r="K6" s="36">
        <v>-7</v>
      </c>
      <c r="L6" s="36">
        <v>-4</v>
      </c>
      <c r="M6" s="36">
        <v>-5</v>
      </c>
      <c r="N6" s="36">
        <v>0</v>
      </c>
      <c r="O6" s="36">
        <v>2</v>
      </c>
      <c r="P6" s="36">
        <v>-1</v>
      </c>
      <c r="Q6" s="36">
        <v>0</v>
      </c>
      <c r="R6" s="37">
        <v>0</v>
      </c>
    </row>
    <row r="7" spans="1:18" s="35" customFormat="1" ht="24" thickBot="1"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</row>
    <row r="8" spans="1:18" s="35" customFormat="1" ht="23.25">
      <c r="A8" s="103" t="s">
        <v>63</v>
      </c>
      <c r="B8" s="39">
        <v>250</v>
      </c>
      <c r="C8" s="33">
        <v>500</v>
      </c>
      <c r="D8" s="33">
        <v>750</v>
      </c>
      <c r="E8" s="33">
        <v>1000</v>
      </c>
      <c r="F8" s="33">
        <v>1500</v>
      </c>
      <c r="G8" s="33">
        <v>2000</v>
      </c>
      <c r="H8" s="33">
        <v>3000</v>
      </c>
      <c r="I8" s="33">
        <v>4000</v>
      </c>
      <c r="J8" s="33">
        <v>6000</v>
      </c>
      <c r="K8" s="34" t="str">
        <f>IF(F16="palpatine","",8000)</f>
        <v/>
      </c>
      <c r="L8" s="38"/>
      <c r="M8" s="38"/>
      <c r="N8" s="38"/>
      <c r="O8" s="38"/>
      <c r="P8" s="38"/>
      <c r="Q8" s="38"/>
      <c r="R8" s="38"/>
    </row>
    <row r="9" spans="1:18" s="35" customFormat="1" ht="24" thickBot="1">
      <c r="A9" s="104"/>
      <c r="B9" s="40">
        <v>50</v>
      </c>
      <c r="C9" s="36">
        <v>50</v>
      </c>
      <c r="D9" s="36">
        <v>50</v>
      </c>
      <c r="E9" s="36">
        <v>50</v>
      </c>
      <c r="F9" s="36">
        <v>50</v>
      </c>
      <c r="G9" s="36">
        <v>50</v>
      </c>
      <c r="H9" s="36">
        <v>47</v>
      </c>
      <c r="I9" s="36">
        <v>47</v>
      </c>
      <c r="J9" s="36">
        <v>47</v>
      </c>
      <c r="K9" s="37"/>
      <c r="L9" s="38"/>
      <c r="M9" s="38"/>
      <c r="N9" s="38"/>
      <c r="O9" s="38"/>
      <c r="P9" s="38"/>
      <c r="Q9" s="38"/>
      <c r="R9" s="38"/>
    </row>
    <row r="11" spans="1:18" ht="23.25">
      <c r="F11" s="41" t="s">
        <v>69</v>
      </c>
      <c r="G11" s="42"/>
    </row>
    <row r="12" spans="1:18" ht="18.75">
      <c r="G12" s="43" t="s">
        <v>9</v>
      </c>
    </row>
    <row r="13" spans="1:18" ht="23.25">
      <c r="F13" s="41" t="s">
        <v>66</v>
      </c>
    </row>
    <row r="15" spans="1:18" ht="19.5" thickBot="1">
      <c r="F15" s="31" t="s">
        <v>68</v>
      </c>
      <c r="G15" s="44"/>
    </row>
    <row r="16" spans="1:18" ht="24" thickBot="1">
      <c r="F16" s="45" t="s">
        <v>4</v>
      </c>
      <c r="G16" s="46">
        <f>IF(F16="palpatine",Palpatine,Dooku)</f>
        <v>6</v>
      </c>
      <c r="H16" s="47"/>
      <c r="I16" s="48" t="s">
        <v>64</v>
      </c>
      <c r="J16" s="32">
        <v>-10</v>
      </c>
    </row>
    <row r="17" spans="1:129" ht="18.75">
      <c r="G17" s="44"/>
    </row>
    <row r="18" spans="1:129">
      <c r="F18" s="49" t="s">
        <v>8</v>
      </c>
      <c r="G18" s="105" t="s">
        <v>82</v>
      </c>
      <c r="H18" s="105"/>
      <c r="I18" s="105"/>
      <c r="J18" s="105"/>
      <c r="K18" s="105"/>
    </row>
    <row r="30" spans="1:129">
      <c r="A30" s="93" t="s">
        <v>76</v>
      </c>
    </row>
    <row r="31" spans="1:129">
      <c r="A31" t="s">
        <v>77</v>
      </c>
      <c r="B31" s="31">
        <v>1</v>
      </c>
      <c r="C31" s="31">
        <v>62.03125</v>
      </c>
      <c r="D31" s="31">
        <v>123.0625</v>
      </c>
      <c r="E31" s="31">
        <v>184.09375</v>
      </c>
      <c r="F31" s="31">
        <v>245.125</v>
      </c>
      <c r="G31" s="31">
        <v>306.15625</v>
      </c>
      <c r="H31" s="31">
        <v>367.1875</v>
      </c>
      <c r="I31" s="31">
        <v>428.21875</v>
      </c>
      <c r="J31" s="31">
        <v>489.25</v>
      </c>
      <c r="K31" s="31">
        <v>550.28125</v>
      </c>
      <c r="L31" s="31">
        <v>611.3125</v>
      </c>
      <c r="M31" s="31">
        <v>672.34375</v>
      </c>
      <c r="N31" s="31">
        <v>733.375</v>
      </c>
      <c r="O31" s="31">
        <v>794.40625</v>
      </c>
      <c r="P31" s="31">
        <v>855.4375</v>
      </c>
      <c r="Q31" s="31">
        <v>916.46875</v>
      </c>
      <c r="R31" s="31">
        <v>977.5</v>
      </c>
      <c r="S31" s="31">
        <v>1038.53125</v>
      </c>
      <c r="T31" s="31">
        <v>1099.5625</v>
      </c>
      <c r="U31" s="31">
        <v>1160.59375</v>
      </c>
      <c r="V31" s="31">
        <v>1221.625</v>
      </c>
      <c r="W31" s="31">
        <v>1282.65625</v>
      </c>
      <c r="X31" s="31">
        <v>1343.6875</v>
      </c>
      <c r="Y31" s="31">
        <v>1404.71875</v>
      </c>
      <c r="Z31" s="31">
        <v>1465.75</v>
      </c>
      <c r="AA31" s="31">
        <v>1526.78125</v>
      </c>
      <c r="AB31" s="31">
        <v>1587.8125</v>
      </c>
      <c r="AC31" s="31">
        <v>1648.84375</v>
      </c>
      <c r="AD31" s="31">
        <v>1709.875</v>
      </c>
      <c r="AE31" s="31">
        <v>1770.90625</v>
      </c>
      <c r="AF31" s="31">
        <v>1831.9375</v>
      </c>
      <c r="AG31" s="31">
        <v>1892.96875</v>
      </c>
      <c r="AH31" s="31">
        <v>1954</v>
      </c>
      <c r="AI31" s="31">
        <v>2015.03125</v>
      </c>
      <c r="AJ31" s="31">
        <v>2076.0625</v>
      </c>
      <c r="AK31" s="31">
        <v>2137.09375</v>
      </c>
      <c r="AL31" s="31">
        <v>2198.125</v>
      </c>
      <c r="AM31" s="31">
        <v>2259.15625</v>
      </c>
      <c r="AN31" s="31">
        <v>2320.1875</v>
      </c>
      <c r="AO31" s="31">
        <v>2381.21875</v>
      </c>
      <c r="AP31" s="31">
        <v>2442.25</v>
      </c>
      <c r="AQ31" s="31">
        <v>2503.28125</v>
      </c>
      <c r="AR31" s="31">
        <v>2564.3125</v>
      </c>
      <c r="AS31" s="31">
        <v>2625.34375</v>
      </c>
      <c r="AT31" s="31">
        <v>2686.375</v>
      </c>
      <c r="AU31" s="31">
        <v>2747.40625</v>
      </c>
      <c r="AV31" s="31">
        <v>2808.4375</v>
      </c>
      <c r="AW31" s="31">
        <v>2869.46875</v>
      </c>
      <c r="AX31" s="31">
        <v>2930.5</v>
      </c>
      <c r="AY31" s="31">
        <v>2991.53125</v>
      </c>
      <c r="AZ31" s="31">
        <v>3052.5625</v>
      </c>
      <c r="BA31" s="31">
        <v>3113.59375</v>
      </c>
      <c r="BB31" s="31">
        <v>3174.625</v>
      </c>
      <c r="BC31" s="31">
        <v>3235.65625</v>
      </c>
      <c r="BD31" s="31">
        <v>3296.6875</v>
      </c>
      <c r="BE31" s="31">
        <v>3357.71875</v>
      </c>
      <c r="BF31" s="31">
        <v>3418.75</v>
      </c>
      <c r="BG31" s="31">
        <v>3479.78125</v>
      </c>
      <c r="BH31" s="31">
        <v>3540.8125</v>
      </c>
      <c r="BI31" s="31">
        <v>3601.84375</v>
      </c>
      <c r="BJ31" s="31">
        <v>3662.875</v>
      </c>
      <c r="BK31" s="31">
        <v>3723.90625</v>
      </c>
      <c r="BL31" s="31">
        <v>3784.9375</v>
      </c>
      <c r="BM31" s="31">
        <v>3845.96875</v>
      </c>
      <c r="BN31" s="31">
        <v>3907</v>
      </c>
      <c r="BO31" s="31">
        <v>3968.03125</v>
      </c>
      <c r="BP31" s="31">
        <v>4029.0625</v>
      </c>
      <c r="BQ31" s="31">
        <v>4090.09375</v>
      </c>
      <c r="BR31" s="31">
        <v>4151.125</v>
      </c>
      <c r="BS31" s="31">
        <v>4212.15625</v>
      </c>
      <c r="BT31" s="31">
        <v>4273.1875</v>
      </c>
      <c r="BU31" s="31">
        <v>4334.21875</v>
      </c>
      <c r="BV31" s="31">
        <v>4395.25</v>
      </c>
      <c r="BW31" s="31">
        <v>4456.28125</v>
      </c>
      <c r="BX31" s="31">
        <v>4517.3125</v>
      </c>
      <c r="BY31" s="31">
        <v>4578.34375</v>
      </c>
      <c r="BZ31" s="31">
        <v>4639.375</v>
      </c>
      <c r="CA31" s="31">
        <v>4700.40625</v>
      </c>
      <c r="CB31" s="31">
        <v>4761.4375</v>
      </c>
      <c r="CC31" s="31">
        <v>4822.46875</v>
      </c>
      <c r="CD31" s="31">
        <v>4883.5</v>
      </c>
      <c r="CE31" s="31">
        <v>4944.53125</v>
      </c>
      <c r="CF31" s="31">
        <v>5005.5625</v>
      </c>
      <c r="CG31" s="31">
        <v>5066.59375</v>
      </c>
      <c r="CH31" s="31">
        <v>5127.625</v>
      </c>
      <c r="CI31" s="31">
        <v>5188.65625</v>
      </c>
      <c r="CJ31" s="31">
        <v>5249.6875</v>
      </c>
      <c r="CK31" s="31">
        <v>5310.71875</v>
      </c>
      <c r="CL31" s="31">
        <v>5371.75</v>
      </c>
      <c r="CM31" s="31">
        <v>5432.78125</v>
      </c>
      <c r="CN31" s="31">
        <v>5493.8125</v>
      </c>
      <c r="CO31" s="31">
        <v>5554.84375</v>
      </c>
      <c r="CP31" s="31">
        <v>5615.875</v>
      </c>
      <c r="CQ31" s="31">
        <v>5676.90625</v>
      </c>
      <c r="CR31" s="31">
        <v>5737.9375</v>
      </c>
      <c r="CS31" s="31">
        <v>5798.96875</v>
      </c>
      <c r="CT31" s="31">
        <v>5860</v>
      </c>
      <c r="CU31" s="31">
        <v>5921.03125</v>
      </c>
      <c r="CV31" s="31">
        <v>5982.0625</v>
      </c>
      <c r="CW31" s="31">
        <v>6043.09375</v>
      </c>
      <c r="CX31" s="31">
        <v>6104.125</v>
      </c>
      <c r="CY31" s="31">
        <v>6165.15625</v>
      </c>
      <c r="CZ31" s="31">
        <v>6226.1875</v>
      </c>
      <c r="DA31" s="31">
        <v>6287.21875</v>
      </c>
      <c r="DB31" s="31">
        <v>6348.25</v>
      </c>
      <c r="DC31" s="31">
        <v>6409.28125</v>
      </c>
      <c r="DD31" s="31">
        <v>6470.3125</v>
      </c>
      <c r="DE31" s="31">
        <v>6531.34375</v>
      </c>
      <c r="DF31" s="31">
        <v>6592.375</v>
      </c>
      <c r="DG31" s="31">
        <v>6653.40625</v>
      </c>
      <c r="DH31" s="31">
        <v>6714.4375</v>
      </c>
      <c r="DI31" s="31">
        <v>6775.46875</v>
      </c>
      <c r="DJ31" s="31">
        <v>6836.5</v>
      </c>
      <c r="DK31" s="31">
        <v>6897.53125</v>
      </c>
      <c r="DL31" s="31">
        <v>6958.5625</v>
      </c>
      <c r="DM31" s="31">
        <v>7019.59375</v>
      </c>
      <c r="DN31" s="31">
        <v>7080.625</v>
      </c>
      <c r="DO31" s="31">
        <v>7141.65625</v>
      </c>
      <c r="DP31" s="31">
        <v>7202.6875</v>
      </c>
      <c r="DQ31" s="31">
        <v>7263.71875</v>
      </c>
      <c r="DR31" s="31">
        <v>7324.75</v>
      </c>
      <c r="DS31" s="31">
        <v>7385.78125</v>
      </c>
      <c r="DT31" s="31">
        <v>7446.8125</v>
      </c>
      <c r="DU31" s="31">
        <v>7507.84375</v>
      </c>
      <c r="DV31" s="31">
        <v>7568.875</v>
      </c>
      <c r="DW31" s="31">
        <v>7629.90625</v>
      </c>
      <c r="DX31" s="31">
        <v>7690.9375</v>
      </c>
      <c r="DY31" s="31">
        <v>7751.96875</v>
      </c>
    </row>
    <row r="32" spans="1:129">
      <c r="A32" t="s">
        <v>83</v>
      </c>
      <c r="B32" s="31">
        <v>394.89500177407899</v>
      </c>
      <c r="C32" s="31">
        <v>86.714663109504698</v>
      </c>
      <c r="D32" s="31">
        <v>89.830669577592104</v>
      </c>
      <c r="E32" s="31">
        <v>93.541505135507904</v>
      </c>
      <c r="F32" s="31">
        <v>97.574674684815605</v>
      </c>
      <c r="G32" s="31">
        <v>92.497237984757504</v>
      </c>
      <c r="H32" s="31">
        <v>93.109598133128898</v>
      </c>
      <c r="I32" s="31">
        <v>89.007791827262693</v>
      </c>
      <c r="J32" s="31">
        <v>87.428891705731701</v>
      </c>
      <c r="K32" s="31">
        <v>87.561906501605876</v>
      </c>
      <c r="L32" s="31">
        <v>87.313789019568858</v>
      </c>
      <c r="M32" s="31">
        <v>83.273734048375204</v>
      </c>
      <c r="N32" s="31">
        <v>81.715226399683729</v>
      </c>
      <c r="O32" s="31">
        <v>80.855837498737387</v>
      </c>
      <c r="P32" s="31">
        <v>80.021594435964829</v>
      </c>
      <c r="Q32" s="31">
        <v>78.851859965929549</v>
      </c>
      <c r="R32" s="31">
        <v>79.036236885657985</v>
      </c>
      <c r="S32" s="31">
        <v>79.727735324974617</v>
      </c>
      <c r="T32" s="31">
        <v>79.830979058726101</v>
      </c>
      <c r="U32" s="31">
        <v>79.285009399560394</v>
      </c>
      <c r="V32" s="31">
        <v>79.681362449271205</v>
      </c>
      <c r="W32" s="31">
        <v>80.2744597537624</v>
      </c>
      <c r="X32" s="31">
        <v>81.312085511180015</v>
      </c>
      <c r="Y32" s="31">
        <v>80.953321553948058</v>
      </c>
      <c r="Z32" s="31">
        <v>81.31449057761688</v>
      </c>
      <c r="AA32" s="31">
        <v>81.653044752276216</v>
      </c>
      <c r="AB32" s="31">
        <v>83.160771534678233</v>
      </c>
      <c r="AC32" s="31">
        <v>85.056401166329749</v>
      </c>
      <c r="AD32" s="31">
        <v>86.77059332420508</v>
      </c>
      <c r="AE32" s="31">
        <v>92.23792445824111</v>
      </c>
      <c r="AF32" s="31">
        <v>83.83091021884816</v>
      </c>
      <c r="AG32" s="31">
        <v>76.569856595326812</v>
      </c>
      <c r="AH32" s="31">
        <v>74.261637609755354</v>
      </c>
      <c r="AI32" s="31">
        <v>72.987499593630957</v>
      </c>
      <c r="AJ32" s="31">
        <v>72.703983147013147</v>
      </c>
      <c r="AK32" s="31">
        <v>73.498307317445438</v>
      </c>
      <c r="AL32" s="31">
        <v>72.226185941695434</v>
      </c>
      <c r="AM32" s="31">
        <v>71.425213021119731</v>
      </c>
      <c r="AN32" s="31">
        <v>68.84195564484645</v>
      </c>
      <c r="AO32" s="31">
        <v>65.859883920953067</v>
      </c>
      <c r="AP32" s="31">
        <v>62.277980203137467</v>
      </c>
      <c r="AQ32" s="31">
        <v>58.71965097952598</v>
      </c>
      <c r="AR32" s="31">
        <v>56.609175020991593</v>
      </c>
      <c r="AS32" s="31">
        <v>58.862303473044207</v>
      </c>
      <c r="AT32" s="31">
        <v>62.699764589185321</v>
      </c>
      <c r="AU32" s="31">
        <v>63.925493046901025</v>
      </c>
      <c r="AV32" s="31">
        <v>63.463053926013941</v>
      </c>
      <c r="AW32" s="31">
        <v>63.688293659486803</v>
      </c>
      <c r="AX32" s="31">
        <v>64.679632287883763</v>
      </c>
      <c r="AY32" s="31">
        <v>65.861020410695033</v>
      </c>
      <c r="AZ32" s="31">
        <v>67.270656448938297</v>
      </c>
      <c r="BA32" s="31">
        <v>68.071308425137147</v>
      </c>
      <c r="BB32" s="31">
        <v>67.26195833283812</v>
      </c>
      <c r="BC32" s="31">
        <v>65.726668262048776</v>
      </c>
      <c r="BD32" s="31">
        <v>64.257532362498239</v>
      </c>
      <c r="BE32" s="31">
        <v>61.77295005060531</v>
      </c>
      <c r="BF32" s="31">
        <v>59.896243100186119</v>
      </c>
      <c r="BG32" s="31">
        <v>57.745548366146799</v>
      </c>
      <c r="BH32" s="31">
        <v>55.777746093278971</v>
      </c>
      <c r="BI32" s="31">
        <v>53.79518585157134</v>
      </c>
      <c r="BJ32" s="31">
        <v>52.055654290829111</v>
      </c>
      <c r="BK32" s="31">
        <v>50.45216336047779</v>
      </c>
      <c r="BL32" s="31">
        <v>48.961106518416358</v>
      </c>
      <c r="BM32" s="31">
        <v>47.723628610876432</v>
      </c>
      <c r="BN32" s="31">
        <v>46.826749632106804</v>
      </c>
      <c r="BO32" s="31">
        <v>46.39777923187728</v>
      </c>
      <c r="BP32" s="31">
        <v>46.446304730170951</v>
      </c>
      <c r="BQ32" s="31">
        <v>46.750059174674426</v>
      </c>
      <c r="BR32" s="31">
        <v>47.630623739383083</v>
      </c>
      <c r="BS32" s="31">
        <v>48.326224101633443</v>
      </c>
      <c r="BT32" s="31">
        <v>47.544082503723395</v>
      </c>
      <c r="BU32" s="31">
        <v>47.833698983735658</v>
      </c>
      <c r="BV32" s="31">
        <v>48.706406607010024</v>
      </c>
      <c r="BW32" s="31">
        <v>50.741431377024682</v>
      </c>
      <c r="BX32" s="31">
        <v>54.359376312745539</v>
      </c>
      <c r="BY32" s="31">
        <v>51.1504278622565</v>
      </c>
      <c r="BZ32" s="31">
        <v>52.269371050303761</v>
      </c>
      <c r="CA32" s="31">
        <v>53.170559302929817</v>
      </c>
      <c r="CB32" s="31">
        <v>52.185630921778682</v>
      </c>
      <c r="CC32" s="31">
        <v>52.82538005061344</v>
      </c>
      <c r="CD32" s="31">
        <v>53.316768444327806</v>
      </c>
      <c r="CE32" s="31">
        <v>53.11467124926336</v>
      </c>
      <c r="CF32" s="31">
        <v>51.691918962796223</v>
      </c>
      <c r="CG32" s="31">
        <v>50.13111661001318</v>
      </c>
      <c r="CH32" s="31">
        <v>49.826047649878248</v>
      </c>
      <c r="CI32" s="31">
        <v>51.254856392379658</v>
      </c>
      <c r="CJ32" s="31">
        <v>54.36268600304458</v>
      </c>
      <c r="CK32" s="31">
        <v>53.618189525389802</v>
      </c>
      <c r="CL32" s="31">
        <v>52.835047734891319</v>
      </c>
      <c r="CM32" s="31">
        <v>54.175611007959645</v>
      </c>
      <c r="CN32" s="31">
        <v>52.622784081593764</v>
      </c>
      <c r="CO32" s="31">
        <v>52.268546098660778</v>
      </c>
      <c r="CP32" s="31">
        <v>52.870741384578402</v>
      </c>
      <c r="CQ32" s="31">
        <v>53.71930867793462</v>
      </c>
      <c r="CR32" s="31">
        <v>53.58641922384404</v>
      </c>
      <c r="CS32" s="31">
        <v>52.692810025435058</v>
      </c>
      <c r="CT32" s="31">
        <v>52.75234070608758</v>
      </c>
      <c r="CU32" s="31">
        <v>52.756920444418498</v>
      </c>
      <c r="CV32" s="31">
        <v>52.605388994106512</v>
      </c>
      <c r="CW32" s="31">
        <v>52.491053675641837</v>
      </c>
      <c r="CX32" s="31">
        <v>52.378874775729052</v>
      </c>
      <c r="CY32" s="31">
        <v>52.420908809473275</v>
      </c>
      <c r="CZ32" s="31">
        <v>52.40542897145999</v>
      </c>
      <c r="DA32" s="31">
        <v>52.151456770254512</v>
      </c>
      <c r="DB32" s="31">
        <v>52.152433779879331</v>
      </c>
      <c r="DC32" s="31">
        <v>52.115714531807697</v>
      </c>
      <c r="DD32" s="31">
        <v>52.293208069002297</v>
      </c>
      <c r="DE32" s="31">
        <v>52.358173983164299</v>
      </c>
      <c r="DF32" s="31">
        <v>52.4203354574827</v>
      </c>
      <c r="DG32" s="31">
        <v>52.500683966758302</v>
      </c>
      <c r="DH32" s="31">
        <v>52.602322641207103</v>
      </c>
      <c r="DI32" s="31">
        <v>52.662437608476303</v>
      </c>
      <c r="DJ32" s="31">
        <v>52.551691489790898</v>
      </c>
      <c r="DK32" s="31">
        <v>52.414825208646199</v>
      </c>
      <c r="DL32" s="31">
        <v>52.071924790592803</v>
      </c>
      <c r="DM32" s="31">
        <v>51.815285006832802</v>
      </c>
      <c r="DN32" s="31">
        <v>51.090399392629799</v>
      </c>
      <c r="DO32" s="31">
        <v>50.270242644302002</v>
      </c>
      <c r="DP32" s="31">
        <v>49.384914947734302</v>
      </c>
      <c r="DQ32" s="31">
        <v>48.919456278006898</v>
      </c>
      <c r="DR32" s="31">
        <v>50.035535407326101</v>
      </c>
      <c r="DS32" s="31">
        <v>52.500553417359697</v>
      </c>
      <c r="DT32" s="31">
        <v>55.866146255169198</v>
      </c>
      <c r="DU32" s="31">
        <v>58.712681630582701</v>
      </c>
      <c r="DV32" s="31">
        <v>61.399832977053102</v>
      </c>
      <c r="DW32" s="31">
        <v>61.019968533962299</v>
      </c>
      <c r="DX32" s="31">
        <v>63.498543624326402</v>
      </c>
      <c r="DY32" s="31">
        <v>68.633115546449005</v>
      </c>
    </row>
    <row r="33" spans="1:132">
      <c r="A33" t="s">
        <v>84</v>
      </c>
      <c r="B33" s="31">
        <v>388.39676628047999</v>
      </c>
      <c r="C33" s="31">
        <v>97.398486110837496</v>
      </c>
      <c r="D33" s="31">
        <v>103.21915879477881</v>
      </c>
      <c r="E33" s="31">
        <v>90.476690185185902</v>
      </c>
      <c r="F33" s="31">
        <v>93.209558207486097</v>
      </c>
      <c r="G33" s="31">
        <v>100.66887766032841</v>
      </c>
      <c r="H33" s="31">
        <v>95.061241022259907</v>
      </c>
      <c r="I33" s="31">
        <v>96.724313190870205</v>
      </c>
      <c r="J33" s="31">
        <v>95.965337522522304</v>
      </c>
      <c r="K33" s="31">
        <v>91.561298339917784</v>
      </c>
      <c r="L33" s="31">
        <v>88.181836605509346</v>
      </c>
      <c r="M33" s="31">
        <v>93.846864357195116</v>
      </c>
      <c r="N33" s="31">
        <v>90.505533921761142</v>
      </c>
      <c r="O33" s="31">
        <v>83.630646432278184</v>
      </c>
      <c r="P33" s="31">
        <v>81.632385389576541</v>
      </c>
      <c r="Q33" s="31">
        <v>81.572251847566449</v>
      </c>
      <c r="R33" s="31">
        <v>81.268030817974889</v>
      </c>
      <c r="S33" s="31">
        <v>80.490583747015918</v>
      </c>
      <c r="T33" s="31">
        <v>79.128437650429504</v>
      </c>
      <c r="U33" s="31">
        <v>79.445291548481094</v>
      </c>
      <c r="V33" s="31">
        <v>79.520066665006595</v>
      </c>
      <c r="W33" s="31">
        <v>78.732458874795597</v>
      </c>
      <c r="X33" s="31">
        <v>78.378495045913724</v>
      </c>
      <c r="Y33" s="31">
        <v>77.971647807832454</v>
      </c>
      <c r="Z33" s="31">
        <v>77.503807199046975</v>
      </c>
      <c r="AA33" s="31">
        <v>75.947922663024499</v>
      </c>
      <c r="AB33" s="31">
        <v>75.024683279102234</v>
      </c>
      <c r="AC33" s="31">
        <v>75.115553834255351</v>
      </c>
      <c r="AD33" s="31">
        <v>74.630528329205788</v>
      </c>
      <c r="AE33" s="31">
        <v>74.281201431724014</v>
      </c>
      <c r="AF33" s="31">
        <v>74.277807500800762</v>
      </c>
      <c r="AG33" s="31">
        <v>73.904072824906905</v>
      </c>
      <c r="AH33" s="31">
        <v>74.061462842507453</v>
      </c>
      <c r="AI33" s="31">
        <v>74.253366412609054</v>
      </c>
      <c r="AJ33" s="31">
        <v>73.402532619627053</v>
      </c>
      <c r="AK33" s="31">
        <v>70.932108486063939</v>
      </c>
      <c r="AL33" s="31">
        <v>67.97700607208634</v>
      </c>
      <c r="AM33" s="31">
        <v>65.44511505167624</v>
      </c>
      <c r="AN33" s="31">
        <v>63.041638892006347</v>
      </c>
      <c r="AO33" s="31">
        <v>60.653888447087958</v>
      </c>
      <c r="AP33" s="31">
        <v>58.166845032655573</v>
      </c>
      <c r="AQ33" s="31">
        <v>56.91479658048388</v>
      </c>
      <c r="AR33" s="31">
        <v>62.288510035837696</v>
      </c>
      <c r="AS33" s="31">
        <v>67.2403577813878</v>
      </c>
      <c r="AT33" s="31">
        <v>65.968335183665019</v>
      </c>
      <c r="AU33" s="31">
        <v>65.131094251475034</v>
      </c>
      <c r="AV33" s="31">
        <v>64.662155935873443</v>
      </c>
      <c r="AW33" s="31">
        <v>64.465587142004608</v>
      </c>
      <c r="AX33" s="31">
        <v>64.071664317514362</v>
      </c>
      <c r="AY33" s="31">
        <v>63.735652989438933</v>
      </c>
      <c r="AZ33" s="31">
        <v>62.714403217610496</v>
      </c>
      <c r="BA33" s="31">
        <v>61.291328094370456</v>
      </c>
      <c r="BB33" s="31">
        <v>59.471303849114321</v>
      </c>
      <c r="BC33" s="31">
        <v>57.807686927819184</v>
      </c>
      <c r="BD33" s="31">
        <v>56.272631764424347</v>
      </c>
      <c r="BE33" s="31">
        <v>55.022802418533907</v>
      </c>
      <c r="BF33" s="31">
        <v>54.381492081215221</v>
      </c>
      <c r="BG33" s="31">
        <v>53.922362837803199</v>
      </c>
      <c r="BH33" s="31">
        <v>53.595194271707669</v>
      </c>
      <c r="BI33" s="31">
        <v>52.965675131673436</v>
      </c>
      <c r="BJ33" s="31">
        <v>52.402921663947517</v>
      </c>
      <c r="BK33" s="31">
        <v>51.76463692389089</v>
      </c>
      <c r="BL33" s="31">
        <v>51.026418407782657</v>
      </c>
      <c r="BM33" s="31">
        <v>50.18982173041163</v>
      </c>
      <c r="BN33" s="31">
        <v>49.504569384912003</v>
      </c>
      <c r="BO33" s="31">
        <v>48.666298082718583</v>
      </c>
      <c r="BP33" s="31">
        <v>47.947076274111346</v>
      </c>
      <c r="BQ33" s="31">
        <v>47.621145074423424</v>
      </c>
      <c r="BR33" s="31">
        <v>48.449987093349982</v>
      </c>
      <c r="BS33" s="31">
        <v>50.52664338715234</v>
      </c>
      <c r="BT33" s="31">
        <v>51.358868329001993</v>
      </c>
      <c r="BU33" s="31">
        <v>51.832821671138959</v>
      </c>
      <c r="BV33" s="31">
        <v>51.958760138087321</v>
      </c>
      <c r="BW33" s="31">
        <v>52.750437033563784</v>
      </c>
      <c r="BX33" s="31">
        <v>51.956404323200537</v>
      </c>
      <c r="BY33" s="31">
        <v>50.842782523069801</v>
      </c>
      <c r="BZ33" s="31">
        <v>51.492591157069562</v>
      </c>
      <c r="CA33" s="31">
        <v>52.091979397505824</v>
      </c>
      <c r="CB33" s="31">
        <v>52.510268798381581</v>
      </c>
      <c r="CC33" s="31">
        <v>53.41066447269764</v>
      </c>
      <c r="CD33" s="31">
        <v>54.115530972345901</v>
      </c>
      <c r="CE33" s="31">
        <v>54.524282036069458</v>
      </c>
      <c r="CF33" s="31">
        <v>54.424655530658917</v>
      </c>
      <c r="CG33" s="31">
        <v>54.552817303597685</v>
      </c>
      <c r="CH33" s="31">
        <v>55.444544823448545</v>
      </c>
      <c r="CI33" s="31">
        <v>56.730243194822563</v>
      </c>
      <c r="CJ33" s="31">
        <v>58.126679051364484</v>
      </c>
      <c r="CK33" s="31">
        <v>59.4584562417322</v>
      </c>
      <c r="CL33" s="31">
        <v>60.012034399985218</v>
      </c>
      <c r="CM33" s="31">
        <v>59.929703638243538</v>
      </c>
      <c r="CN33" s="31">
        <v>59.296833519403066</v>
      </c>
      <c r="CO33" s="31">
        <v>59.185978304171485</v>
      </c>
      <c r="CP33" s="31">
        <v>59.955822039718903</v>
      </c>
      <c r="CQ33" s="31">
        <v>59.842069070784021</v>
      </c>
      <c r="CR33" s="31">
        <v>59.625432148727242</v>
      </c>
      <c r="CS33" s="31">
        <v>59.832675811219062</v>
      </c>
      <c r="CT33" s="31">
        <v>60.13328016169968</v>
      </c>
      <c r="CU33" s="31">
        <v>60.211496942721197</v>
      </c>
      <c r="CV33" s="31">
        <v>60.365672377309515</v>
      </c>
      <c r="CW33" s="31">
        <v>60.443162129309535</v>
      </c>
      <c r="CX33" s="31">
        <v>60.751156035037553</v>
      </c>
      <c r="CY33" s="31">
        <v>60.943970044600469</v>
      </c>
      <c r="CZ33" s="31">
        <v>61.192469127057691</v>
      </c>
      <c r="DA33" s="31">
        <v>61.646093942346212</v>
      </c>
      <c r="DB33" s="31">
        <v>61.951071444613632</v>
      </c>
      <c r="DC33" s="31">
        <v>62.135104538564697</v>
      </c>
      <c r="DD33" s="31">
        <v>62.391998292112902</v>
      </c>
      <c r="DE33" s="31">
        <v>62.591347770215798</v>
      </c>
      <c r="DF33" s="31">
        <v>62.503596994900299</v>
      </c>
      <c r="DG33" s="31">
        <v>62.8118335189261</v>
      </c>
      <c r="DH33" s="31">
        <v>62.821810840692898</v>
      </c>
      <c r="DI33" s="31">
        <v>63.028955553037299</v>
      </c>
      <c r="DJ33" s="31">
        <v>62.835204368267398</v>
      </c>
      <c r="DK33" s="31">
        <v>62.866313268728803</v>
      </c>
      <c r="DL33" s="31">
        <v>63.015293608693703</v>
      </c>
      <c r="DM33" s="31">
        <v>62.415308115374501</v>
      </c>
      <c r="DN33" s="31">
        <v>61.766578162997703</v>
      </c>
      <c r="DO33" s="31">
        <v>61.347204424004701</v>
      </c>
      <c r="DP33" s="31">
        <v>60.818575713357703</v>
      </c>
      <c r="DQ33" s="31">
        <v>61.547765733671703</v>
      </c>
      <c r="DR33" s="31">
        <v>64.142984953964103</v>
      </c>
      <c r="DS33" s="31">
        <v>67.230107541244507</v>
      </c>
      <c r="DT33" s="31">
        <v>70.385761655865196</v>
      </c>
      <c r="DU33" s="31">
        <v>73.106773065197203</v>
      </c>
      <c r="DV33" s="31">
        <v>75.014632070619299</v>
      </c>
      <c r="DW33" s="31">
        <v>77.266953561224696</v>
      </c>
      <c r="DX33" s="31">
        <v>79.973793616936703</v>
      </c>
      <c r="DY33" s="31">
        <v>81.868312139633204</v>
      </c>
    </row>
    <row r="35" spans="1:132">
      <c r="B35" s="31">
        <v>1</v>
      </c>
      <c r="C35" s="31">
        <v>62.03125</v>
      </c>
      <c r="D35" s="31">
        <v>123.0625</v>
      </c>
      <c r="E35" s="31">
        <v>184.09375</v>
      </c>
      <c r="F35" s="31">
        <v>245.125</v>
      </c>
      <c r="G35" s="31">
        <v>306.15625</v>
      </c>
      <c r="H35" s="31">
        <v>367.1875</v>
      </c>
      <c r="I35" s="31">
        <v>428.21875</v>
      </c>
      <c r="J35" s="31">
        <v>489.25</v>
      </c>
      <c r="K35" s="31">
        <v>550.28125</v>
      </c>
      <c r="L35" s="31">
        <v>611.3125</v>
      </c>
      <c r="M35" s="31">
        <v>672.34375</v>
      </c>
      <c r="N35" s="31">
        <v>733.375</v>
      </c>
      <c r="O35" s="31">
        <v>794.40625</v>
      </c>
      <c r="P35" s="31">
        <v>855.4375</v>
      </c>
      <c r="Q35" s="31">
        <v>916.46875</v>
      </c>
      <c r="R35" s="31">
        <v>977.5</v>
      </c>
      <c r="S35" s="31">
        <v>1038.53125</v>
      </c>
      <c r="T35" s="31">
        <v>1099.5625</v>
      </c>
      <c r="U35" s="31">
        <v>1160.59375</v>
      </c>
      <c r="V35" s="31">
        <v>1221.625</v>
      </c>
      <c r="W35" s="31">
        <v>1282.65625</v>
      </c>
      <c r="X35" s="31">
        <v>1343.6875</v>
      </c>
      <c r="Y35" s="31">
        <v>1404.71875</v>
      </c>
      <c r="Z35" s="31">
        <v>1465.75</v>
      </c>
      <c r="AA35" s="31">
        <v>1526.78125</v>
      </c>
      <c r="AB35" s="31">
        <v>1587.8125</v>
      </c>
      <c r="AC35" s="31">
        <v>1648.84375</v>
      </c>
      <c r="AD35" s="31">
        <v>1709.875</v>
      </c>
      <c r="AE35" s="31">
        <v>1770.90625</v>
      </c>
      <c r="AF35" s="31">
        <v>1831.9375</v>
      </c>
      <c r="AG35" s="31">
        <v>1892.96875</v>
      </c>
      <c r="AH35" s="31">
        <v>1954</v>
      </c>
      <c r="AI35" s="31">
        <v>2015.03125</v>
      </c>
      <c r="AJ35" s="31">
        <v>2076.0625</v>
      </c>
      <c r="AK35" s="31">
        <v>2137.09375</v>
      </c>
      <c r="AL35" s="31">
        <v>2198.125</v>
      </c>
      <c r="AM35" s="31">
        <v>2259.15625</v>
      </c>
      <c r="AN35" s="31">
        <v>2320.1875</v>
      </c>
      <c r="AO35" s="31">
        <v>2381.21875</v>
      </c>
      <c r="AP35" s="31">
        <v>2442.25</v>
      </c>
      <c r="AQ35" s="31">
        <v>2503.28125</v>
      </c>
      <c r="AR35" s="31">
        <v>2564.3125</v>
      </c>
      <c r="AS35" s="31">
        <v>2625.34375</v>
      </c>
      <c r="AT35" s="31">
        <v>2686.375</v>
      </c>
      <c r="AU35" s="31">
        <v>2747.40625</v>
      </c>
      <c r="AV35" s="31">
        <v>2808.4375</v>
      </c>
      <c r="AW35" s="31">
        <v>2869.46875</v>
      </c>
      <c r="AX35" s="31">
        <v>2930.5</v>
      </c>
      <c r="AY35" s="31">
        <v>2991.53125</v>
      </c>
      <c r="AZ35" s="31">
        <v>3052.5625</v>
      </c>
      <c r="BA35" s="31">
        <v>3113.59375</v>
      </c>
      <c r="BB35" s="31">
        <v>3174.625</v>
      </c>
      <c r="BC35" s="31">
        <v>3235.65625</v>
      </c>
      <c r="BD35" s="31">
        <v>3296.6875</v>
      </c>
      <c r="BE35" s="31">
        <v>3357.71875</v>
      </c>
      <c r="BF35" s="31">
        <v>3418.75</v>
      </c>
      <c r="BG35" s="31">
        <v>3479.78125</v>
      </c>
      <c r="BH35" s="31">
        <v>3540.8125</v>
      </c>
      <c r="BI35" s="31">
        <v>3601.84375</v>
      </c>
      <c r="BJ35" s="31">
        <v>3662.875</v>
      </c>
      <c r="BK35" s="31">
        <v>3723.90625</v>
      </c>
      <c r="BL35" s="31">
        <v>3784.9375</v>
      </c>
      <c r="BM35" s="31">
        <v>3845.96875</v>
      </c>
      <c r="BN35" s="31">
        <v>3907</v>
      </c>
      <c r="BO35" s="31">
        <v>3968.03125</v>
      </c>
      <c r="BP35" s="31">
        <v>4029.0625</v>
      </c>
      <c r="BQ35" s="31">
        <v>4090.09375</v>
      </c>
      <c r="BR35" s="31">
        <v>4151.125</v>
      </c>
      <c r="BS35" s="31">
        <v>4212.15625</v>
      </c>
      <c r="BT35" s="31">
        <v>4273.1875</v>
      </c>
      <c r="BU35" s="31">
        <v>4334.21875</v>
      </c>
      <c r="BV35" s="31">
        <v>4395.25</v>
      </c>
      <c r="BW35" s="31">
        <v>4456.28125</v>
      </c>
      <c r="BX35" s="31">
        <v>4517.3125</v>
      </c>
      <c r="BY35" s="31">
        <v>4578.34375</v>
      </c>
      <c r="BZ35" s="31">
        <v>4639.375</v>
      </c>
      <c r="CA35" s="31">
        <v>4700.40625</v>
      </c>
      <c r="CB35" s="31">
        <v>4761.4375</v>
      </c>
      <c r="CC35" s="31">
        <v>4822.46875</v>
      </c>
      <c r="CD35" s="31">
        <v>4883.5</v>
      </c>
      <c r="CE35" s="31">
        <v>4944.53125</v>
      </c>
      <c r="CF35" s="31">
        <v>5005.5625</v>
      </c>
      <c r="CG35" s="31">
        <v>5066.59375</v>
      </c>
      <c r="CH35" s="31">
        <v>5127.625</v>
      </c>
      <c r="CI35" s="31">
        <v>5188.65625</v>
      </c>
      <c r="CJ35" s="31">
        <v>5249.6875</v>
      </c>
      <c r="CK35" s="31">
        <v>5310.71875</v>
      </c>
      <c r="CL35" s="31">
        <v>5371.75</v>
      </c>
      <c r="CM35" s="31">
        <v>5432.78125</v>
      </c>
      <c r="CN35" s="31">
        <v>5493.8125</v>
      </c>
      <c r="CO35" s="31">
        <v>5554.84375</v>
      </c>
      <c r="CP35" s="31">
        <v>5615.875</v>
      </c>
      <c r="CQ35" s="31">
        <v>5676.90625</v>
      </c>
      <c r="CR35" s="31">
        <v>5737.9375</v>
      </c>
      <c r="CS35" s="31">
        <v>5798.96875</v>
      </c>
      <c r="CT35" s="31">
        <v>5860</v>
      </c>
      <c r="CU35" s="31">
        <v>5921.03125</v>
      </c>
      <c r="CV35" s="31">
        <v>5982.0625</v>
      </c>
      <c r="CW35" s="31">
        <v>6043.09375</v>
      </c>
      <c r="CX35" s="31">
        <v>6104.125</v>
      </c>
      <c r="CY35" s="31">
        <v>6165.15625</v>
      </c>
      <c r="CZ35" s="31">
        <v>6226.1875</v>
      </c>
      <c r="DA35" s="31">
        <v>6287.21875</v>
      </c>
      <c r="DB35" s="31">
        <v>6348.25</v>
      </c>
      <c r="DC35" s="31">
        <v>6409.28125</v>
      </c>
      <c r="DD35" s="31">
        <v>6470.3125</v>
      </c>
      <c r="DE35" s="31">
        <v>6531.34375</v>
      </c>
      <c r="DF35" s="31">
        <v>6592.375</v>
      </c>
      <c r="DG35" s="31">
        <v>6653.40625</v>
      </c>
      <c r="DH35" s="31">
        <v>6714.4375</v>
      </c>
      <c r="DI35" s="31">
        <v>6775.46875</v>
      </c>
      <c r="DJ35" s="31">
        <v>6836.5</v>
      </c>
      <c r="DK35" s="31">
        <v>6897.53125</v>
      </c>
      <c r="DL35" s="31">
        <v>6958.5625</v>
      </c>
      <c r="DM35" s="31">
        <v>7019.59375</v>
      </c>
      <c r="DN35" s="31">
        <v>7080.625</v>
      </c>
      <c r="DO35" s="31">
        <v>7141.65625</v>
      </c>
      <c r="DP35" s="31">
        <v>7202.6875</v>
      </c>
      <c r="DQ35" s="31">
        <v>7263.71875</v>
      </c>
      <c r="DR35" s="31">
        <v>7324.75</v>
      </c>
      <c r="DS35" s="31">
        <v>7385.78125</v>
      </c>
      <c r="DT35" s="31">
        <v>7446.8125</v>
      </c>
      <c r="DU35" s="31">
        <v>7507.84375</v>
      </c>
      <c r="DV35" s="31">
        <v>7568.875</v>
      </c>
      <c r="DW35" s="31">
        <v>7629.90625</v>
      </c>
      <c r="DX35" s="31">
        <v>7690.9375</v>
      </c>
      <c r="DY35" s="31">
        <v>7751.96875</v>
      </c>
    </row>
    <row r="38" spans="1:132">
      <c r="A38" s="31" t="s">
        <v>78</v>
      </c>
      <c r="B38" s="31">
        <v>1</v>
      </c>
      <c r="C38" s="31">
        <v>62.03125</v>
      </c>
      <c r="D38" s="31">
        <v>123.0625</v>
      </c>
      <c r="E38" s="31">
        <v>184.09375</v>
      </c>
      <c r="F38" s="31">
        <v>245.125</v>
      </c>
      <c r="G38" s="31">
        <v>306.15625</v>
      </c>
      <c r="H38" s="31">
        <v>367.1875</v>
      </c>
      <c r="I38" s="31">
        <v>428.21875</v>
      </c>
      <c r="J38" s="31">
        <v>489.25</v>
      </c>
      <c r="K38" s="31">
        <v>550.28125</v>
      </c>
      <c r="L38" s="31">
        <v>611.3125</v>
      </c>
      <c r="M38" s="31">
        <v>672.34375</v>
      </c>
      <c r="N38" s="31">
        <v>733.375</v>
      </c>
      <c r="O38" s="31">
        <v>794.40625</v>
      </c>
      <c r="P38" s="31">
        <v>855.4375</v>
      </c>
      <c r="Q38" s="31">
        <v>916.46875</v>
      </c>
      <c r="R38" s="31">
        <v>977.5</v>
      </c>
      <c r="S38" s="31">
        <v>1038.53125</v>
      </c>
      <c r="T38" s="31">
        <v>1099.5625</v>
      </c>
      <c r="U38" s="31">
        <v>1160.59375</v>
      </c>
      <c r="V38" s="31">
        <v>1221.625</v>
      </c>
      <c r="W38" s="31">
        <v>1282.65625</v>
      </c>
      <c r="X38" s="31">
        <v>1343.6875</v>
      </c>
      <c r="Y38" s="31">
        <v>1404.71875</v>
      </c>
      <c r="Z38" s="31">
        <v>1465.75</v>
      </c>
      <c r="AA38" s="31">
        <v>1526.78125</v>
      </c>
      <c r="AB38" s="31">
        <v>1587.8125</v>
      </c>
      <c r="AC38" s="31">
        <v>1648.84375</v>
      </c>
      <c r="AD38" s="31">
        <v>1709.875</v>
      </c>
      <c r="AE38" s="31">
        <v>1770.90625</v>
      </c>
      <c r="AF38" s="31">
        <v>1831.9375</v>
      </c>
      <c r="AG38" s="31">
        <v>1892.96875</v>
      </c>
      <c r="AH38" s="31">
        <v>1954</v>
      </c>
      <c r="AI38" s="31">
        <v>2015.03125</v>
      </c>
      <c r="AJ38" s="31">
        <v>2076.0625</v>
      </c>
      <c r="AK38" s="31">
        <v>2137.09375</v>
      </c>
      <c r="AL38" s="31">
        <v>2198.125</v>
      </c>
      <c r="AM38" s="31">
        <v>2259.15625</v>
      </c>
      <c r="AN38" s="31">
        <v>2320.1875</v>
      </c>
      <c r="AO38" s="31">
        <v>2381.21875</v>
      </c>
      <c r="AP38" s="31">
        <v>2442.25</v>
      </c>
      <c r="AQ38" s="31">
        <v>2503.28125</v>
      </c>
      <c r="AR38" s="31">
        <v>2564.3125</v>
      </c>
      <c r="AS38" s="31">
        <v>2625.34375</v>
      </c>
      <c r="AT38" s="31">
        <v>2686.375</v>
      </c>
      <c r="AU38" s="31">
        <v>2747.40625</v>
      </c>
      <c r="AV38" s="31">
        <v>2808.4375</v>
      </c>
      <c r="AW38" s="31">
        <v>2869.46875</v>
      </c>
      <c r="AX38" s="31">
        <v>2930.5</v>
      </c>
      <c r="AY38" s="31">
        <v>2991.53125</v>
      </c>
      <c r="AZ38" s="31">
        <v>3052.5625</v>
      </c>
      <c r="BA38" s="31">
        <v>3113.59375</v>
      </c>
      <c r="BB38" s="31">
        <v>3174.625</v>
      </c>
      <c r="BC38" s="31">
        <v>3235.65625</v>
      </c>
      <c r="BD38" s="31">
        <v>3296.6875</v>
      </c>
      <c r="BE38" s="31">
        <v>3357.71875</v>
      </c>
      <c r="BF38" s="31">
        <v>3418.75</v>
      </c>
      <c r="BG38" s="31">
        <v>3479.78125</v>
      </c>
      <c r="BH38" s="31">
        <v>3540.8125</v>
      </c>
      <c r="BI38" s="31">
        <v>3601.84375</v>
      </c>
      <c r="BJ38" s="31">
        <v>3662.875</v>
      </c>
      <c r="BK38" s="31">
        <v>3723.90625</v>
      </c>
      <c r="BL38" s="31">
        <v>3784.9375</v>
      </c>
      <c r="BM38" s="31">
        <v>3845.96875</v>
      </c>
      <c r="BN38" s="31">
        <v>3907</v>
      </c>
      <c r="BO38" s="31">
        <v>3968.03125</v>
      </c>
      <c r="BP38" s="31">
        <v>4029.0625</v>
      </c>
      <c r="BQ38" s="31">
        <v>4090.09375</v>
      </c>
      <c r="BR38" s="31">
        <v>4151.125</v>
      </c>
      <c r="BS38" s="31">
        <v>4212.15625</v>
      </c>
      <c r="BT38" s="31">
        <v>4273.1875</v>
      </c>
      <c r="BU38" s="31">
        <v>4334.21875</v>
      </c>
      <c r="BV38" s="31">
        <v>4395.25</v>
      </c>
      <c r="BW38" s="31">
        <v>4456.28125</v>
      </c>
      <c r="BX38" s="31">
        <v>4517.3125</v>
      </c>
      <c r="BY38" s="31">
        <v>4578.34375</v>
      </c>
      <c r="BZ38" s="31">
        <v>4639.375</v>
      </c>
      <c r="CA38" s="31">
        <v>4700.40625</v>
      </c>
      <c r="CB38" s="31">
        <v>4761.4375</v>
      </c>
      <c r="CC38" s="31">
        <v>4822.46875</v>
      </c>
      <c r="CD38" s="31">
        <v>4883.5</v>
      </c>
      <c r="CE38" s="31">
        <v>4944.53125</v>
      </c>
      <c r="CF38" s="31">
        <v>5005.5625</v>
      </c>
      <c r="CG38" s="31">
        <v>5066.59375</v>
      </c>
      <c r="CH38" s="31">
        <v>5127.625</v>
      </c>
      <c r="CI38" s="31">
        <v>5188.65625</v>
      </c>
      <c r="CJ38" s="31">
        <v>5249.6875</v>
      </c>
      <c r="CK38" s="31">
        <v>5310.71875</v>
      </c>
      <c r="CL38" s="31">
        <v>5371.75</v>
      </c>
      <c r="CM38" s="31">
        <v>5432.78125</v>
      </c>
      <c r="CN38" s="31">
        <v>5493.8125</v>
      </c>
      <c r="CO38" s="31">
        <v>5554.84375</v>
      </c>
      <c r="CP38" s="31">
        <v>5615.875</v>
      </c>
      <c r="CQ38" s="31">
        <v>5676.90625</v>
      </c>
      <c r="CR38" s="31">
        <v>5737.9375</v>
      </c>
      <c r="CS38" s="31">
        <v>5798.96875</v>
      </c>
      <c r="CT38" s="31">
        <v>5860</v>
      </c>
      <c r="CU38" s="31">
        <v>5921.03125</v>
      </c>
      <c r="CV38" s="31">
        <v>5982.0625</v>
      </c>
      <c r="CW38" s="31">
        <v>6043.09375</v>
      </c>
      <c r="CX38" s="31">
        <v>6104.125</v>
      </c>
      <c r="CY38" s="31">
        <v>6165.15625</v>
      </c>
      <c r="CZ38" s="31">
        <v>6226.1875</v>
      </c>
      <c r="DA38" s="31">
        <v>6287.21875</v>
      </c>
      <c r="DB38" s="31">
        <v>6348.25</v>
      </c>
      <c r="DC38" s="31">
        <v>6409.28125</v>
      </c>
      <c r="DD38" s="31">
        <v>6470.3125</v>
      </c>
      <c r="DE38" s="31">
        <v>6531.34375</v>
      </c>
      <c r="DF38" s="31">
        <v>6592.375</v>
      </c>
      <c r="DG38" s="31">
        <v>6653.40625</v>
      </c>
      <c r="DH38" s="31">
        <v>6714.4375</v>
      </c>
      <c r="DI38" s="31">
        <v>6775.46875</v>
      </c>
      <c r="DJ38" s="31">
        <v>6836.5</v>
      </c>
      <c r="DK38" s="31">
        <v>6897.53125</v>
      </c>
      <c r="DL38" s="31">
        <v>6958.5625</v>
      </c>
      <c r="DM38" s="31">
        <v>7019.59375</v>
      </c>
      <c r="DN38" s="31">
        <v>7080.625</v>
      </c>
      <c r="DO38" s="31">
        <v>7141.65625</v>
      </c>
      <c r="DP38" s="31">
        <v>7202.6875</v>
      </c>
      <c r="DQ38" s="31">
        <v>7263.71875</v>
      </c>
      <c r="DR38" s="31">
        <v>7324.75</v>
      </c>
      <c r="DS38" s="31">
        <v>7385.78125</v>
      </c>
      <c r="DT38" s="31">
        <v>7446.8125</v>
      </c>
      <c r="DU38" s="31">
        <v>7507.84375</v>
      </c>
      <c r="DV38" s="31">
        <v>7568.875</v>
      </c>
      <c r="DW38" s="31">
        <v>7629.90625</v>
      </c>
      <c r="DX38" s="31">
        <v>7690.9375</v>
      </c>
      <c r="DY38" s="31">
        <v>7751.96875</v>
      </c>
    </row>
    <row r="39" spans="1:132">
      <c r="A39" s="31" t="s">
        <v>79</v>
      </c>
      <c r="B39" s="31">
        <v>60</v>
      </c>
      <c r="C39" s="31">
        <v>60</v>
      </c>
      <c r="D39" s="31">
        <v>60</v>
      </c>
      <c r="E39" s="31">
        <v>60</v>
      </c>
      <c r="F39" s="31">
        <v>60</v>
      </c>
      <c r="G39" s="31">
        <v>60</v>
      </c>
      <c r="H39" s="31">
        <v>60</v>
      </c>
      <c r="I39" s="31">
        <v>60</v>
      </c>
      <c r="J39" s="31">
        <v>60</v>
      </c>
      <c r="K39" s="31">
        <v>60</v>
      </c>
      <c r="L39" s="31">
        <v>60</v>
      </c>
      <c r="M39" s="31">
        <v>60</v>
      </c>
      <c r="N39" s="31">
        <v>60</v>
      </c>
      <c r="O39" s="31">
        <v>60</v>
      </c>
      <c r="P39" s="31">
        <v>60</v>
      </c>
      <c r="Q39" s="31">
        <v>60</v>
      </c>
      <c r="R39" s="31">
        <v>60</v>
      </c>
      <c r="S39" s="31">
        <v>60</v>
      </c>
      <c r="T39" s="31">
        <v>60</v>
      </c>
      <c r="U39" s="31">
        <v>60</v>
      </c>
      <c r="V39" s="31">
        <v>60</v>
      </c>
      <c r="W39" s="31">
        <v>60</v>
      </c>
      <c r="X39" s="31">
        <v>60</v>
      </c>
      <c r="Y39" s="31">
        <v>60</v>
      </c>
      <c r="Z39" s="31">
        <v>60</v>
      </c>
      <c r="AA39" s="31">
        <v>60</v>
      </c>
      <c r="AB39" s="31">
        <v>60</v>
      </c>
      <c r="AC39" s="31">
        <v>60</v>
      </c>
      <c r="AD39" s="31">
        <v>60</v>
      </c>
      <c r="AE39" s="31">
        <v>60</v>
      </c>
      <c r="AF39" s="31">
        <v>60</v>
      </c>
      <c r="AG39" s="31">
        <v>60</v>
      </c>
      <c r="AH39" s="31">
        <v>60</v>
      </c>
      <c r="AI39" s="31">
        <v>59.954906250000001</v>
      </c>
      <c r="AJ39" s="31">
        <v>59.771812500000003</v>
      </c>
      <c r="AK39" s="31">
        <v>59.588718749999998</v>
      </c>
      <c r="AL39" s="31">
        <v>59.405625000000001</v>
      </c>
      <c r="AM39" s="31">
        <v>59.222531250000003</v>
      </c>
      <c r="AN39" s="31">
        <v>59.039437499999998</v>
      </c>
      <c r="AO39" s="31">
        <v>58.856343750000001</v>
      </c>
      <c r="AP39" s="31">
        <v>58.673250000000003</v>
      </c>
      <c r="AQ39" s="31">
        <v>58.490156249999998</v>
      </c>
      <c r="AR39" s="31">
        <v>58.307062500000001</v>
      </c>
      <c r="AS39" s="31">
        <v>58.123968750000003</v>
      </c>
      <c r="AT39" s="31">
        <v>57.940874999999998</v>
      </c>
      <c r="AU39" s="31">
        <v>57.757781250000001</v>
      </c>
      <c r="AV39" s="31">
        <v>57.574687500000003</v>
      </c>
      <c r="AW39" s="31">
        <v>57.391593749999998</v>
      </c>
      <c r="AX39" s="31">
        <v>57.208500000000001</v>
      </c>
      <c r="AY39" s="31">
        <v>57.025406250000003</v>
      </c>
      <c r="AZ39" s="31">
        <v>57</v>
      </c>
      <c r="BA39" s="31">
        <v>57</v>
      </c>
      <c r="BB39" s="31">
        <v>57</v>
      </c>
      <c r="BC39" s="31">
        <v>57</v>
      </c>
      <c r="BD39" s="31">
        <v>57</v>
      </c>
      <c r="BE39" s="31">
        <v>57</v>
      </c>
      <c r="BF39" s="31">
        <v>57</v>
      </c>
      <c r="BG39" s="31">
        <v>57</v>
      </c>
      <c r="BH39" s="31">
        <v>57</v>
      </c>
      <c r="BI39" s="31">
        <v>57</v>
      </c>
      <c r="BJ39" s="31">
        <v>57</v>
      </c>
      <c r="BK39" s="31">
        <v>57</v>
      </c>
      <c r="BL39" s="31">
        <v>57</v>
      </c>
      <c r="BM39" s="31">
        <v>57</v>
      </c>
      <c r="BN39" s="31">
        <v>57</v>
      </c>
      <c r="BO39" s="31">
        <v>57</v>
      </c>
      <c r="BP39" s="31">
        <v>57</v>
      </c>
      <c r="BQ39" s="31">
        <v>57</v>
      </c>
      <c r="BR39" s="31">
        <v>57</v>
      </c>
      <c r="BS39" s="31">
        <v>57</v>
      </c>
      <c r="BT39" s="31">
        <v>57</v>
      </c>
      <c r="BU39" s="31">
        <v>57</v>
      </c>
      <c r="BV39" s="31">
        <v>57</v>
      </c>
      <c r="BW39" s="31">
        <v>57</v>
      </c>
      <c r="BX39" s="31">
        <v>57</v>
      </c>
      <c r="BY39" s="31">
        <v>57</v>
      </c>
      <c r="BZ39" s="31">
        <v>57</v>
      </c>
      <c r="CA39" s="31">
        <v>57</v>
      </c>
      <c r="CB39" s="31">
        <v>57</v>
      </c>
      <c r="CC39" s="31">
        <v>57</v>
      </c>
      <c r="CD39" s="31">
        <v>57</v>
      </c>
      <c r="CE39" s="31">
        <v>57</v>
      </c>
      <c r="CF39" s="31">
        <v>57</v>
      </c>
      <c r="CG39" s="31">
        <v>57</v>
      </c>
      <c r="CH39" s="31">
        <v>57</v>
      </c>
      <c r="CI39" s="31">
        <v>57</v>
      </c>
      <c r="CJ39" s="31">
        <v>57</v>
      </c>
      <c r="CK39" s="31">
        <v>57</v>
      </c>
      <c r="CL39" s="31">
        <v>57</v>
      </c>
      <c r="CM39" s="31">
        <v>57</v>
      </c>
      <c r="CN39" s="31">
        <v>57</v>
      </c>
      <c r="CO39" s="31">
        <v>57</v>
      </c>
      <c r="CP39" s="31">
        <v>57</v>
      </c>
      <c r="CQ39" s="31">
        <v>57</v>
      </c>
      <c r="CR39" s="31">
        <v>57</v>
      </c>
      <c r="CS39" s="31">
        <v>57</v>
      </c>
      <c r="CT39" s="31">
        <v>57</v>
      </c>
      <c r="CU39" s="31">
        <v>57</v>
      </c>
      <c r="CV39" s="31">
        <v>57</v>
      </c>
      <c r="CW39" s="31">
        <v>57</v>
      </c>
      <c r="CX39" s="31">
        <v>57</v>
      </c>
      <c r="CY39" s="31">
        <v>57</v>
      </c>
      <c r="CZ39" s="31">
        <v>57</v>
      </c>
      <c r="DA39" s="31">
        <v>57</v>
      </c>
      <c r="DB39" s="31">
        <v>57</v>
      </c>
      <c r="DC39" s="31">
        <v>57</v>
      </c>
      <c r="DD39" s="31">
        <v>57</v>
      </c>
      <c r="DE39" s="31">
        <v>57</v>
      </c>
      <c r="DF39" s="31">
        <v>57</v>
      </c>
      <c r="DG39" s="31">
        <v>57</v>
      </c>
      <c r="DH39" s="31">
        <v>57</v>
      </c>
      <c r="DI39" s="31">
        <v>57</v>
      </c>
      <c r="DJ39" s="31">
        <v>57</v>
      </c>
      <c r="DK39" s="31">
        <v>57</v>
      </c>
      <c r="DL39" s="31">
        <v>57</v>
      </c>
      <c r="DM39" s="31">
        <v>57</v>
      </c>
      <c r="DN39" s="31">
        <v>57</v>
      </c>
      <c r="DO39" s="31">
        <v>57</v>
      </c>
      <c r="DP39" s="31">
        <v>57</v>
      </c>
      <c r="DQ39" s="31">
        <v>57</v>
      </c>
      <c r="DR39" s="31">
        <v>57</v>
      </c>
      <c r="DS39" s="31">
        <v>57</v>
      </c>
      <c r="DT39" s="31">
        <v>57</v>
      </c>
      <c r="DU39" s="31">
        <v>57</v>
      </c>
      <c r="DV39" s="31">
        <v>57</v>
      </c>
      <c r="DW39" s="31">
        <v>57</v>
      </c>
      <c r="DX39" s="31">
        <v>57</v>
      </c>
      <c r="DY39" s="31">
        <v>57</v>
      </c>
    </row>
    <row r="40" spans="1:132">
      <c r="A40" s="31" t="s">
        <v>64</v>
      </c>
      <c r="B40" s="31">
        <v>-10</v>
      </c>
      <c r="C40" s="31">
        <v>-10</v>
      </c>
      <c r="D40" s="31">
        <v>-10</v>
      </c>
      <c r="E40" s="31">
        <v>-10</v>
      </c>
      <c r="F40" s="31">
        <v>-10</v>
      </c>
      <c r="G40" s="31">
        <v>-10</v>
      </c>
      <c r="H40" s="31">
        <v>-10</v>
      </c>
      <c r="I40" s="31">
        <v>-10</v>
      </c>
      <c r="J40" s="31">
        <v>-10</v>
      </c>
      <c r="K40" s="31">
        <v>-10</v>
      </c>
      <c r="L40" s="31">
        <v>-10</v>
      </c>
      <c r="M40" s="31">
        <v>-10</v>
      </c>
      <c r="N40" s="31">
        <v>-10</v>
      </c>
      <c r="O40" s="31">
        <v>-10</v>
      </c>
      <c r="P40" s="31">
        <v>-10</v>
      </c>
      <c r="Q40" s="31">
        <v>-10</v>
      </c>
      <c r="R40" s="31">
        <v>-10</v>
      </c>
      <c r="S40" s="31">
        <v>-10</v>
      </c>
      <c r="T40" s="31">
        <v>-10</v>
      </c>
      <c r="U40" s="31">
        <v>-10</v>
      </c>
      <c r="V40" s="31">
        <v>-10</v>
      </c>
      <c r="W40" s="31">
        <v>-10</v>
      </c>
      <c r="X40" s="31">
        <v>-10</v>
      </c>
      <c r="Y40" s="31">
        <v>-10</v>
      </c>
      <c r="Z40" s="31">
        <v>-10</v>
      </c>
      <c r="AA40" s="31">
        <v>-10</v>
      </c>
      <c r="AB40" s="31">
        <v>-10</v>
      </c>
      <c r="AC40" s="31">
        <v>-10</v>
      </c>
      <c r="AD40" s="31">
        <v>-10</v>
      </c>
      <c r="AE40" s="31">
        <v>-10</v>
      </c>
      <c r="AF40" s="31">
        <v>-10</v>
      </c>
      <c r="AG40" s="31">
        <v>-10</v>
      </c>
      <c r="AH40" s="31">
        <v>-10</v>
      </c>
      <c r="AI40" s="31">
        <v>-10</v>
      </c>
      <c r="AJ40" s="31">
        <v>-10</v>
      </c>
      <c r="AK40" s="31">
        <v>-10</v>
      </c>
      <c r="AL40" s="31">
        <v>-10</v>
      </c>
      <c r="AM40" s="31">
        <v>-10</v>
      </c>
      <c r="AN40" s="31">
        <v>-10</v>
      </c>
      <c r="AO40" s="31">
        <v>-10</v>
      </c>
      <c r="AP40" s="31">
        <v>-10</v>
      </c>
      <c r="AQ40" s="31">
        <v>-10</v>
      </c>
      <c r="AR40" s="31">
        <v>-10</v>
      </c>
      <c r="AS40" s="31">
        <v>-10</v>
      </c>
      <c r="AT40" s="31">
        <v>-10</v>
      </c>
      <c r="AU40" s="31">
        <v>-10</v>
      </c>
      <c r="AV40" s="31">
        <v>-10</v>
      </c>
      <c r="AW40" s="31">
        <v>-10</v>
      </c>
      <c r="AX40" s="31">
        <v>-10</v>
      </c>
      <c r="AY40" s="31">
        <v>-10</v>
      </c>
      <c r="AZ40" s="31">
        <v>-10</v>
      </c>
      <c r="BA40" s="31">
        <v>-10</v>
      </c>
      <c r="BB40" s="31">
        <v>-10</v>
      </c>
      <c r="BC40" s="31">
        <v>-10</v>
      </c>
      <c r="BD40" s="31">
        <v>-10</v>
      </c>
      <c r="BE40" s="31">
        <v>-10</v>
      </c>
      <c r="BF40" s="31">
        <v>-10</v>
      </c>
      <c r="BG40" s="31">
        <v>-10</v>
      </c>
      <c r="BH40" s="31">
        <v>-10</v>
      </c>
      <c r="BI40" s="31">
        <v>-10</v>
      </c>
      <c r="BJ40" s="31">
        <v>-10</v>
      </c>
      <c r="BK40" s="31">
        <v>-10</v>
      </c>
      <c r="BL40" s="31">
        <v>-10</v>
      </c>
      <c r="BM40" s="31">
        <v>-10</v>
      </c>
      <c r="BN40" s="31">
        <v>-10</v>
      </c>
      <c r="BO40" s="31">
        <v>-10</v>
      </c>
      <c r="BP40" s="31">
        <v>-10</v>
      </c>
      <c r="BQ40" s="31">
        <v>-10</v>
      </c>
      <c r="BR40" s="31">
        <v>-10</v>
      </c>
      <c r="BS40" s="31">
        <v>-10</v>
      </c>
      <c r="BT40" s="31">
        <v>-10</v>
      </c>
      <c r="BU40" s="31">
        <v>-10</v>
      </c>
      <c r="BV40" s="31">
        <v>-10</v>
      </c>
      <c r="BW40" s="31">
        <v>-10</v>
      </c>
      <c r="BX40" s="31">
        <v>-10</v>
      </c>
      <c r="BY40" s="31">
        <v>-10</v>
      </c>
      <c r="BZ40" s="31">
        <v>-10</v>
      </c>
      <c r="CA40" s="31">
        <v>-10</v>
      </c>
      <c r="CB40" s="31">
        <v>-10</v>
      </c>
      <c r="CC40" s="31">
        <v>-10</v>
      </c>
      <c r="CD40" s="31">
        <v>-10</v>
      </c>
      <c r="CE40" s="31">
        <v>-10</v>
      </c>
      <c r="CF40" s="31">
        <v>-10</v>
      </c>
      <c r="CG40" s="31">
        <v>-10</v>
      </c>
      <c r="CH40" s="31">
        <v>-10</v>
      </c>
      <c r="CI40" s="31">
        <v>-10</v>
      </c>
      <c r="CJ40" s="31">
        <v>-10</v>
      </c>
      <c r="CK40" s="31">
        <v>-10</v>
      </c>
      <c r="CL40" s="31">
        <v>-10</v>
      </c>
      <c r="CM40" s="31">
        <v>-10</v>
      </c>
      <c r="CN40" s="31">
        <v>-10</v>
      </c>
      <c r="CO40" s="31">
        <v>-10</v>
      </c>
      <c r="CP40" s="31">
        <v>-10</v>
      </c>
      <c r="CQ40" s="31">
        <v>-10</v>
      </c>
      <c r="CR40" s="31">
        <v>-10</v>
      </c>
      <c r="CS40" s="31">
        <v>-10</v>
      </c>
      <c r="CT40" s="31">
        <v>-10</v>
      </c>
      <c r="CU40" s="31">
        <v>-10</v>
      </c>
      <c r="CV40" s="31">
        <v>-10</v>
      </c>
      <c r="CW40" s="31">
        <v>-10</v>
      </c>
      <c r="CX40" s="31">
        <v>-10</v>
      </c>
      <c r="CY40" s="31">
        <v>-10</v>
      </c>
      <c r="CZ40" s="31">
        <v>-10</v>
      </c>
      <c r="DA40" s="31">
        <v>-10</v>
      </c>
      <c r="DB40" s="31">
        <v>-10</v>
      </c>
      <c r="DC40" s="31">
        <v>-10</v>
      </c>
      <c r="DD40" s="31">
        <v>-10</v>
      </c>
      <c r="DE40" s="31">
        <v>-10</v>
      </c>
      <c r="DF40" s="31">
        <v>-10</v>
      </c>
      <c r="DG40" s="31">
        <v>-10</v>
      </c>
      <c r="DH40" s="31">
        <v>-10</v>
      </c>
      <c r="DI40" s="31">
        <v>-10</v>
      </c>
      <c r="DJ40" s="31">
        <v>-10</v>
      </c>
      <c r="DK40" s="31">
        <v>-10</v>
      </c>
      <c r="DL40" s="31">
        <v>-10</v>
      </c>
      <c r="DM40" s="31">
        <v>-10</v>
      </c>
      <c r="DN40" s="31">
        <v>-10</v>
      </c>
      <c r="DO40" s="31">
        <v>-10</v>
      </c>
      <c r="DP40" s="31">
        <v>-10</v>
      </c>
      <c r="DQ40" s="31">
        <v>-10</v>
      </c>
      <c r="DR40" s="31">
        <v>-10</v>
      </c>
      <c r="DS40" s="31">
        <v>-10</v>
      </c>
      <c r="DT40" s="31">
        <v>-10</v>
      </c>
      <c r="DU40" s="31">
        <v>-10</v>
      </c>
      <c r="DV40" s="31">
        <v>-10</v>
      </c>
      <c r="DW40" s="31">
        <v>-10</v>
      </c>
      <c r="DX40" s="31">
        <v>-10</v>
      </c>
      <c r="DY40" s="31">
        <v>-10</v>
      </c>
    </row>
    <row r="42" spans="1:132">
      <c r="A42" s="93" t="s">
        <v>80</v>
      </c>
    </row>
    <row r="43" spans="1:132">
      <c r="A43" s="31" t="s">
        <v>78</v>
      </c>
      <c r="B43" s="31">
        <v>1</v>
      </c>
      <c r="C43" s="31">
        <v>62.03125</v>
      </c>
      <c r="D43" s="31">
        <v>123.0625</v>
      </c>
      <c r="E43" s="31">
        <v>184.09375</v>
      </c>
      <c r="F43" s="31">
        <v>245.125</v>
      </c>
      <c r="G43" s="31">
        <v>306.15625</v>
      </c>
      <c r="H43" s="31">
        <v>367.1875</v>
      </c>
      <c r="I43" s="31">
        <v>428.21875</v>
      </c>
      <c r="J43" s="31">
        <v>489.25</v>
      </c>
      <c r="K43" s="31">
        <v>550.28125</v>
      </c>
      <c r="L43" s="31">
        <v>611.3125</v>
      </c>
      <c r="M43" s="31">
        <v>672.34375</v>
      </c>
      <c r="N43" s="31">
        <v>733.375</v>
      </c>
      <c r="O43" s="31">
        <v>794.40625</v>
      </c>
      <c r="P43" s="31">
        <v>855.4375</v>
      </c>
      <c r="Q43" s="31">
        <v>916.46875</v>
      </c>
      <c r="R43" s="31">
        <v>977.5</v>
      </c>
      <c r="S43" s="31">
        <v>1038.53125</v>
      </c>
      <c r="T43" s="31">
        <v>1099.5625</v>
      </c>
      <c r="U43" s="31">
        <v>1160.59375</v>
      </c>
      <c r="V43" s="31">
        <v>1221.625</v>
      </c>
      <c r="W43" s="31">
        <v>1282.65625</v>
      </c>
      <c r="X43" s="31">
        <v>1343.6875</v>
      </c>
      <c r="Y43" s="31">
        <v>1404.71875</v>
      </c>
      <c r="Z43" s="31">
        <v>1465.75</v>
      </c>
      <c r="AA43" s="31">
        <v>1526.78125</v>
      </c>
      <c r="AB43" s="31">
        <v>1587.8125</v>
      </c>
      <c r="AC43" s="31">
        <v>1648.84375</v>
      </c>
      <c r="AD43" s="31">
        <v>1709.875</v>
      </c>
      <c r="AE43" s="31">
        <v>1770.90625</v>
      </c>
      <c r="AF43" s="31">
        <v>1831.9375</v>
      </c>
      <c r="AG43" s="31">
        <v>1892.96875</v>
      </c>
      <c r="AH43" s="31">
        <v>1954</v>
      </c>
      <c r="AI43" s="31">
        <v>2015.03125</v>
      </c>
      <c r="AJ43" s="31">
        <v>2076.0625</v>
      </c>
      <c r="AK43" s="31">
        <v>2137.09375</v>
      </c>
      <c r="AL43" s="31">
        <v>2198.125</v>
      </c>
      <c r="AM43" s="31">
        <v>2259.15625</v>
      </c>
      <c r="AN43" s="31">
        <v>2320.1875</v>
      </c>
      <c r="AO43" s="31">
        <v>2381.21875</v>
      </c>
      <c r="AP43" s="31">
        <v>2442.25</v>
      </c>
      <c r="AQ43" s="31">
        <v>2503.28125</v>
      </c>
      <c r="AR43" s="31">
        <v>2564.3125</v>
      </c>
      <c r="AS43" s="31">
        <v>2625.34375</v>
      </c>
      <c r="AT43" s="31">
        <v>2686.375</v>
      </c>
      <c r="AU43" s="31">
        <v>2747.40625</v>
      </c>
      <c r="AV43" s="31">
        <v>2808.4375</v>
      </c>
      <c r="AW43" s="31">
        <v>2869.46875</v>
      </c>
      <c r="AX43" s="31">
        <v>2930.5</v>
      </c>
      <c r="AY43" s="31">
        <v>2991.53125</v>
      </c>
      <c r="AZ43" s="31">
        <v>3052.5625</v>
      </c>
      <c r="BA43" s="31">
        <v>3113.59375</v>
      </c>
      <c r="BB43" s="31">
        <v>3174.625</v>
      </c>
      <c r="BC43" s="31">
        <v>3235.65625</v>
      </c>
      <c r="BD43" s="31">
        <v>3296.6875</v>
      </c>
      <c r="BE43" s="31">
        <v>3357.71875</v>
      </c>
      <c r="BF43" s="31">
        <v>3418.75</v>
      </c>
      <c r="BG43" s="31">
        <v>3479.78125</v>
      </c>
      <c r="BH43" s="31">
        <v>3540.8125</v>
      </c>
      <c r="BI43" s="31">
        <v>3601.84375</v>
      </c>
      <c r="BJ43" s="31">
        <v>3662.875</v>
      </c>
      <c r="BK43" s="31">
        <v>3723.90625</v>
      </c>
      <c r="BL43" s="31">
        <v>3784.9375</v>
      </c>
      <c r="BM43" s="31">
        <v>3845.96875</v>
      </c>
      <c r="BN43" s="31">
        <v>3907</v>
      </c>
      <c r="BO43" s="31">
        <v>3968.03125</v>
      </c>
      <c r="BP43" s="31">
        <v>4029.0625</v>
      </c>
      <c r="BQ43" s="31">
        <v>4090.09375</v>
      </c>
      <c r="BR43" s="31">
        <v>4151.125</v>
      </c>
      <c r="BS43" s="31">
        <v>4212.15625</v>
      </c>
      <c r="BT43" s="31">
        <v>4273.1875</v>
      </c>
      <c r="BU43" s="31">
        <v>4334.21875</v>
      </c>
      <c r="BV43" s="31">
        <v>4395.25</v>
      </c>
      <c r="BW43" s="31">
        <v>4456.28125</v>
      </c>
      <c r="BX43" s="31">
        <v>4517.3125</v>
      </c>
      <c r="BY43" s="31">
        <v>4578.34375</v>
      </c>
      <c r="BZ43" s="31">
        <v>4639.375</v>
      </c>
      <c r="CA43" s="31">
        <v>4700.40625</v>
      </c>
      <c r="CB43" s="31">
        <v>4761.4375</v>
      </c>
      <c r="CC43" s="31">
        <v>4822.46875</v>
      </c>
      <c r="CD43" s="31">
        <v>4883.5</v>
      </c>
      <c r="CE43" s="31">
        <v>4944.53125</v>
      </c>
      <c r="CF43" s="31">
        <v>5005.5625</v>
      </c>
      <c r="CG43" s="31">
        <v>5066.59375</v>
      </c>
      <c r="CH43" s="31">
        <v>5127.625</v>
      </c>
      <c r="CI43" s="31">
        <v>5188.65625</v>
      </c>
      <c r="CJ43" s="31">
        <v>5249.6875</v>
      </c>
      <c r="CK43" s="31">
        <v>5310.71875</v>
      </c>
      <c r="CL43" s="31">
        <v>5371.75</v>
      </c>
      <c r="CM43" s="31">
        <v>5432.78125</v>
      </c>
      <c r="CN43" s="31">
        <v>5493.8125</v>
      </c>
      <c r="CO43" s="31">
        <v>5554.84375</v>
      </c>
      <c r="CP43" s="31">
        <v>5615.875</v>
      </c>
      <c r="CQ43" s="31">
        <v>5676.90625</v>
      </c>
      <c r="CR43" s="31">
        <v>5737.9375</v>
      </c>
      <c r="CS43" s="31">
        <v>5798.96875</v>
      </c>
      <c r="CT43" s="31">
        <v>5860</v>
      </c>
      <c r="CU43" s="31">
        <v>5921.03125</v>
      </c>
      <c r="CV43" s="31">
        <v>5982.0625</v>
      </c>
      <c r="CW43" s="31">
        <v>6043.09375</v>
      </c>
      <c r="CX43" s="31">
        <v>6104.125</v>
      </c>
      <c r="CY43" s="31">
        <v>6165.15625</v>
      </c>
      <c r="CZ43" s="31">
        <v>6226.1875</v>
      </c>
      <c r="DA43" s="31">
        <v>6287.21875</v>
      </c>
      <c r="DB43" s="31">
        <v>6348.25</v>
      </c>
      <c r="DC43" s="31">
        <v>6409.28125</v>
      </c>
      <c r="DD43" s="31">
        <v>6470.3125</v>
      </c>
      <c r="DE43" s="31">
        <v>6531.34375</v>
      </c>
      <c r="DF43" s="31">
        <v>6592.375</v>
      </c>
      <c r="DG43" s="31">
        <v>6653.40625</v>
      </c>
      <c r="DH43" s="31">
        <v>6714.4375</v>
      </c>
      <c r="DI43" s="31">
        <v>6775.46875</v>
      </c>
      <c r="DJ43" s="31">
        <v>6836.5</v>
      </c>
      <c r="DK43" s="31">
        <v>6897.53125</v>
      </c>
      <c r="DL43" s="31">
        <v>6958.5625</v>
      </c>
      <c r="DM43" s="31">
        <v>7019.59375</v>
      </c>
      <c r="DN43" s="31">
        <v>7080.625</v>
      </c>
      <c r="DO43" s="31">
        <v>7141.65625</v>
      </c>
      <c r="DP43" s="31">
        <v>7202.6875</v>
      </c>
      <c r="DQ43" s="31">
        <v>7263.71875</v>
      </c>
      <c r="DR43" s="31">
        <v>7324.75</v>
      </c>
      <c r="DS43" s="31">
        <v>7385.78125</v>
      </c>
      <c r="DT43" s="31">
        <v>7446.8125</v>
      </c>
      <c r="DU43" s="31">
        <v>7507.84375</v>
      </c>
      <c r="DV43" s="31">
        <v>7568.875</v>
      </c>
      <c r="DW43" s="31">
        <v>7629.90625</v>
      </c>
      <c r="DX43" s="31">
        <v>7690.9375</v>
      </c>
      <c r="DY43" s="31">
        <v>7751.96875</v>
      </c>
      <c r="EA43" s="31" t="s">
        <v>81</v>
      </c>
    </row>
    <row r="44" spans="1:132">
      <c r="A44" s="31" t="s">
        <v>85</v>
      </c>
      <c r="B44" s="31">
        <v>-344.89500177407899</v>
      </c>
      <c r="C44" s="31">
        <v>-36.714663109504698</v>
      </c>
      <c r="D44" s="31">
        <v>-39.830669577592104</v>
      </c>
      <c r="E44" s="31">
        <v>-43.541505135507904</v>
      </c>
      <c r="F44" s="31">
        <v>-47.574674684815605</v>
      </c>
      <c r="G44" s="31">
        <v>-42.497237984757504</v>
      </c>
      <c r="H44" s="31">
        <v>-43.109598133128898</v>
      </c>
      <c r="I44" s="31">
        <v>-39.007791827262693</v>
      </c>
      <c r="J44" s="31">
        <v>-37.428891705731701</v>
      </c>
      <c r="K44" s="31">
        <v>-37.561906501605876</v>
      </c>
      <c r="L44" s="31">
        <v>-37.313789019568858</v>
      </c>
      <c r="M44" s="31">
        <v>-33.273734048375204</v>
      </c>
      <c r="N44" s="31">
        <v>-31.715226399683729</v>
      </c>
      <c r="O44" s="31">
        <v>-30.855837498737387</v>
      </c>
      <c r="P44" s="31">
        <v>-30.021594435964829</v>
      </c>
      <c r="Q44" s="31">
        <v>-28.851859965929549</v>
      </c>
      <c r="R44" s="31">
        <v>-29.036236885657985</v>
      </c>
      <c r="S44" s="31">
        <v>-29.727735324974617</v>
      </c>
      <c r="T44" s="31">
        <v>-29.830979058726101</v>
      </c>
      <c r="U44" s="31">
        <v>-29.285009399560394</v>
      </c>
      <c r="V44" s="31">
        <v>-29.681362449271205</v>
      </c>
      <c r="W44" s="31">
        <v>-30.2744597537624</v>
      </c>
      <c r="X44" s="31">
        <v>-31.312085511180015</v>
      </c>
      <c r="Y44" s="31">
        <v>-30.953321553948058</v>
      </c>
      <c r="Z44" s="31">
        <v>-31.31449057761688</v>
      </c>
      <c r="AA44" s="31">
        <v>-31.653044752276216</v>
      </c>
      <c r="AB44" s="31">
        <v>-33.160771534678233</v>
      </c>
      <c r="AC44" s="31">
        <v>-35.056401166329749</v>
      </c>
      <c r="AD44" s="31">
        <v>-36.77059332420508</v>
      </c>
      <c r="AE44" s="31">
        <v>-42.23792445824111</v>
      </c>
      <c r="AF44" s="31">
        <v>-33.83091021884816</v>
      </c>
      <c r="AG44" s="31">
        <v>-26.569856595326812</v>
      </c>
      <c r="AH44" s="31">
        <v>-24.261637609755354</v>
      </c>
      <c r="AI44" s="31">
        <v>-23.032593343630957</v>
      </c>
      <c r="AJ44" s="31">
        <v>-22.932170647013145</v>
      </c>
      <c r="AK44" s="31">
        <v>-23.909588567445439</v>
      </c>
      <c r="AL44" s="31">
        <v>-22.820560941695433</v>
      </c>
      <c r="AM44" s="31">
        <v>-22.202681771119728</v>
      </c>
      <c r="AN44" s="31">
        <v>-19.802518144846452</v>
      </c>
      <c r="AO44" s="31">
        <v>-17.003540170953066</v>
      </c>
      <c r="AP44" s="31">
        <v>-13.604730203137464</v>
      </c>
      <c r="AQ44" s="31">
        <v>-10.229494729525982</v>
      </c>
      <c r="AR44" s="31">
        <v>-8.3021125209915922</v>
      </c>
      <c r="AS44" s="31">
        <v>-10.738334723044204</v>
      </c>
      <c r="AT44" s="31">
        <v>-14.758889589185323</v>
      </c>
      <c r="AU44" s="31">
        <v>-16.167711796901024</v>
      </c>
      <c r="AV44" s="31">
        <v>-15.888366426013938</v>
      </c>
      <c r="AW44" s="31">
        <v>-16.296699909486804</v>
      </c>
      <c r="AX44" s="31">
        <v>-17.471132287883762</v>
      </c>
      <c r="AY44" s="31">
        <v>-18.83561416069503</v>
      </c>
      <c r="AZ44" s="31">
        <v>-20.270656448938297</v>
      </c>
      <c r="BA44" s="31">
        <v>-21.071308425137147</v>
      </c>
      <c r="BB44" s="31">
        <v>-20.26195833283812</v>
      </c>
      <c r="BC44" s="31">
        <v>-18.726668262048776</v>
      </c>
      <c r="BD44" s="31">
        <v>-17.257532362498239</v>
      </c>
      <c r="BE44" s="31">
        <v>-14.77295005060531</v>
      </c>
      <c r="BF44" s="31">
        <v>-12.896243100186119</v>
      </c>
      <c r="BG44" s="31">
        <v>-10.745548366146799</v>
      </c>
      <c r="BH44" s="31">
        <v>-8.7777460932789708</v>
      </c>
      <c r="BI44" s="31">
        <v>-6.7951858515713397</v>
      </c>
      <c r="BJ44" s="31">
        <v>-5.0556542908291107</v>
      </c>
      <c r="BK44" s="31">
        <v>-3.4521633604777904</v>
      </c>
      <c r="BL44" s="31">
        <v>-1.9611065184163579</v>
      </c>
      <c r="BM44" s="31">
        <v>-0.72362861087643182</v>
      </c>
      <c r="BN44" s="31">
        <v>0.17325036789319626</v>
      </c>
      <c r="BO44" s="31">
        <v>0.60222076812272007</v>
      </c>
      <c r="BP44" s="31">
        <v>0.55369526982904915</v>
      </c>
      <c r="BQ44" s="31">
        <v>0.24994082532557371</v>
      </c>
      <c r="BR44" s="31">
        <v>-0.63062373938308269</v>
      </c>
      <c r="BS44" s="31">
        <v>-1.3262241016334428</v>
      </c>
      <c r="BT44" s="31">
        <v>-0.54408250372339495</v>
      </c>
      <c r="BU44" s="31">
        <v>-0.83369898373565832</v>
      </c>
      <c r="BV44" s="31">
        <v>-1.7064066070100239</v>
      </c>
      <c r="BW44" s="31">
        <v>-3.7414313770246821</v>
      </c>
      <c r="BX44" s="31">
        <v>-7.3593763127455389</v>
      </c>
      <c r="BY44" s="31">
        <v>-4.1504278622564996</v>
      </c>
      <c r="BZ44" s="31">
        <v>-5.2693710503037607</v>
      </c>
      <c r="CA44" s="31">
        <v>-6.1705593029298171</v>
      </c>
      <c r="CB44" s="31">
        <v>-5.1856309217786816</v>
      </c>
      <c r="CC44" s="31">
        <v>-5.8253800506134397</v>
      </c>
      <c r="CD44" s="31">
        <v>-6.3167684443278063</v>
      </c>
      <c r="CE44" s="31">
        <v>-6.1146712492633597</v>
      </c>
      <c r="CF44" s="31">
        <v>-4.6919189627962226</v>
      </c>
      <c r="CG44" s="31">
        <v>-3.13111661001318</v>
      </c>
      <c r="CH44" s="31">
        <v>-2.8260476498782481</v>
      </c>
      <c r="CI44" s="31">
        <v>-4.2548563923796578</v>
      </c>
      <c r="CJ44" s="31">
        <v>-7.3626860030445798</v>
      </c>
      <c r="CK44" s="31">
        <v>-6.618189525389802</v>
      </c>
      <c r="CL44" s="31">
        <v>-5.8350477348913188</v>
      </c>
      <c r="CM44" s="31">
        <v>-7.1756110079596453</v>
      </c>
      <c r="CN44" s="31">
        <v>-5.622784081593764</v>
      </c>
      <c r="CO44" s="31">
        <v>-5.2685460986607779</v>
      </c>
      <c r="CP44" s="31">
        <v>-5.8707413845784018</v>
      </c>
      <c r="CQ44" s="31">
        <v>-6.7193086779346203</v>
      </c>
      <c r="CR44" s="31">
        <v>-6.5864192238440395</v>
      </c>
      <c r="CS44" s="31">
        <v>-5.6928100254350582</v>
      </c>
      <c r="CT44" s="31">
        <v>-5.7523407060875797</v>
      </c>
      <c r="CU44" s="31">
        <v>-5.7569204444184976</v>
      </c>
      <c r="CV44" s="31">
        <v>-5.6053889941065123</v>
      </c>
      <c r="CW44" s="31">
        <v>-5.4910536756418367</v>
      </c>
      <c r="CX44" s="31">
        <v>-5.3788747757290523</v>
      </c>
      <c r="CY44" s="31">
        <v>-5.4209088094732749</v>
      </c>
      <c r="CZ44" s="31">
        <v>-5.4054289714599904</v>
      </c>
      <c r="DA44" s="31">
        <v>-5.1514567702545122</v>
      </c>
      <c r="DB44" s="31">
        <v>-5.1524337798793312</v>
      </c>
      <c r="DC44" s="31">
        <v>-5.1157145318076971</v>
      </c>
      <c r="DD44" s="31">
        <v>-5.2932080690022971</v>
      </c>
      <c r="DE44" s="31">
        <v>-5.3581739831642992</v>
      </c>
      <c r="DF44" s="31">
        <v>-5.4203354574827003</v>
      </c>
      <c r="DG44" s="31">
        <v>-5.5006839667583023</v>
      </c>
      <c r="DH44" s="31">
        <v>-5.6023226412071025</v>
      </c>
      <c r="DI44" s="31">
        <v>-5.6624376084763028</v>
      </c>
      <c r="DJ44" s="31">
        <v>-5.5516914897908975</v>
      </c>
      <c r="DK44" s="31">
        <v>-5.4148252086461994</v>
      </c>
      <c r="DL44" s="31">
        <v>-5.0719247905928029</v>
      </c>
      <c r="DM44" s="31">
        <v>-4.8152850068328021</v>
      </c>
      <c r="DN44" s="31">
        <v>-4.0903993926297986</v>
      </c>
      <c r="DO44" s="31">
        <v>-3.2702426443020016</v>
      </c>
      <c r="DP44" s="31">
        <v>-2.3849149477343019</v>
      </c>
      <c r="DQ44" s="31">
        <v>-1.9194562780068978</v>
      </c>
      <c r="DR44" s="31">
        <v>-3.0355354073261012</v>
      </c>
      <c r="DS44" s="31">
        <v>-5.5005534173596971</v>
      </c>
      <c r="DT44" s="31">
        <v>-8.8661462551691983</v>
      </c>
      <c r="DU44" s="31">
        <v>-11.712681630582701</v>
      </c>
      <c r="DV44" s="31">
        <v>-14.399832977053102</v>
      </c>
      <c r="DW44" s="31">
        <v>-14.019968533962299</v>
      </c>
      <c r="DX44" s="31">
        <v>-16.498543624326402</v>
      </c>
      <c r="DY44" s="31">
        <v>-21.633115546449005</v>
      </c>
      <c r="EA44" s="31">
        <f>MAX(B44:DY44)</f>
        <v>0.60222076812272007</v>
      </c>
      <c r="EB44" s="31">
        <f>MAX(EA44)</f>
        <v>0.60222076812272007</v>
      </c>
    </row>
    <row r="45" spans="1:132">
      <c r="A45" s="31" t="s">
        <v>86</v>
      </c>
      <c r="B45" s="31">
        <v>-338.39676628047999</v>
      </c>
      <c r="C45" s="31">
        <v>-47.398486110837496</v>
      </c>
      <c r="D45" s="31">
        <v>-53.219158794778807</v>
      </c>
      <c r="E45" s="31">
        <v>-40.476690185185902</v>
      </c>
      <c r="F45" s="31">
        <v>-43.209558207486097</v>
      </c>
      <c r="G45" s="31">
        <v>-50.668877660328405</v>
      </c>
      <c r="H45" s="31">
        <v>-45.061241022259907</v>
      </c>
      <c r="I45" s="31">
        <v>-46.724313190870205</v>
      </c>
      <c r="J45" s="31">
        <v>-45.965337522522304</v>
      </c>
      <c r="K45" s="31">
        <v>-41.561298339917784</v>
      </c>
      <c r="L45" s="31">
        <v>-38.181836605509346</v>
      </c>
      <c r="M45" s="31">
        <v>-43.846864357195116</v>
      </c>
      <c r="N45" s="31">
        <v>-40.505533921761142</v>
      </c>
      <c r="O45" s="31">
        <v>-33.630646432278184</v>
      </c>
      <c r="P45" s="31">
        <v>-31.632385389576541</v>
      </c>
      <c r="Q45" s="31">
        <v>-31.572251847566449</v>
      </c>
      <c r="R45" s="31">
        <v>-31.268030817974889</v>
      </c>
      <c r="S45" s="31">
        <v>-30.490583747015918</v>
      </c>
      <c r="T45" s="31">
        <v>-29.128437650429504</v>
      </c>
      <c r="U45" s="31">
        <v>-29.445291548481094</v>
      </c>
      <c r="V45" s="31">
        <v>-29.520066665006595</v>
      </c>
      <c r="W45" s="31">
        <v>-28.732458874795597</v>
      </c>
      <c r="X45" s="31">
        <v>-28.378495045913724</v>
      </c>
      <c r="Y45" s="31">
        <v>-27.971647807832454</v>
      </c>
      <c r="Z45" s="31">
        <v>-27.503807199046975</v>
      </c>
      <c r="AA45" s="31">
        <v>-25.947922663024499</v>
      </c>
      <c r="AB45" s="31">
        <v>-25.024683279102234</v>
      </c>
      <c r="AC45" s="31">
        <v>-25.115553834255351</v>
      </c>
      <c r="AD45" s="31">
        <v>-24.630528329205788</v>
      </c>
      <c r="AE45" s="31">
        <v>-24.281201431724014</v>
      </c>
      <c r="AF45" s="31">
        <v>-24.277807500800762</v>
      </c>
      <c r="AG45" s="31">
        <v>-23.904072824906905</v>
      </c>
      <c r="AH45" s="31">
        <v>-24.061462842507453</v>
      </c>
      <c r="AI45" s="31">
        <v>-24.298460162609054</v>
      </c>
      <c r="AJ45" s="31">
        <v>-23.63072011962705</v>
      </c>
      <c r="AK45" s="31">
        <v>-21.343389736063941</v>
      </c>
      <c r="AL45" s="31">
        <v>-18.571381072086339</v>
      </c>
      <c r="AM45" s="31">
        <v>-16.222583801676237</v>
      </c>
      <c r="AN45" s="31">
        <v>-14.002201392006349</v>
      </c>
      <c r="AO45" s="31">
        <v>-11.797544697087957</v>
      </c>
      <c r="AP45" s="31">
        <v>-9.4935950326555698</v>
      </c>
      <c r="AQ45" s="31">
        <v>-8.4246403304838822</v>
      </c>
      <c r="AR45" s="31">
        <v>-13.981447535837695</v>
      </c>
      <c r="AS45" s="31">
        <v>-19.116389031387797</v>
      </c>
      <c r="AT45" s="31">
        <v>-18.027460183665021</v>
      </c>
      <c r="AU45" s="31">
        <v>-17.373313001475033</v>
      </c>
      <c r="AV45" s="31">
        <v>-17.08746843587344</v>
      </c>
      <c r="AW45" s="31">
        <v>-17.07399339200461</v>
      </c>
      <c r="AX45" s="31">
        <v>-16.863164317514361</v>
      </c>
      <c r="AY45" s="31">
        <v>-16.710246739438929</v>
      </c>
      <c r="AZ45" s="31">
        <v>-15.714403217610496</v>
      </c>
      <c r="BA45" s="31">
        <v>-14.291328094370456</v>
      </c>
      <c r="BB45" s="31">
        <v>-12.471303849114321</v>
      </c>
      <c r="BC45" s="31">
        <v>-10.807686927819184</v>
      </c>
      <c r="BD45" s="31">
        <v>-9.2726317644243466</v>
      </c>
      <c r="BE45" s="31">
        <v>-8.0228024185339066</v>
      </c>
      <c r="BF45" s="31">
        <v>-7.3814920812152209</v>
      </c>
      <c r="BG45" s="31">
        <v>-6.9223628378031989</v>
      </c>
      <c r="BH45" s="31">
        <v>-6.595194271707669</v>
      </c>
      <c r="BI45" s="31">
        <v>-5.9656751316734358</v>
      </c>
      <c r="BJ45" s="31">
        <v>-5.4029216639475166</v>
      </c>
      <c r="BK45" s="31">
        <v>-4.7646369238908903</v>
      </c>
      <c r="BL45" s="31">
        <v>-4.026418407782657</v>
      </c>
      <c r="BM45" s="31">
        <v>-3.1898217304116301</v>
      </c>
      <c r="BN45" s="31">
        <v>-2.5045693849120028</v>
      </c>
      <c r="BO45" s="31">
        <v>-1.6662980827185834</v>
      </c>
      <c r="BP45" s="31">
        <v>-0.94707627411134609</v>
      </c>
      <c r="BQ45" s="31">
        <v>-0.62114507442342415</v>
      </c>
      <c r="BR45" s="31">
        <v>-1.4499870933499821</v>
      </c>
      <c r="BS45" s="31">
        <v>-3.5266433871523404</v>
      </c>
      <c r="BT45" s="31">
        <v>-4.3588683290019929</v>
      </c>
      <c r="BU45" s="31">
        <v>-4.8328216711389587</v>
      </c>
      <c r="BV45" s="31">
        <v>-4.958760138087321</v>
      </c>
      <c r="BW45" s="31">
        <v>-5.7504370335637844</v>
      </c>
      <c r="BX45" s="31">
        <v>-4.9564043232005375</v>
      </c>
      <c r="BY45" s="31">
        <v>-3.8427825230698005</v>
      </c>
      <c r="BZ45" s="31">
        <v>-4.4925911570695618</v>
      </c>
      <c r="CA45" s="31">
        <v>-5.0919793975058241</v>
      </c>
      <c r="CB45" s="31">
        <v>-5.5102687983815812</v>
      </c>
      <c r="CC45" s="31">
        <v>-6.4106644726976398</v>
      </c>
      <c r="CD45" s="31">
        <v>-7.1155309723459013</v>
      </c>
      <c r="CE45" s="31">
        <v>-7.524282036069458</v>
      </c>
      <c r="CF45" s="31">
        <v>-7.4246555306589173</v>
      </c>
      <c r="CG45" s="31">
        <v>-7.5528173035976849</v>
      </c>
      <c r="CH45" s="31">
        <v>-8.4445448234485454</v>
      </c>
      <c r="CI45" s="31">
        <v>-9.7302431948225632</v>
      </c>
      <c r="CJ45" s="31">
        <v>-11.126679051364484</v>
      </c>
      <c r="CK45" s="31">
        <v>-12.4584562417322</v>
      </c>
      <c r="CL45" s="31">
        <v>-13.012034399985218</v>
      </c>
      <c r="CM45" s="31">
        <v>-12.929703638243538</v>
      </c>
      <c r="CN45" s="31">
        <v>-12.296833519403066</v>
      </c>
      <c r="CO45" s="31">
        <v>-12.185978304171485</v>
      </c>
      <c r="CP45" s="31">
        <v>-12.955822039718903</v>
      </c>
      <c r="CQ45" s="31">
        <v>-12.842069070784021</v>
      </c>
      <c r="CR45" s="31">
        <v>-12.625432148727242</v>
      </c>
      <c r="CS45" s="31">
        <v>-12.832675811219062</v>
      </c>
      <c r="CT45" s="31">
        <v>-13.13328016169968</v>
      </c>
      <c r="CU45" s="31">
        <v>-13.211496942721197</v>
      </c>
      <c r="CV45" s="31">
        <v>-13.365672377309515</v>
      </c>
      <c r="CW45" s="31">
        <v>-13.443162129309535</v>
      </c>
      <c r="CX45" s="31">
        <v>-13.751156035037553</v>
      </c>
      <c r="CY45" s="31">
        <v>-13.943970044600469</v>
      </c>
      <c r="CZ45" s="31">
        <v>-14.192469127057691</v>
      </c>
      <c r="DA45" s="31">
        <v>-14.646093942346212</v>
      </c>
      <c r="DB45" s="31">
        <v>-14.951071444613632</v>
      </c>
      <c r="DC45" s="31">
        <v>-15.135104538564697</v>
      </c>
      <c r="DD45" s="31">
        <v>-15.391998292112902</v>
      </c>
      <c r="DE45" s="31">
        <v>-15.591347770215798</v>
      </c>
      <c r="DF45" s="31">
        <v>-15.503596994900299</v>
      </c>
      <c r="DG45" s="31">
        <v>-15.8118335189261</v>
      </c>
      <c r="DH45" s="31">
        <v>-15.821810840692898</v>
      </c>
      <c r="DI45" s="31">
        <v>-16.028955553037299</v>
      </c>
      <c r="DJ45" s="31">
        <v>-15.835204368267398</v>
      </c>
      <c r="DK45" s="31">
        <v>-15.866313268728803</v>
      </c>
      <c r="DL45" s="31">
        <v>-16.015293608693703</v>
      </c>
      <c r="DM45" s="31">
        <v>-15.415308115374501</v>
      </c>
      <c r="DN45" s="31">
        <v>-14.766578162997703</v>
      </c>
      <c r="DO45" s="31">
        <v>-14.347204424004701</v>
      </c>
      <c r="DP45" s="31">
        <v>-13.818575713357703</v>
      </c>
      <c r="DQ45" s="31">
        <v>-14.547765733671703</v>
      </c>
      <c r="DR45" s="31">
        <v>-17.142984953964103</v>
      </c>
      <c r="DS45" s="31">
        <v>-20.230107541244507</v>
      </c>
      <c r="DT45" s="31">
        <v>-23.385761655865196</v>
      </c>
      <c r="DU45" s="31">
        <v>-26.106773065197203</v>
      </c>
      <c r="DV45" s="31">
        <v>-28.014632070619299</v>
      </c>
      <c r="DW45" s="31">
        <v>-30.266953561224696</v>
      </c>
      <c r="DX45" s="31">
        <v>-32.973793616936703</v>
      </c>
      <c r="DY45" s="31">
        <v>-34.868312139633204</v>
      </c>
      <c r="EA45" s="31">
        <f>MAX(B45:DY45)</f>
        <v>-0.62114507442342415</v>
      </c>
      <c r="EB45" s="31">
        <f>MAX(EA45)</f>
        <v>-0.62114507442342415</v>
      </c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5</xdr:col>
                <xdr:colOff>0</xdr:colOff>
                <xdr:row>20</xdr:row>
                <xdr:rowOff>180975</xdr:rowOff>
              </from>
              <to>
                <xdr:col>6</xdr:col>
                <xdr:colOff>647700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14" sqref="E14"/>
    </sheetView>
  </sheetViews>
  <sheetFormatPr defaultRowHeight="15"/>
  <sheetData/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2" sqref="C12:DZ12"/>
    </sheetView>
  </sheetViews>
  <sheetFormatPr defaultRowHeight="15"/>
  <cols>
    <col min="2" max="2" width="11.7109375" bestFit="1" customWidth="1"/>
  </cols>
  <sheetData>
    <row r="6" spans="2:130" ht="15.75" thickBot="1"/>
    <row r="7" spans="2:130">
      <c r="B7" s="8" t="s">
        <v>3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>
      <c r="B8" s="2" t="s">
        <v>0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>
      <c r="B10" s="2" t="s">
        <v>2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>
      <c r="B11" s="29" t="s">
        <v>1</v>
      </c>
      <c r="C11" s="3">
        <v>-15</v>
      </c>
      <c r="D11" s="3">
        <v>-15</v>
      </c>
      <c r="E11" s="3">
        <v>-15</v>
      </c>
      <c r="F11" s="3">
        <v>-15</v>
      </c>
      <c r="G11" s="3">
        <v>-15</v>
      </c>
      <c r="H11" s="3">
        <v>-15</v>
      </c>
      <c r="I11" s="3">
        <v>-15</v>
      </c>
      <c r="J11" s="3">
        <v>-15</v>
      </c>
      <c r="K11" s="3">
        <v>-15</v>
      </c>
      <c r="L11" s="3">
        <v>-14.727727900552486</v>
      </c>
      <c r="M11" s="3">
        <v>-14.390538674033149</v>
      </c>
      <c r="N11" s="3">
        <v>-14.053349447513812</v>
      </c>
      <c r="O11" s="3">
        <v>-13.735180412371134</v>
      </c>
      <c r="P11" s="3">
        <v>-13.420586340206185</v>
      </c>
      <c r="Q11" s="3">
        <v>-13.105992268041238</v>
      </c>
      <c r="R11" s="3">
        <v>-13.567318925233645</v>
      </c>
      <c r="S11" s="3">
        <v>-14.422897196261681</v>
      </c>
      <c r="T11" s="3">
        <v>-15.27847546728972</v>
      </c>
      <c r="U11" s="3">
        <v>-16</v>
      </c>
      <c r="V11" s="3">
        <v>-16</v>
      </c>
      <c r="W11" s="3">
        <v>-16</v>
      </c>
      <c r="X11" s="3">
        <v>-16</v>
      </c>
      <c r="Y11" s="3">
        <v>-15.884650735294118</v>
      </c>
      <c r="Z11" s="3">
        <v>-15.435891544117647</v>
      </c>
      <c r="AA11" s="3">
        <v>-14.987132352941176</v>
      </c>
      <c r="AB11" s="3">
        <v>-14.538373161764707</v>
      </c>
      <c r="AC11" s="3">
        <v>-14.089613970588236</v>
      </c>
      <c r="AD11" s="3">
        <v>-13.846884796238244</v>
      </c>
      <c r="AE11" s="3">
        <v>-13.655564263322884</v>
      </c>
      <c r="AF11" s="3">
        <v>-13.464243730407523</v>
      </c>
      <c r="AG11" s="3">
        <v>-13.272923197492164</v>
      </c>
      <c r="AH11" s="3">
        <v>-13.081602664576803</v>
      </c>
      <c r="AI11" s="3">
        <v>-12.725130890052355</v>
      </c>
      <c r="AJ11" s="3">
        <v>-12.245827879581151</v>
      </c>
      <c r="AK11" s="3">
        <v>-11.766524869109947</v>
      </c>
      <c r="AL11" s="3">
        <v>-11.287221858638743</v>
      </c>
      <c r="AM11" s="3">
        <v>-10.807918848167539</v>
      </c>
      <c r="AN11" s="3">
        <v>-10.328615837696335</v>
      </c>
      <c r="AO11" s="3">
        <v>-10.040651483050848</v>
      </c>
      <c r="AP11" s="3">
        <v>-10.169954978813559</v>
      </c>
      <c r="AQ11" s="3">
        <v>-10.299258474576272</v>
      </c>
      <c r="AR11" s="3">
        <v>-10.428561970338983</v>
      </c>
      <c r="AS11" s="3">
        <v>-10.557865466101696</v>
      </c>
      <c r="AT11" s="3">
        <v>-10.687168961864407</v>
      </c>
      <c r="AU11" s="3">
        <v>-10.816472457627119</v>
      </c>
      <c r="AV11" s="3">
        <v>-10.94577595338983</v>
      </c>
      <c r="AW11" s="3">
        <v>-10.703203517587939</v>
      </c>
      <c r="AX11" s="3">
        <v>-10.192054020100503</v>
      </c>
      <c r="AY11" s="3">
        <v>-9.6809045226130657</v>
      </c>
      <c r="AZ11" s="3">
        <v>-9.1697550251256281</v>
      </c>
      <c r="BA11" s="3">
        <v>-8.6586055276381906</v>
      </c>
      <c r="BB11" s="3">
        <v>-8.147456030150753</v>
      </c>
      <c r="BC11" s="3">
        <v>-7.6363065326633164</v>
      </c>
      <c r="BD11" s="3">
        <v>-7.1251570351758797</v>
      </c>
      <c r="BE11" s="3">
        <v>-6.6140075376884422</v>
      </c>
      <c r="BF11" s="3">
        <v>-6.1028580402010046</v>
      </c>
      <c r="BG11" s="3">
        <v>-5.8733766233766236</v>
      </c>
      <c r="BH11" s="3">
        <v>-5.7148538961038957</v>
      </c>
      <c r="BI11" s="3">
        <v>-5.5563311688311687</v>
      </c>
      <c r="BJ11" s="3">
        <v>-5.3978084415584417</v>
      </c>
      <c r="BK11" s="3">
        <v>-5.2392857142857139</v>
      </c>
      <c r="BL11" s="3">
        <v>-5.0807629870129869</v>
      </c>
      <c r="BM11" s="3">
        <v>-4.9222402597402599</v>
      </c>
      <c r="BN11" s="3">
        <v>-4.763717532467532</v>
      </c>
      <c r="BO11" s="3">
        <v>-4.6051948051948051</v>
      </c>
      <c r="BP11" s="3">
        <v>-4.4466720779220781</v>
      </c>
      <c r="BQ11" s="3">
        <v>-4.2881493506493502</v>
      </c>
      <c r="BR11" s="3">
        <v>-4.1296266233766232</v>
      </c>
      <c r="BS11" s="3">
        <v>-4.0335090361445785</v>
      </c>
      <c r="BT11" s="3">
        <v>-4.2173381024096388</v>
      </c>
      <c r="BU11" s="3">
        <v>-4.4011671686746991</v>
      </c>
      <c r="BV11" s="3">
        <v>-4.5849962349397586</v>
      </c>
      <c r="BW11" s="3">
        <v>-4.768825301204819</v>
      </c>
      <c r="BX11" s="3">
        <v>-4.9526543674698793</v>
      </c>
      <c r="BY11" s="3">
        <v>-5.1364834337349397</v>
      </c>
      <c r="BZ11" s="3">
        <v>-5.3203125</v>
      </c>
      <c r="CA11" s="3">
        <v>-5.5041415662650603</v>
      </c>
      <c r="CB11" s="3">
        <v>-5.6879706325301207</v>
      </c>
      <c r="CC11" s="3">
        <v>-5.871799698795181</v>
      </c>
      <c r="CD11" s="3">
        <v>-6.0556287650602414</v>
      </c>
      <c r="CE11" s="3">
        <v>-6.2394578313253009</v>
      </c>
      <c r="CF11" s="3">
        <v>-6.4232868975903612</v>
      </c>
      <c r="CG11" s="3">
        <v>-6.6071159638554215</v>
      </c>
      <c r="CH11" s="3">
        <v>-6.7909450301204819</v>
      </c>
      <c r="CI11" s="3">
        <v>-6.9747740963855422</v>
      </c>
      <c r="CJ11" s="3">
        <v>-6.9577736567762631</v>
      </c>
      <c r="CK11" s="3">
        <v>-6.9088311948676822</v>
      </c>
      <c r="CL11" s="3">
        <v>-6.8598887329591021</v>
      </c>
      <c r="CM11" s="3">
        <v>-6.8109462710505211</v>
      </c>
      <c r="CN11" s="3">
        <v>-6.762003809141941</v>
      </c>
      <c r="CO11" s="3">
        <v>-6.71306134723336</v>
      </c>
      <c r="CP11" s="3">
        <v>-6.664118885324779</v>
      </c>
      <c r="CQ11" s="3">
        <v>-6.6151764234161989</v>
      </c>
      <c r="CR11" s="3">
        <v>-6.566233961507618</v>
      </c>
      <c r="CS11" s="3">
        <v>-6.5172914995990379</v>
      </c>
      <c r="CT11" s="3">
        <v>-6.4683490376904569</v>
      </c>
      <c r="CU11" s="3">
        <v>-6.4194065757818768</v>
      </c>
      <c r="CV11" s="3">
        <v>-6.3704641138732958</v>
      </c>
      <c r="CW11" s="3">
        <v>-6.3215216519647157</v>
      </c>
      <c r="CX11" s="3">
        <v>-6.2725791900561347</v>
      </c>
      <c r="CY11" s="3">
        <v>-6.2236367281475538</v>
      </c>
      <c r="CZ11" s="3">
        <v>-6.1746942662389737</v>
      </c>
      <c r="DA11" s="3">
        <v>-6.1257518043303927</v>
      </c>
      <c r="DB11" s="3">
        <v>-6.0768093424218126</v>
      </c>
      <c r="DC11" s="3">
        <v>-6.0278668805132316</v>
      </c>
      <c r="DD11" s="3">
        <v>-6</v>
      </c>
      <c r="DE11" s="3">
        <v>-6</v>
      </c>
      <c r="DF11" s="3">
        <v>-6</v>
      </c>
      <c r="DG11" s="3">
        <v>-6</v>
      </c>
      <c r="DH11" s="3">
        <v>-6</v>
      </c>
      <c r="DI11" s="3">
        <v>-6</v>
      </c>
      <c r="DJ11" s="3">
        <v>-6</v>
      </c>
      <c r="DK11" s="3">
        <v>-6</v>
      </c>
      <c r="DL11" s="3">
        <v>-6</v>
      </c>
      <c r="DM11" s="3">
        <v>-6</v>
      </c>
      <c r="DN11" s="3">
        <v>-6</v>
      </c>
      <c r="DO11" s="3">
        <v>-6</v>
      </c>
      <c r="DP11" s="3">
        <v>-6</v>
      </c>
      <c r="DQ11" s="3">
        <v>-6</v>
      </c>
      <c r="DR11" s="3">
        <v>-6</v>
      </c>
      <c r="DS11" s="3">
        <v>-6</v>
      </c>
      <c r="DT11" s="3">
        <v>-6</v>
      </c>
      <c r="DU11" s="3">
        <v>-6</v>
      </c>
      <c r="DV11" s="3">
        <v>-6</v>
      </c>
      <c r="DW11" s="3">
        <v>-6</v>
      </c>
      <c r="DX11" s="3">
        <v>-6</v>
      </c>
      <c r="DY11" s="3">
        <v>-6</v>
      </c>
      <c r="DZ11" s="4">
        <v>-6</v>
      </c>
    </row>
    <row r="12" spans="2:130" ht="15.75" thickBot="1">
      <c r="B12" s="30" t="s">
        <v>62</v>
      </c>
      <c r="C12" s="6">
        <v>50</v>
      </c>
      <c r="D12" s="6">
        <v>50</v>
      </c>
      <c r="E12" s="6">
        <v>50</v>
      </c>
      <c r="F12" s="6">
        <v>50</v>
      </c>
      <c r="G12" s="6">
        <v>50</v>
      </c>
      <c r="H12" s="6">
        <v>50</v>
      </c>
      <c r="I12" s="6">
        <v>50</v>
      </c>
      <c r="J12" s="6">
        <v>50</v>
      </c>
      <c r="K12" s="6">
        <v>50</v>
      </c>
      <c r="L12" s="6">
        <v>50</v>
      </c>
      <c r="M12" s="6">
        <v>50</v>
      </c>
      <c r="N12" s="6">
        <v>50</v>
      </c>
      <c r="O12" s="6">
        <v>50</v>
      </c>
      <c r="P12" s="6">
        <v>50</v>
      </c>
      <c r="Q12" s="6">
        <v>50</v>
      </c>
      <c r="R12" s="6">
        <v>50</v>
      </c>
      <c r="S12" s="6">
        <v>50</v>
      </c>
      <c r="T12" s="6">
        <v>50</v>
      </c>
      <c r="U12" s="6">
        <v>50</v>
      </c>
      <c r="V12" s="6">
        <v>50</v>
      </c>
      <c r="W12" s="6">
        <v>50</v>
      </c>
      <c r="X12" s="6">
        <v>50</v>
      </c>
      <c r="Y12" s="6">
        <v>50</v>
      </c>
      <c r="Z12" s="6">
        <v>50</v>
      </c>
      <c r="AA12" s="6">
        <v>50</v>
      </c>
      <c r="AB12" s="6">
        <v>50</v>
      </c>
      <c r="AC12" s="6">
        <v>50</v>
      </c>
      <c r="AD12" s="6">
        <v>50</v>
      </c>
      <c r="AE12" s="6">
        <v>50</v>
      </c>
      <c r="AF12" s="6">
        <v>50</v>
      </c>
      <c r="AG12" s="6">
        <v>50</v>
      </c>
      <c r="AH12" s="6">
        <v>50</v>
      </c>
      <c r="AI12" s="6">
        <v>50</v>
      </c>
      <c r="AJ12" s="6">
        <v>49.954906250000001</v>
      </c>
      <c r="AK12" s="6">
        <v>49.771812500000003</v>
      </c>
      <c r="AL12" s="6">
        <v>49.588718749999998</v>
      </c>
      <c r="AM12" s="6">
        <v>49.405625000000001</v>
      </c>
      <c r="AN12" s="6">
        <v>49.222531250000003</v>
      </c>
      <c r="AO12" s="6">
        <v>49.039437499999998</v>
      </c>
      <c r="AP12" s="6">
        <v>48.856343750000001</v>
      </c>
      <c r="AQ12" s="6">
        <v>48.673250000000003</v>
      </c>
      <c r="AR12" s="6">
        <v>48.490156249999998</v>
      </c>
      <c r="AS12" s="6">
        <v>48.307062500000001</v>
      </c>
      <c r="AT12" s="6">
        <v>48.123968750000003</v>
      </c>
      <c r="AU12" s="6">
        <v>47.940874999999998</v>
      </c>
      <c r="AV12" s="6">
        <v>47.757781250000001</v>
      </c>
      <c r="AW12" s="6">
        <v>47.574687500000003</v>
      </c>
      <c r="AX12" s="6">
        <v>47.391593749999998</v>
      </c>
      <c r="AY12" s="6">
        <v>47.208500000000001</v>
      </c>
      <c r="AZ12" s="6">
        <v>47.025406250000003</v>
      </c>
      <c r="BA12" s="6">
        <v>47</v>
      </c>
      <c r="BB12" s="6">
        <v>47</v>
      </c>
      <c r="BC12" s="6">
        <v>47</v>
      </c>
      <c r="BD12" s="6">
        <v>47</v>
      </c>
      <c r="BE12" s="6">
        <v>47</v>
      </c>
      <c r="BF12" s="6">
        <v>47</v>
      </c>
      <c r="BG12" s="6">
        <v>47</v>
      </c>
      <c r="BH12" s="6">
        <v>47</v>
      </c>
      <c r="BI12" s="6">
        <v>47</v>
      </c>
      <c r="BJ12" s="6">
        <v>47</v>
      </c>
      <c r="BK12" s="6">
        <v>47</v>
      </c>
      <c r="BL12" s="6">
        <v>47</v>
      </c>
      <c r="BM12" s="6">
        <v>47</v>
      </c>
      <c r="BN12" s="6">
        <v>47</v>
      </c>
      <c r="BO12" s="6">
        <v>47</v>
      </c>
      <c r="BP12" s="6">
        <v>47</v>
      </c>
      <c r="BQ12" s="6">
        <v>47</v>
      </c>
      <c r="BR12" s="6">
        <v>47</v>
      </c>
      <c r="BS12" s="6">
        <v>47</v>
      </c>
      <c r="BT12" s="6">
        <v>47</v>
      </c>
      <c r="BU12" s="6">
        <v>47</v>
      </c>
      <c r="BV12" s="6">
        <v>47</v>
      </c>
      <c r="BW12" s="6">
        <v>47</v>
      </c>
      <c r="BX12" s="6">
        <v>47</v>
      </c>
      <c r="BY12" s="6">
        <v>47</v>
      </c>
      <c r="BZ12" s="6">
        <v>47</v>
      </c>
      <c r="CA12" s="6">
        <v>47</v>
      </c>
      <c r="CB12" s="6">
        <v>47</v>
      </c>
      <c r="CC12" s="6">
        <v>47</v>
      </c>
      <c r="CD12" s="6">
        <v>47</v>
      </c>
      <c r="CE12" s="6">
        <v>47</v>
      </c>
      <c r="CF12" s="6">
        <v>47</v>
      </c>
      <c r="CG12" s="6">
        <v>47</v>
      </c>
      <c r="CH12" s="6">
        <v>47</v>
      </c>
      <c r="CI12" s="6">
        <v>47</v>
      </c>
      <c r="CJ12" s="6">
        <v>47</v>
      </c>
      <c r="CK12" s="6">
        <v>47</v>
      </c>
      <c r="CL12" s="6">
        <v>47</v>
      </c>
      <c r="CM12" s="6">
        <v>47</v>
      </c>
      <c r="CN12" s="6">
        <v>47</v>
      </c>
      <c r="CO12" s="6">
        <v>47</v>
      </c>
      <c r="CP12" s="6">
        <v>47</v>
      </c>
      <c r="CQ12" s="6">
        <v>47</v>
      </c>
      <c r="CR12" s="6">
        <v>47</v>
      </c>
      <c r="CS12" s="6">
        <v>47</v>
      </c>
      <c r="CT12" s="6">
        <v>47</v>
      </c>
      <c r="CU12" s="6">
        <v>47</v>
      </c>
      <c r="CV12" s="6">
        <v>47</v>
      </c>
      <c r="CW12" s="6">
        <v>47</v>
      </c>
      <c r="CX12" s="6">
        <v>47</v>
      </c>
      <c r="CY12" s="6">
        <v>47</v>
      </c>
      <c r="CZ12" s="6">
        <v>47</v>
      </c>
      <c r="DA12" s="6">
        <v>47</v>
      </c>
      <c r="DB12" s="6">
        <v>47</v>
      </c>
      <c r="DC12" s="6">
        <v>47</v>
      </c>
      <c r="DD12" s="6">
        <v>47</v>
      </c>
      <c r="DE12" s="6">
        <v>47</v>
      </c>
      <c r="DF12" s="6">
        <v>47</v>
      </c>
      <c r="DG12" s="6">
        <v>47</v>
      </c>
      <c r="DH12" s="6">
        <v>47</v>
      </c>
      <c r="DI12" s="6">
        <v>47</v>
      </c>
      <c r="DJ12" s="6">
        <v>47</v>
      </c>
      <c r="DK12" s="6">
        <v>47</v>
      </c>
      <c r="DL12" s="6">
        <v>47</v>
      </c>
      <c r="DM12" s="6">
        <v>47</v>
      </c>
      <c r="DN12" s="6">
        <v>47</v>
      </c>
      <c r="DO12" s="6">
        <v>47</v>
      </c>
      <c r="DP12" s="6">
        <v>47</v>
      </c>
      <c r="DQ12" s="6">
        <v>47</v>
      </c>
      <c r="DR12" s="6">
        <v>47</v>
      </c>
      <c r="DS12" s="6">
        <v>47</v>
      </c>
      <c r="DT12" s="6">
        <v>47</v>
      </c>
      <c r="DU12" s="6">
        <v>47</v>
      </c>
      <c r="DV12" s="6">
        <v>47</v>
      </c>
      <c r="DW12" s="6">
        <v>47</v>
      </c>
      <c r="DX12" s="6">
        <v>47</v>
      </c>
      <c r="DY12" s="6">
        <v>47</v>
      </c>
      <c r="DZ12" s="7">
        <v>47</v>
      </c>
    </row>
    <row r="14" spans="2:130">
      <c r="B14" s="9" t="s">
        <v>7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>
      <c r="B15" s="9" t="s">
        <v>6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>
      <c r="B18" s="9" t="s">
        <v>4</v>
      </c>
      <c r="C18">
        <v>6</v>
      </c>
    </row>
    <row r="19" spans="2:3">
      <c r="B19" s="9" t="s">
        <v>5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12" sqref="E12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User Guide</vt:lpstr>
      <vt:lpstr>cover</vt:lpstr>
      <vt:lpstr>import</vt:lpstr>
      <vt:lpstr>output</vt:lpstr>
      <vt:lpstr>calibration</vt:lpstr>
      <vt:lpstr>front</vt:lpstr>
      <vt:lpstr>rear</vt:lpstr>
      <vt:lpstr>Dooku</vt:lpstr>
      <vt:lpstr>ModelName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2018-04-10T05:23:29Z</dcterms:modified>
</cp:coreProperties>
</file>