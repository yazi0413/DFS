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GitHub\DFS\"/>
    </mc:Choice>
  </mc:AlternateContent>
  <bookViews>
    <workbookView xWindow="25110" yWindow="0" windowWidth="24540" windowHeight="16020"/>
  </bookViews>
  <sheets>
    <sheet name="User Guide" sheetId="7" r:id="rId1"/>
    <sheet name="output" sheetId="3" r:id="rId2"/>
    <sheet name="import" sheetId="1" r:id="rId3"/>
    <sheet name="calibration" sheetId="4" state="hidden" r:id="rId4"/>
    <sheet name="front" sheetId="5" state="hidden" r:id="rId5"/>
    <sheet name="rear" sheetId="6" state="hidden" r:id="rId6"/>
  </sheets>
  <definedNames>
    <definedName name="Dooku">calibration!$C$19</definedName>
    <definedName name="Palpatine">calibration!$C$18</definedName>
    <definedName name="temp" localSheetId="2">import!$B$3:$DY$3</definedName>
    <definedName name="temp_1" localSheetId="2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8" i="4"/>
  <c r="C7" i="4"/>
  <c r="G16" i="1"/>
  <c r="R8" i="4" s="1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C8" i="4" l="1"/>
  <c r="D8" i="4"/>
  <c r="E8" i="4"/>
  <c r="H8" i="4"/>
  <c r="G8" i="4"/>
  <c r="I8" i="4"/>
  <c r="L8" i="4"/>
  <c r="K8" i="4"/>
  <c r="M8" i="4"/>
  <c r="N8" i="4"/>
  <c r="O8" i="4"/>
  <c r="F8" i="4"/>
  <c r="J8" i="4"/>
  <c r="P8" i="4"/>
  <c r="Q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<sst xmlns="http://schemas.openxmlformats.org/spreadsheetml/2006/main" count="40" uniqueCount="38">
  <si>
    <t>IG</t>
  </si>
  <si>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</si>
  <si>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</si>
  <si>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</si>
  <si>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</si>
  <si>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</si>
  <si>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</si>
  <si>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</si>
  <si>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</si>
  <si>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</si>
  <si>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FILL all the yellow section, choose firmware from pull-down list below</t>
  </si>
  <si>
    <t>Don't type anything besides yellow cells</t>
  </si>
  <si>
    <t>prod. Sys.Offset=</t>
  </si>
  <si>
    <t>sys. cal</t>
  </si>
  <si>
    <t>Made by (document owner):</t>
  </si>
  <si>
    <t>Chandler Chen</t>
  </si>
  <si>
    <t>Date</t>
  </si>
  <si>
    <t>Change(s)</t>
  </si>
  <si>
    <t>Author</t>
  </si>
  <si>
    <t>overview</t>
  </si>
  <si>
    <t>C:\Users\chache\Documents\logfile_</t>
  </si>
  <si>
    <t>This macro can get the maximum stable insertion gain from ALT DFS log files</t>
  </si>
  <si>
    <t>No Matlab is required</t>
  </si>
  <si>
    <t>initial version</t>
  </si>
  <si>
    <t>CC</t>
  </si>
  <si>
    <t>DFS2MSIG</t>
  </si>
  <si>
    <t>Process</t>
  </si>
  <si>
    <t>Generate the dfs calibration log files (DFSInitSuccess)</t>
  </si>
  <si>
    <t>Move the log files you want into one folder</t>
  </si>
  <si>
    <t>Background</t>
  </si>
  <si>
    <t>Go to "import" sheet and fill the information</t>
  </si>
  <si>
    <t>Actually the DFS modeler has already exported this which is named "msg_dfs_off"</t>
  </si>
  <si>
    <t>So, What I did is import all msg_dfs_off from log files, include the system and make the MaxStableInsertionGain</t>
  </si>
  <si>
    <r>
      <t xml:space="preserve">one issue was found, the coefficients for the feedback filter was not written correctly during TCDFS init. </t>
    </r>
    <r>
      <rPr>
        <b/>
        <sz val="10"/>
        <rFont val="Arial"/>
        <family val="2"/>
      </rPr>
      <t>So for TC input mode, it is not available now</t>
    </r>
    <r>
      <rPr>
        <sz val="10"/>
        <rFont val="Arial"/>
        <family val="2"/>
      </rPr>
      <t>.</t>
    </r>
  </si>
  <si>
    <t>Press the Import button, you will see the result</t>
  </si>
  <si>
    <t>The matlab script is transfering impluse response of the feedback path into frequency domain</t>
  </si>
  <si>
    <t>Rev:</t>
  </si>
  <si>
    <t>Revision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</si>
</sst>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54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6" fillId="2" borderId="11" xfId="0" applyFont="1" applyFill="1" applyBorder="1"/>
    <xf numFmtId="0" fontId="10" fillId="0" borderId="0" xfId="1" applyAlignment="1" applyProtection="1">
      <alignment vertical="top"/>
    </xf>
    <xf numFmtId="0" fontId="10" fillId="0" borderId="0" xfId="1" applyAlignment="1" applyProtection="1">
      <alignment horizontal="left" vertical="top" wrapText="1"/>
    </xf>
    <xf numFmtId="0" fontId="10" fillId="0" borderId="0" xfId="1" applyAlignment="1">
      <alignment vertical="top"/>
    </xf>
    <xf numFmtId="0" fontId="11" fillId="0" borderId="0" xfId="1" applyFont="1" applyAlignment="1" applyProtection="1">
      <alignment vertical="top"/>
    </xf>
    <xf numFmtId="0" fontId="12" fillId="0" borderId="0" xfId="1" applyFont="1" applyAlignment="1" applyProtection="1">
      <alignment vertical="top"/>
    </xf>
    <xf numFmtId="0" fontId="10" fillId="0" borderId="0" xfId="2" applyFont="1" applyAlignment="1">
      <alignment horizontal="left" vertical="top" wrapText="1"/>
    </xf>
    <xf numFmtId="0" fontId="10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vertical="top"/>
    </xf>
    <xf numFmtId="0" fontId="10" fillId="0" borderId="6" xfId="1" applyBorder="1" applyAlignment="1" applyProtection="1">
      <alignment vertical="top"/>
    </xf>
    <xf numFmtId="0" fontId="10" fillId="0" borderId="6" xfId="1" applyBorder="1" applyAlignment="1" applyProtection="1">
      <alignment horizontal="left" vertical="top" wrapText="1"/>
    </xf>
    <xf numFmtId="14" fontId="10" fillId="0" borderId="0" xfId="1" applyNumberFormat="1" applyFont="1" applyAlignment="1" applyProtection="1">
      <alignment vertical="top"/>
    </xf>
    <xf numFmtId="0" fontId="10" fillId="0" borderId="0" xfId="1" applyFont="1" applyAlignment="1" applyProtection="1">
      <alignment vertical="top"/>
    </xf>
    <xf numFmtId="14" fontId="10" fillId="0" borderId="0" xfId="1" applyNumberFormat="1" applyAlignment="1" applyProtection="1">
      <alignment vertical="top"/>
    </xf>
    <xf numFmtId="0" fontId="14" fillId="0" borderId="0" xfId="1" applyFont="1" applyAlignment="1" applyProtection="1">
      <alignment vertical="top"/>
    </xf>
    <xf numFmtId="0" fontId="10" fillId="0" borderId="0" xfId="1" applyAlignment="1">
      <alignment horizontal="left" vertical="top" wrapText="1"/>
    </xf>
    <xf numFmtId="0" fontId="10" fillId="0" borderId="0" xfId="1" applyFont="1" applyAlignment="1" applyProtection="1">
      <alignment horizontal="left" vertical="top"/>
    </xf>
    <xf numFmtId="0" fontId="7" fillId="3" borderId="11" xfId="0" applyFont="1" applyFill="1" applyBorder="1"/>
    <xf numFmtId="0" fontId="10" fillId="4" borderId="0" xfId="1" applyFont="1" applyFill="1" applyAlignment="1" applyProtection="1">
      <alignment horizontal="left" vertical="top" wrapText="1"/>
    </xf>
    <xf numFmtId="0" fontId="10" fillId="4" borderId="0" xfId="1" applyFill="1" applyAlignment="1">
      <alignment horizontal="left" vertical="top" wrapText="1"/>
    </xf>
    <xf numFmtId="0" fontId="14" fillId="0" borderId="0" xfId="1" applyFont="1" applyAlignment="1" applyProtection="1">
      <alignment horizontal="left" vertical="top" wrapText="1"/>
    </xf>
    <xf numFmtId="0" fontId="1" fillId="5" borderId="0" xfId="0" applyFont="1" applyFill="1" applyBorder="1" applyAlignment="1">
      <alignment horizontal="right"/>
    </xf>
    <xf numFmtId="0" fontId="15" fillId="0" borderId="0" xfId="1" applyFont="1" applyAlignment="1" applyProtection="1">
      <alignment horizontal="right" vertical="top"/>
    </xf>
    <xf numFmtId="0" fontId="12" fillId="0" borderId="0" xfId="1" applyFont="1" applyAlignment="1" applyProtection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00"/>
  <sheetViews>
    <sheetView tabSelected="1" workbookViewId="0">
      <selection activeCell="B26" sqref="B26"/>
    </sheetView>
  </sheetViews>
  <sheetFormatPr defaultRowHeight="12.75" x14ac:dyDescent="0.25"/>
  <cols>
    <col min="1" max="1" width="3.42578125" style="28" customWidth="1"/>
    <col min="2" max="2" width="35.140625" style="28" customWidth="1"/>
    <col min="3" max="3" width="49.85546875" style="40" customWidth="1"/>
    <col min="4" max="16384" width="9.140625" style="28"/>
  </cols>
  <sheetData>
    <row r="1" spans="1:256" x14ac:dyDescent="0.25">
      <c r="A1" s="26"/>
      <c r="B1" s="26"/>
      <c r="C1" s="27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ht="20.25" x14ac:dyDescent="0.25">
      <c r="A2" s="26"/>
      <c r="B2" s="29" t="s">
        <v>25</v>
      </c>
      <c r="C2" s="27"/>
      <c r="D2" s="26"/>
      <c r="E2" s="26"/>
      <c r="F2" s="26"/>
      <c r="G2" s="26"/>
      <c r="H2" s="26"/>
      <c r="I2" s="47" t="s">
        <v>36</v>
      </c>
      <c r="J2" s="48">
        <v>1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6"/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  <c r="FN2" s="26"/>
      <c r="FO2" s="26"/>
      <c r="FP2" s="26"/>
      <c r="FQ2" s="26"/>
      <c r="FR2" s="26"/>
      <c r="FS2" s="26"/>
      <c r="FT2" s="26"/>
      <c r="FU2" s="26"/>
      <c r="FV2" s="26"/>
      <c r="FW2" s="26"/>
      <c r="FX2" s="26"/>
      <c r="FY2" s="26"/>
      <c r="FZ2" s="26"/>
      <c r="GA2" s="26"/>
      <c r="GB2" s="26"/>
      <c r="GC2" s="26"/>
      <c r="GD2" s="26"/>
      <c r="GE2" s="26"/>
      <c r="GF2" s="26"/>
      <c r="GG2" s="26"/>
      <c r="GH2" s="26"/>
      <c r="GI2" s="26"/>
      <c r="GJ2" s="26"/>
      <c r="GK2" s="26"/>
      <c r="GL2" s="26"/>
      <c r="GM2" s="26"/>
      <c r="GN2" s="26"/>
      <c r="GO2" s="26"/>
      <c r="GP2" s="26"/>
      <c r="GQ2" s="26"/>
      <c r="GR2" s="26"/>
      <c r="GS2" s="26"/>
      <c r="GT2" s="26"/>
      <c r="GU2" s="26"/>
      <c r="GV2" s="26"/>
      <c r="GW2" s="26"/>
      <c r="GX2" s="26"/>
      <c r="GY2" s="26"/>
      <c r="GZ2" s="26"/>
      <c r="HA2" s="26"/>
      <c r="HB2" s="26"/>
      <c r="HC2" s="26"/>
      <c r="HD2" s="26"/>
      <c r="HE2" s="26"/>
      <c r="HF2" s="26"/>
      <c r="HG2" s="26"/>
      <c r="HH2" s="26"/>
      <c r="HI2" s="26"/>
      <c r="HJ2" s="26"/>
      <c r="HK2" s="26"/>
      <c r="HL2" s="26"/>
      <c r="HM2" s="26"/>
      <c r="HN2" s="26"/>
      <c r="HO2" s="26"/>
      <c r="HP2" s="26"/>
      <c r="HQ2" s="26"/>
      <c r="HR2" s="26"/>
      <c r="HS2" s="26"/>
      <c r="HT2" s="26"/>
      <c r="HU2" s="26"/>
      <c r="HV2" s="26"/>
      <c r="HW2" s="26"/>
      <c r="HX2" s="26"/>
      <c r="HY2" s="26"/>
      <c r="HZ2" s="26"/>
      <c r="IA2" s="26"/>
      <c r="IB2" s="26"/>
      <c r="IC2" s="26"/>
      <c r="ID2" s="26"/>
      <c r="IE2" s="26"/>
      <c r="IF2" s="26"/>
      <c r="IG2" s="26"/>
      <c r="IH2" s="26"/>
      <c r="II2" s="26"/>
      <c r="IJ2" s="26"/>
      <c r="IK2" s="26"/>
      <c r="IL2" s="26"/>
      <c r="IM2" s="26"/>
      <c r="IN2" s="26"/>
      <c r="IO2" s="26"/>
      <c r="IP2" s="26"/>
      <c r="IQ2" s="26"/>
      <c r="IR2" s="26"/>
      <c r="IS2" s="26"/>
      <c r="IT2" s="26"/>
      <c r="IU2" s="26"/>
      <c r="IV2" s="26"/>
    </row>
    <row r="3" spans="1:256" x14ac:dyDescent="0.25">
      <c r="A3" s="26"/>
      <c r="B3" s="26"/>
      <c r="C3" s="27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25.5" x14ac:dyDescent="0.25">
      <c r="A4" s="26"/>
      <c r="B4" s="30" t="s">
        <v>19</v>
      </c>
      <c r="C4" s="27" t="s">
        <v>21</v>
      </c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x14ac:dyDescent="0.25">
      <c r="A5" s="26"/>
      <c r="B5" s="26"/>
      <c r="C5" s="45" t="s">
        <v>22</v>
      </c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5.75" x14ac:dyDescent="0.25">
      <c r="A6" s="26"/>
      <c r="B6" s="30"/>
      <c r="C6" s="31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5.75" x14ac:dyDescent="0.25">
      <c r="A7" s="26"/>
      <c r="B7" s="30" t="s">
        <v>14</v>
      </c>
      <c r="C7" s="31" t="s">
        <v>15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5.75" x14ac:dyDescent="0.25">
      <c r="A8" s="26"/>
      <c r="B8" s="30"/>
      <c r="C8" s="27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5.75" x14ac:dyDescent="0.25">
      <c r="A9" s="26"/>
      <c r="B9" s="30" t="s">
        <v>26</v>
      </c>
      <c r="C9" s="43" t="s">
        <v>27</v>
      </c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x14ac:dyDescent="0.25">
      <c r="A10" s="26"/>
      <c r="C10" s="44" t="s">
        <v>28</v>
      </c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x14ac:dyDescent="0.25">
      <c r="A11" s="26"/>
      <c r="C11" s="44" t="s">
        <v>30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5.75" x14ac:dyDescent="0.25">
      <c r="A12" s="26"/>
      <c r="B12" s="30"/>
      <c r="C12" s="44" t="s">
        <v>34</v>
      </c>
      <c r="D12" s="41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5.75" x14ac:dyDescent="0.25">
      <c r="A13" s="26"/>
      <c r="B13" s="30"/>
      <c r="D13" s="41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25.5" x14ac:dyDescent="0.25">
      <c r="A14" s="26"/>
      <c r="B14" s="30" t="s">
        <v>29</v>
      </c>
      <c r="C14" s="32" t="s">
        <v>35</v>
      </c>
      <c r="D14" s="41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25.5" x14ac:dyDescent="0.25">
      <c r="A15" s="26"/>
      <c r="B15" s="30"/>
      <c r="C15" s="32" t="s">
        <v>31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38.25" x14ac:dyDescent="0.25">
      <c r="A16" s="26"/>
      <c r="B16" s="30"/>
      <c r="C16" s="32" t="s">
        <v>32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5.75" x14ac:dyDescent="0.25">
      <c r="A17" s="26"/>
      <c r="B17" s="30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5.75" x14ac:dyDescent="0.25">
      <c r="A18" s="26"/>
      <c r="B18" s="30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5.75" x14ac:dyDescent="0.25">
      <c r="A19" s="26"/>
      <c r="B19" s="30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x14ac:dyDescent="0.25">
      <c r="A20" s="26"/>
      <c r="B20" s="26"/>
      <c r="C20" s="27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8" x14ac:dyDescent="0.25">
      <c r="A21" s="33" t="s">
        <v>37</v>
      </c>
      <c r="B21" s="26"/>
      <c r="C21" s="27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 thickBot="1" x14ac:dyDescent="0.3">
      <c r="A22" s="34"/>
      <c r="B22" s="34" t="s">
        <v>16</v>
      </c>
      <c r="C22" s="35" t="s">
        <v>17</v>
      </c>
      <c r="D22" s="34" t="s">
        <v>18</v>
      </c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x14ac:dyDescent="0.25">
      <c r="A23" s="26"/>
      <c r="B23" s="36">
        <v>43139</v>
      </c>
      <c r="C23" s="32" t="s">
        <v>23</v>
      </c>
      <c r="D23" s="37" t="s">
        <v>24</v>
      </c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38.25" x14ac:dyDescent="0.25">
      <c r="A24" s="26"/>
      <c r="B24" s="38"/>
      <c r="C24" s="32" t="s">
        <v>33</v>
      </c>
      <c r="D24" s="37" t="s">
        <v>24</v>
      </c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x14ac:dyDescent="0.25">
      <c r="A25" s="26"/>
      <c r="B25" s="26"/>
      <c r="C25" s="27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x14ac:dyDescent="0.25">
      <c r="A26" s="26"/>
      <c r="B26" s="26"/>
      <c r="C26" s="27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x14ac:dyDescent="0.25">
      <c r="A27" s="26"/>
      <c r="B27" s="39"/>
      <c r="C27" s="27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x14ac:dyDescent="0.25">
      <c r="A28" s="26"/>
      <c r="B28" s="26"/>
      <c r="C28" s="27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x14ac:dyDescent="0.25">
      <c r="A29" s="26"/>
      <c r="B29" s="26"/>
      <c r="C29" s="27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x14ac:dyDescent="0.25">
      <c r="A30" s="26"/>
      <c r="B30" s="26"/>
      <c r="C30" s="27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x14ac:dyDescent="0.25">
      <c r="A31" s="26"/>
      <c r="B31" s="26"/>
      <c r="C31" s="27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x14ac:dyDescent="0.25">
      <c r="A32" s="26"/>
      <c r="B32" s="26"/>
      <c r="C32" s="27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x14ac:dyDescent="0.25">
      <c r="A33" s="26"/>
      <c r="B33" s="26"/>
      <c r="C33" s="27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x14ac:dyDescent="0.25">
      <c r="A34" s="26"/>
      <c r="B34" s="26"/>
      <c r="C34" s="27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x14ac:dyDescent="0.25">
      <c r="A35" s="26"/>
      <c r="B35" s="26"/>
      <c r="C35" s="27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x14ac:dyDescent="0.25">
      <c r="A36" s="26"/>
      <c r="B36" s="26"/>
      <c r="C36" s="27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x14ac:dyDescent="0.25">
      <c r="A37" s="26"/>
      <c r="B37" s="26"/>
      <c r="C37" s="27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x14ac:dyDescent="0.25">
      <c r="A38" s="26"/>
      <c r="B38" s="26"/>
      <c r="C38" s="27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x14ac:dyDescent="0.25">
      <c r="A39" s="26"/>
      <c r="B39" s="26"/>
      <c r="C39" s="27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x14ac:dyDescent="0.25">
      <c r="A40" s="26"/>
      <c r="B40" s="26"/>
      <c r="C40" s="27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x14ac:dyDescent="0.25">
      <c r="A41" s="26"/>
      <c r="B41" s="26"/>
      <c r="C41" s="27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x14ac:dyDescent="0.25">
      <c r="A42" s="26"/>
      <c r="B42" s="26"/>
      <c r="C42" s="27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x14ac:dyDescent="0.25">
      <c r="A43" s="26"/>
      <c r="B43" s="26"/>
      <c r="C43" s="27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x14ac:dyDescent="0.25">
      <c r="A44" s="26"/>
      <c r="B44" s="26"/>
      <c r="C44" s="27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x14ac:dyDescent="0.25">
      <c r="A45" s="26"/>
      <c r="B45" s="26"/>
      <c r="C45" s="27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x14ac:dyDescent="0.25">
      <c r="A46" s="26"/>
      <c r="B46" s="26"/>
      <c r="C46" s="27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x14ac:dyDescent="0.25">
      <c r="A47" s="26"/>
      <c r="B47" s="26"/>
      <c r="C47" s="27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x14ac:dyDescent="0.25">
      <c r="A48" s="26"/>
      <c r="B48" s="26"/>
      <c r="C48" s="27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x14ac:dyDescent="0.25">
      <c r="A49" s="26"/>
      <c r="B49" s="26"/>
      <c r="C49" s="27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x14ac:dyDescent="0.25">
      <c r="A50" s="26"/>
      <c r="B50" s="26"/>
      <c r="C50" s="27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x14ac:dyDescent="0.25">
      <c r="A51" s="26"/>
      <c r="B51" s="26"/>
      <c r="C51" s="27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x14ac:dyDescent="0.25">
      <c r="A52" s="26"/>
      <c r="B52" s="26"/>
      <c r="C52" s="27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x14ac:dyDescent="0.25">
      <c r="A53" s="26"/>
      <c r="B53" s="26"/>
      <c r="C53" s="27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x14ac:dyDescent="0.25">
      <c r="A54" s="26"/>
      <c r="B54" s="26"/>
      <c r="C54" s="27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 x14ac:dyDescent="0.25">
      <c r="A55" s="26"/>
      <c r="B55" s="26"/>
      <c r="C55" s="27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x14ac:dyDescent="0.25">
      <c r="A56" s="26"/>
      <c r="B56" s="26"/>
      <c r="C56" s="27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x14ac:dyDescent="0.25">
      <c r="A57" s="26"/>
      <c r="B57" s="26"/>
      <c r="C57" s="27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x14ac:dyDescent="0.25">
      <c r="A58" s="26"/>
      <c r="B58" s="26"/>
      <c r="C58" s="27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x14ac:dyDescent="0.25">
      <c r="A59" s="26"/>
      <c r="B59" s="26"/>
      <c r="C59" s="27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x14ac:dyDescent="0.25">
      <c r="A60" s="26"/>
      <c r="B60" s="26"/>
      <c r="C60" s="27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x14ac:dyDescent="0.25">
      <c r="A61" s="26"/>
      <c r="B61" s="26"/>
      <c r="C61" s="27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 x14ac:dyDescent="0.25">
      <c r="A62" s="26"/>
      <c r="B62" s="26"/>
      <c r="C62" s="27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x14ac:dyDescent="0.25">
      <c r="A63" s="26"/>
      <c r="B63" s="26"/>
      <c r="C63" s="27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x14ac:dyDescent="0.25">
      <c r="A64" s="26"/>
      <c r="B64" s="26"/>
      <c r="C64" s="27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x14ac:dyDescent="0.25">
      <c r="A65" s="26"/>
      <c r="B65" s="26"/>
      <c r="C65" s="27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x14ac:dyDescent="0.25">
      <c r="A66" s="26"/>
      <c r="B66" s="26"/>
      <c r="C66" s="27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x14ac:dyDescent="0.25">
      <c r="A67" s="26"/>
      <c r="B67" s="26"/>
      <c r="C67" s="27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x14ac:dyDescent="0.25">
      <c r="A68" s="26"/>
      <c r="B68" s="26"/>
      <c r="C68" s="27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x14ac:dyDescent="0.25">
      <c r="A69" s="26"/>
      <c r="B69" s="26"/>
      <c r="C69" s="27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x14ac:dyDescent="0.25">
      <c r="A70" s="26"/>
      <c r="B70" s="26"/>
      <c r="C70" s="27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x14ac:dyDescent="0.25">
      <c r="A71" s="26"/>
      <c r="B71" s="26"/>
      <c r="C71" s="27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x14ac:dyDescent="0.25">
      <c r="A72" s="26"/>
      <c r="B72" s="26"/>
      <c r="C72" s="27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x14ac:dyDescent="0.25">
      <c r="A73" s="26"/>
      <c r="B73" s="26"/>
      <c r="C73" s="27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x14ac:dyDescent="0.25">
      <c r="A74" s="26"/>
      <c r="B74" s="26"/>
      <c r="C74" s="27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x14ac:dyDescent="0.25">
      <c r="A75" s="26"/>
      <c r="B75" s="26"/>
      <c r="C75" s="27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x14ac:dyDescent="0.25">
      <c r="A76" s="26"/>
      <c r="B76" s="26"/>
      <c r="C76" s="27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x14ac:dyDescent="0.25">
      <c r="A77" s="26"/>
      <c r="B77" s="26"/>
      <c r="C77" s="27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x14ac:dyDescent="0.25">
      <c r="A78" s="26"/>
      <c r="B78" s="26"/>
      <c r="C78" s="27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x14ac:dyDescent="0.25">
      <c r="A79" s="26"/>
      <c r="B79" s="26"/>
      <c r="C79" s="27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x14ac:dyDescent="0.25">
      <c r="A80" s="26"/>
      <c r="B80" s="26"/>
      <c r="C80" s="27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x14ac:dyDescent="0.25">
      <c r="A81" s="26"/>
      <c r="B81" s="26"/>
      <c r="C81" s="27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x14ac:dyDescent="0.25">
      <c r="A82" s="26"/>
      <c r="B82" s="26"/>
      <c r="C82" s="27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x14ac:dyDescent="0.25">
      <c r="A83" s="26"/>
      <c r="B83" s="26"/>
      <c r="C83" s="27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x14ac:dyDescent="0.25">
      <c r="A84" s="26"/>
      <c r="B84" s="26"/>
      <c r="C84" s="27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x14ac:dyDescent="0.25">
      <c r="A85" s="26"/>
      <c r="B85" s="26"/>
      <c r="C85" s="27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x14ac:dyDescent="0.25">
      <c r="A86" s="26"/>
      <c r="B86" s="26"/>
      <c r="C86" s="27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x14ac:dyDescent="0.25">
      <c r="A87" s="26"/>
      <c r="B87" s="26"/>
      <c r="C87" s="27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x14ac:dyDescent="0.25">
      <c r="A88" s="26"/>
      <c r="B88" s="26"/>
      <c r="C88" s="27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x14ac:dyDescent="0.25">
      <c r="A89" s="26"/>
      <c r="B89" s="26"/>
      <c r="C89" s="27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x14ac:dyDescent="0.25">
      <c r="A90" s="26"/>
      <c r="B90" s="26"/>
      <c r="C90" s="27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x14ac:dyDescent="0.25">
      <c r="A91" s="26"/>
      <c r="B91" s="26"/>
      <c r="C91" s="27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x14ac:dyDescent="0.25">
      <c r="A92" s="26"/>
      <c r="B92" s="26"/>
      <c r="C92" s="27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x14ac:dyDescent="0.25">
      <c r="A93" s="26"/>
      <c r="B93" s="26"/>
      <c r="C93" s="27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x14ac:dyDescent="0.25">
      <c r="A94" s="26"/>
      <c r="B94" s="26"/>
      <c r="C94" s="27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x14ac:dyDescent="0.25">
      <c r="A95" s="26"/>
      <c r="B95" s="26"/>
      <c r="C95" s="27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x14ac:dyDescent="0.25">
      <c r="A96" s="26"/>
      <c r="B96" s="26"/>
      <c r="C96" s="27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x14ac:dyDescent="0.25">
      <c r="A97" s="26"/>
      <c r="B97" s="26"/>
      <c r="C97" s="27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x14ac:dyDescent="0.25">
      <c r="A98" s="26"/>
      <c r="B98" s="26"/>
      <c r="C98" s="27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x14ac:dyDescent="0.25">
      <c r="A99" s="26"/>
      <c r="B99" s="26"/>
      <c r="C99" s="27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x14ac:dyDescent="0.25">
      <c r="A100" s="26"/>
      <c r="B100" s="26"/>
      <c r="C100" s="27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XFD1048576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workbookViewId="0">
      <selection activeCell="D29" sqref="D29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25" t="s">
        <v>12</v>
      </c>
      <c r="B2" s="14">
        <v>0</v>
      </c>
    </row>
    <row r="4" spans="1:18" ht="15.75" thickBot="1" x14ac:dyDescent="0.3"/>
    <row r="5" spans="1:18" s="17" customFormat="1" ht="23.25" x14ac:dyDescent="0.35">
      <c r="A5" s="49" t="s">
        <v>13</v>
      </c>
      <c r="B5" s="15">
        <v>0</v>
      </c>
      <c r="C5" s="15">
        <f>IF(F16="palpatine",163,168)</f>
        <v>163</v>
      </c>
      <c r="D5" s="15">
        <f>IF(F16="palpatine",329,340)</f>
        <v>329</v>
      </c>
      <c r="E5" s="15">
        <f>IF(F16="palpatine",501,518)</f>
        <v>501</v>
      </c>
      <c r="F5" s="15">
        <f>IF(F16="palpatine",682,706)</f>
        <v>682</v>
      </c>
      <c r="G5" s="15">
        <f>IF(F16="palpatine",876,908)</f>
        <v>876</v>
      </c>
      <c r="H5" s="15">
        <f>IF(F16="palpatine",1090,1131)</f>
        <v>1090</v>
      </c>
      <c r="I5" s="15">
        <f>IF(F16="palpatine",1328,1383)</f>
        <v>1328</v>
      </c>
      <c r="J5" s="15">
        <f>IF(F16="palpatine",1600,1674)</f>
        <v>1600</v>
      </c>
      <c r="K5" s="15">
        <f>IF(F16="palpatine",1919,2019)</f>
        <v>1919</v>
      </c>
      <c r="L5" s="15">
        <f>IF(F16="palpatine",2301,2442)</f>
        <v>2301</v>
      </c>
      <c r="M5" s="15">
        <f>IF(F16="palpatine",2773,2981)</f>
        <v>2773</v>
      </c>
      <c r="N5" s="15">
        <f>IF(F16="palpatine",3370,3693)</f>
        <v>3370</v>
      </c>
      <c r="O5" s="15">
        <f>IF(F16="palpatine",4140,4672)</f>
        <v>4140</v>
      </c>
      <c r="P5" s="15">
        <f>IF(F16="palpatine",5136,6059)</f>
        <v>5136</v>
      </c>
      <c r="Q5" s="15">
        <f>IF(F16="palpatine",6383,7997)</f>
        <v>6383</v>
      </c>
      <c r="R5" s="16">
        <f>IF(F16="palpatine",7812,10417)</f>
        <v>7812</v>
      </c>
    </row>
    <row r="6" spans="1:18" s="17" customFormat="1" ht="24" thickBot="1" x14ac:dyDescent="0.4">
      <c r="A6" s="50"/>
      <c r="B6" s="18">
        <v>-9</v>
      </c>
      <c r="C6" s="18">
        <v>-9</v>
      </c>
      <c r="D6" s="18">
        <v>-9</v>
      </c>
      <c r="E6" s="18">
        <v>-9</v>
      </c>
      <c r="F6" s="18">
        <v>-8</v>
      </c>
      <c r="G6" s="18">
        <v>-7</v>
      </c>
      <c r="H6" s="18">
        <v>-10</v>
      </c>
      <c r="I6" s="18">
        <v>-10</v>
      </c>
      <c r="J6" s="18">
        <v>-8</v>
      </c>
      <c r="K6" s="18">
        <v>-7</v>
      </c>
      <c r="L6" s="18">
        <v>-4</v>
      </c>
      <c r="M6" s="18">
        <v>-5</v>
      </c>
      <c r="N6" s="18">
        <v>0</v>
      </c>
      <c r="O6" s="18">
        <v>2</v>
      </c>
      <c r="P6" s="18">
        <v>-1</v>
      </c>
      <c r="Q6" s="18">
        <v>0</v>
      </c>
      <c r="R6" s="19">
        <v>0</v>
      </c>
    </row>
    <row r="7" spans="1:18" s="17" customFormat="1" ht="24" thickBot="1" x14ac:dyDescent="0.4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s="17" customFormat="1" ht="23.25" x14ac:dyDescent="0.35">
      <c r="A8" s="51" t="s">
        <v>0</v>
      </c>
      <c r="B8" s="21">
        <v>250</v>
      </c>
      <c r="C8" s="15">
        <v>500</v>
      </c>
      <c r="D8" s="15">
        <v>750</v>
      </c>
      <c r="E8" s="15">
        <v>1000</v>
      </c>
      <c r="F8" s="15">
        <v>1500</v>
      </c>
      <c r="G8" s="15">
        <v>2000</v>
      </c>
      <c r="H8" s="15">
        <v>3000</v>
      </c>
      <c r="I8" s="15">
        <v>4000</v>
      </c>
      <c r="J8" s="15">
        <v>6000</v>
      </c>
      <c r="K8" s="16" t="str">
        <f>IF(F16="palpatine","",8000)</f>
        <v/>
      </c>
      <c r="L8" s="20"/>
      <c r="M8" s="20"/>
      <c r="N8" s="20"/>
      <c r="O8" s="20"/>
      <c r="P8" s="20"/>
      <c r="Q8" s="20"/>
      <c r="R8" s="20"/>
    </row>
    <row r="9" spans="1:18" s="17" customFormat="1" ht="24" thickBot="1" x14ac:dyDescent="0.4">
      <c r="A9" s="52"/>
      <c r="B9" s="22">
        <v>50</v>
      </c>
      <c r="C9" s="18">
        <v>50</v>
      </c>
      <c r="D9" s="18">
        <v>50</v>
      </c>
      <c r="E9" s="18">
        <v>50</v>
      </c>
      <c r="F9" s="18">
        <v>50</v>
      </c>
      <c r="G9" s="18">
        <v>50</v>
      </c>
      <c r="H9" s="18">
        <v>47</v>
      </c>
      <c r="I9" s="18">
        <v>47</v>
      </c>
      <c r="J9" s="18">
        <v>47</v>
      </c>
      <c r="K9" s="19">
        <v>47</v>
      </c>
      <c r="L9" s="20"/>
      <c r="M9" s="20"/>
      <c r="N9" s="20"/>
      <c r="O9" s="20"/>
      <c r="P9" s="20"/>
      <c r="Q9" s="20"/>
      <c r="R9" s="20"/>
    </row>
    <row r="13" spans="1:18" ht="23.25" x14ac:dyDescent="0.35">
      <c r="F13" s="12" t="s">
        <v>10</v>
      </c>
      <c r="G13" s="11"/>
    </row>
    <row r="14" spans="1:18" ht="18.75" x14ac:dyDescent="0.3">
      <c r="G14" s="24" t="s">
        <v>11</v>
      </c>
    </row>
    <row r="15" spans="1:18" ht="19.5" thickBot="1" x14ac:dyDescent="0.35">
      <c r="G15" s="13"/>
    </row>
    <row r="16" spans="1:18" ht="21.75" thickBot="1" x14ac:dyDescent="0.4">
      <c r="F16" s="42" t="s">
        <v>5</v>
      </c>
      <c r="G16" s="23">
        <f>IF(F16="palpatine",Palpatine,Dooku)</f>
        <v>6</v>
      </c>
      <c r="H16" s="24"/>
    </row>
    <row r="17" spans="6:11" ht="18.75" x14ac:dyDescent="0.3">
      <c r="G17" s="13"/>
    </row>
    <row r="18" spans="6:11" x14ac:dyDescent="0.25">
      <c r="F18" s="46" t="s">
        <v>9</v>
      </c>
      <c r="G18" s="53" t="s">
        <v>20</v>
      </c>
      <c r="H18" s="53"/>
      <c r="I18" s="53"/>
      <c r="J18" s="53"/>
      <c r="K18" s="53"/>
    </row>
  </sheetData>
  <dataConsolidate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19"/>
  <sheetViews>
    <sheetView workbookViewId="0">
      <selection activeCell="C11" sqref="C11:DZ11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 ht="15.75" thickBot="1" x14ac:dyDescent="0.3">
      <c r="B11" s="6" t="s">
        <v>2</v>
      </c>
      <c r="C11" s="7">
        <v>-15</v>
      </c>
      <c r="D11" s="7">
        <v>-15</v>
      </c>
      <c r="E11" s="7">
        <v>-15</v>
      </c>
      <c r="F11" s="7">
        <v>-15</v>
      </c>
      <c r="G11" s="7">
        <v>-15</v>
      </c>
      <c r="H11" s="7">
        <v>-15</v>
      </c>
      <c r="I11" s="7">
        <v>-15</v>
      </c>
      <c r="J11" s="7">
        <v>-15</v>
      </c>
      <c r="K11" s="7">
        <v>-15</v>
      </c>
      <c r="L11" s="7">
        <v>-14.727727900552486</v>
      </c>
      <c r="M11" s="7">
        <v>-14.390538674033149</v>
      </c>
      <c r="N11" s="7">
        <v>-14.053349447513812</v>
      </c>
      <c r="O11" s="7">
        <v>-13.735180412371134</v>
      </c>
      <c r="P11" s="7">
        <v>-13.420586340206185</v>
      </c>
      <c r="Q11" s="7">
        <v>-13.105992268041238</v>
      </c>
      <c r="R11" s="7">
        <v>-13.567318925233645</v>
      </c>
      <c r="S11" s="7">
        <v>-14.422897196261681</v>
      </c>
      <c r="T11" s="7">
        <v>-15.27847546728972</v>
      </c>
      <c r="U11" s="7">
        <v>-16</v>
      </c>
      <c r="V11" s="7">
        <v>-16</v>
      </c>
      <c r="W11" s="7">
        <v>-16</v>
      </c>
      <c r="X11" s="7">
        <v>-16</v>
      </c>
      <c r="Y11" s="7">
        <v>-15.884650735294118</v>
      </c>
      <c r="Z11" s="7">
        <v>-15.435891544117647</v>
      </c>
      <c r="AA11" s="7">
        <v>-14.987132352941176</v>
      </c>
      <c r="AB11" s="7">
        <v>-14.538373161764707</v>
      </c>
      <c r="AC11" s="7">
        <v>-14.089613970588236</v>
      </c>
      <c r="AD11" s="7">
        <v>-13.846884796238244</v>
      </c>
      <c r="AE11" s="7">
        <v>-13.655564263322884</v>
      </c>
      <c r="AF11" s="7">
        <v>-13.464243730407523</v>
      </c>
      <c r="AG11" s="7">
        <v>-13.272923197492164</v>
      </c>
      <c r="AH11" s="7">
        <v>-13.081602664576803</v>
      </c>
      <c r="AI11" s="7">
        <v>-12.725130890052355</v>
      </c>
      <c r="AJ11" s="7">
        <v>-12.245827879581151</v>
      </c>
      <c r="AK11" s="7">
        <v>-11.766524869109947</v>
      </c>
      <c r="AL11" s="7">
        <v>-11.287221858638743</v>
      </c>
      <c r="AM11" s="7">
        <v>-10.807918848167539</v>
      </c>
      <c r="AN11" s="7">
        <v>-10.328615837696335</v>
      </c>
      <c r="AO11" s="7">
        <v>-10.040651483050848</v>
      </c>
      <c r="AP11" s="7">
        <v>-10.169954978813559</v>
      </c>
      <c r="AQ11" s="7">
        <v>-10.299258474576272</v>
      </c>
      <c r="AR11" s="7">
        <v>-10.428561970338983</v>
      </c>
      <c r="AS11" s="7">
        <v>-10.557865466101696</v>
      </c>
      <c r="AT11" s="7">
        <v>-10.687168961864407</v>
      </c>
      <c r="AU11" s="7">
        <v>-10.816472457627119</v>
      </c>
      <c r="AV11" s="7">
        <v>-10.94577595338983</v>
      </c>
      <c r="AW11" s="7">
        <v>-10.703203517587939</v>
      </c>
      <c r="AX11" s="7">
        <v>-10.192054020100503</v>
      </c>
      <c r="AY11" s="7">
        <v>-9.6809045226130657</v>
      </c>
      <c r="AZ11" s="7">
        <v>-9.1697550251256281</v>
      </c>
      <c r="BA11" s="7">
        <v>-8.6586055276381906</v>
      </c>
      <c r="BB11" s="7">
        <v>-8.147456030150753</v>
      </c>
      <c r="BC11" s="7">
        <v>-7.6363065326633164</v>
      </c>
      <c r="BD11" s="7">
        <v>-7.1251570351758797</v>
      </c>
      <c r="BE11" s="7">
        <v>-6.6140075376884422</v>
      </c>
      <c r="BF11" s="7">
        <v>-6.1028580402010046</v>
      </c>
      <c r="BG11" s="7">
        <v>-5.8733766233766236</v>
      </c>
      <c r="BH11" s="7">
        <v>-5.7148538961038957</v>
      </c>
      <c r="BI11" s="7">
        <v>-5.5563311688311687</v>
      </c>
      <c r="BJ11" s="7">
        <v>-5.3978084415584417</v>
      </c>
      <c r="BK11" s="7">
        <v>-5.2392857142857139</v>
      </c>
      <c r="BL11" s="7">
        <v>-5.0807629870129869</v>
      </c>
      <c r="BM11" s="7">
        <v>-4.9222402597402599</v>
      </c>
      <c r="BN11" s="7">
        <v>-4.763717532467532</v>
      </c>
      <c r="BO11" s="7">
        <v>-4.6051948051948051</v>
      </c>
      <c r="BP11" s="7">
        <v>-4.4466720779220781</v>
      </c>
      <c r="BQ11" s="7">
        <v>-4.2881493506493502</v>
      </c>
      <c r="BR11" s="7">
        <v>-4.1296266233766232</v>
      </c>
      <c r="BS11" s="7">
        <v>-4.0335090361445785</v>
      </c>
      <c r="BT11" s="7">
        <v>-4.2173381024096388</v>
      </c>
      <c r="BU11" s="7">
        <v>-4.4011671686746991</v>
      </c>
      <c r="BV11" s="7">
        <v>-4.5849962349397586</v>
      </c>
      <c r="BW11" s="7">
        <v>-4.768825301204819</v>
      </c>
      <c r="BX11" s="7">
        <v>-4.9526543674698793</v>
      </c>
      <c r="BY11" s="7">
        <v>-5.1364834337349397</v>
      </c>
      <c r="BZ11" s="7">
        <v>-5.3203125</v>
      </c>
      <c r="CA11" s="7">
        <v>-5.5041415662650603</v>
      </c>
      <c r="CB11" s="7">
        <v>-5.6879706325301207</v>
      </c>
      <c r="CC11" s="7">
        <v>-5.871799698795181</v>
      </c>
      <c r="CD11" s="7">
        <v>-6.0556287650602414</v>
      </c>
      <c r="CE11" s="7">
        <v>-6.2394578313253009</v>
      </c>
      <c r="CF11" s="7">
        <v>-6.4232868975903612</v>
      </c>
      <c r="CG11" s="7">
        <v>-6.6071159638554215</v>
      </c>
      <c r="CH11" s="7">
        <v>-6.7909450301204819</v>
      </c>
      <c r="CI11" s="7">
        <v>-6.9747740963855422</v>
      </c>
      <c r="CJ11" s="7">
        <v>-6.9577736567762631</v>
      </c>
      <c r="CK11" s="7">
        <v>-6.9088311948676822</v>
      </c>
      <c r="CL11" s="7">
        <v>-6.8598887329591021</v>
      </c>
      <c r="CM11" s="7">
        <v>-6.8109462710505211</v>
      </c>
      <c r="CN11" s="7">
        <v>-6.762003809141941</v>
      </c>
      <c r="CO11" s="7">
        <v>-6.71306134723336</v>
      </c>
      <c r="CP11" s="7">
        <v>-6.664118885324779</v>
      </c>
      <c r="CQ11" s="7">
        <v>-6.6151764234161989</v>
      </c>
      <c r="CR11" s="7">
        <v>-6.566233961507618</v>
      </c>
      <c r="CS11" s="7">
        <v>-6.5172914995990379</v>
      </c>
      <c r="CT11" s="7">
        <v>-6.4683490376904569</v>
      </c>
      <c r="CU11" s="7">
        <v>-6.4194065757818768</v>
      </c>
      <c r="CV11" s="7">
        <v>-6.3704641138732958</v>
      </c>
      <c r="CW11" s="7">
        <v>-6.3215216519647157</v>
      </c>
      <c r="CX11" s="7">
        <v>-6.2725791900561347</v>
      </c>
      <c r="CY11" s="7">
        <v>-6.2236367281475538</v>
      </c>
      <c r="CZ11" s="7">
        <v>-6.1746942662389737</v>
      </c>
      <c r="DA11" s="7">
        <v>-6.1257518043303927</v>
      </c>
      <c r="DB11" s="7">
        <v>-6.0768093424218126</v>
      </c>
      <c r="DC11" s="7">
        <v>-6.0278668805132316</v>
      </c>
      <c r="DD11" s="7">
        <v>-6</v>
      </c>
      <c r="DE11" s="7">
        <v>-6</v>
      </c>
      <c r="DF11" s="7">
        <v>-6</v>
      </c>
      <c r="DG11" s="7">
        <v>-6</v>
      </c>
      <c r="DH11" s="7">
        <v>-6</v>
      </c>
      <c r="DI11" s="7">
        <v>-6</v>
      </c>
      <c r="DJ11" s="7">
        <v>-6</v>
      </c>
      <c r="DK11" s="7">
        <v>-6</v>
      </c>
      <c r="DL11" s="7">
        <v>-6</v>
      </c>
      <c r="DM11" s="7">
        <v>-6</v>
      </c>
      <c r="DN11" s="7">
        <v>-6</v>
      </c>
      <c r="DO11" s="7">
        <v>-6</v>
      </c>
      <c r="DP11" s="7">
        <v>-6</v>
      </c>
      <c r="DQ11" s="7">
        <v>-6</v>
      </c>
      <c r="DR11" s="7">
        <v>-6</v>
      </c>
      <c r="DS11" s="7">
        <v>-6</v>
      </c>
      <c r="DT11" s="7">
        <v>-6</v>
      </c>
      <c r="DU11" s="7">
        <v>-6</v>
      </c>
      <c r="DV11" s="7">
        <v>-6</v>
      </c>
      <c r="DW11" s="7">
        <v>-6</v>
      </c>
      <c r="DX11" s="7">
        <v>-6</v>
      </c>
      <c r="DY11" s="7">
        <v>-6</v>
      </c>
      <c r="DZ11" s="8">
        <v>-6</v>
      </c>
    </row>
    <row r="14" spans="2:130" x14ac:dyDescent="0.25">
      <c r="B14" s="10" t="s">
        <v>8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7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5</v>
      </c>
      <c r="C18">
        <v>6</v>
      </c>
    </row>
    <row r="19" spans="2:3" x14ac:dyDescent="0.25">
      <c r="B19" s="10" t="s">
        <v>6</v>
      </c>
      <c r="C19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G18" sqref="G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User Guide</vt:lpstr>
      <vt:lpstr>output</vt:lpstr>
      <vt:lpstr>import</vt:lpstr>
      <vt:lpstr>calibration</vt:lpstr>
      <vt:lpstr>front</vt:lpstr>
      <vt:lpstr>rear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2018-02-09T08:55:16Z</dcterms:modified>
</cp:coreProperties>
</file>