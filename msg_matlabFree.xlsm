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ache\Documents\MATLAB\"/>
    </mc:Choice>
  </mc:AlternateContent>
  <bookViews>
    <workbookView xWindow="26040" yWindow="0" windowWidth="14715" windowHeight="10500"/>
  </bookViews>
  <sheets>
    <sheet name="data" sheetId="3" r:id="rId1"/>
    <sheet name="import" sheetId="1" r:id="rId2"/>
    <sheet name="calibration" sheetId="4" state="hidden" r:id="rId3"/>
  </sheets>
  <definedNames>
    <definedName name="Dooku">calibration!$C$19</definedName>
    <definedName name="Palpatine">calibration!$C$18</definedName>
    <definedName name="temp" localSheetId="1">import!$B$3:$DY$3</definedName>
    <definedName name="temp_1" localSheetId="1">import!$B$4:$DY$6</definedName>
    <definedName name="首列">calibration!$B$18:$B$19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" l="1"/>
  <c r="DZ10" i="4"/>
  <c r="DY10" i="4"/>
  <c r="DX10" i="4"/>
  <c r="DW10" i="4"/>
  <c r="DV10" i="4"/>
  <c r="DU10" i="4"/>
  <c r="DT10" i="4"/>
  <c r="DS10" i="4"/>
  <c r="DR10" i="4"/>
  <c r="DQ10" i="4"/>
  <c r="DP10" i="4"/>
  <c r="DO10" i="4"/>
  <c r="DN10" i="4"/>
  <c r="DM10" i="4"/>
  <c r="DL10" i="4"/>
  <c r="DK10" i="4"/>
  <c r="DJ10" i="4"/>
  <c r="DI10" i="4"/>
  <c r="DH10" i="4"/>
  <c r="DG10" i="4"/>
  <c r="DF10" i="4"/>
  <c r="DE10" i="4"/>
  <c r="DD10" i="4"/>
  <c r="DC10" i="4"/>
  <c r="DB10" i="4"/>
  <c r="DA10" i="4"/>
  <c r="CZ10" i="4"/>
  <c r="CY10" i="4"/>
  <c r="CX10" i="4"/>
  <c r="CW10" i="4"/>
  <c r="CV10" i="4"/>
  <c r="CU10" i="4"/>
  <c r="CT10" i="4"/>
  <c r="CS10" i="4"/>
  <c r="CR10" i="4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CB10" i="4"/>
  <c r="CA10" i="4"/>
  <c r="BZ10" i="4"/>
  <c r="BY10" i="4"/>
  <c r="BX10" i="4"/>
  <c r="BW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C7" i="4"/>
  <c r="K8" i="1"/>
  <c r="R5" i="1"/>
  <c r="S7" i="4" s="1"/>
  <c r="Q5" i="1"/>
  <c r="R7" i="4" s="1"/>
  <c r="P5" i="1"/>
  <c r="Q7" i="4" s="1"/>
  <c r="O5" i="1"/>
  <c r="P7" i="4" s="1"/>
  <c r="N5" i="1"/>
  <c r="O7" i="4" s="1"/>
  <c r="M5" i="1"/>
  <c r="N7" i="4" s="1"/>
  <c r="L5" i="1"/>
  <c r="M7" i="4" s="1"/>
  <c r="K5" i="1"/>
  <c r="L7" i="4" s="1"/>
  <c r="J5" i="1"/>
  <c r="K7" i="4" s="1"/>
  <c r="I5" i="1"/>
  <c r="J7" i="4" s="1"/>
  <c r="H5" i="1"/>
  <c r="I7" i="4" s="1"/>
  <c r="G5" i="1"/>
  <c r="H7" i="4" s="1"/>
  <c r="F5" i="1"/>
  <c r="G7" i="4" s="1"/>
  <c r="E5" i="1"/>
  <c r="F7" i="4" s="1"/>
  <c r="D5" i="1"/>
  <c r="E7" i="4" s="1"/>
  <c r="C5" i="1"/>
  <c r="D7" i="4" s="1"/>
  <c r="G16" i="1"/>
  <c r="D8" i="4" s="1"/>
  <c r="H8" i="4" l="1"/>
  <c r="L8" i="4"/>
  <c r="E8" i="4"/>
  <c r="F8" i="4"/>
  <c r="G8" i="4"/>
  <c r="I8" i="4"/>
  <c r="J8" i="4"/>
  <c r="K8" i="4"/>
  <c r="P8" i="4"/>
  <c r="Q8" i="4"/>
  <c r="M8" i="4"/>
  <c r="N8" i="4"/>
  <c r="R8" i="4"/>
  <c r="C8" i="4"/>
  <c r="S8" i="4"/>
  <c r="O8" i="4"/>
</calcChain>
</file>

<file path=xl/connections.xml><?xml version="1.0" encoding="utf-8"?>
<connections xmlns="http://schemas.openxmlformats.org/spreadsheetml/2006/main">
  <connection id="1" name="temp" type="6" refreshedVersion="5" background="1" saveData="1">
    <textPr codePage="936" sourceFile="C:\Users\chache\Documents\MATLAB\temp.txt" space="1" consecutive="1">
      <textFields count="12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emp1" type="6" refreshedVersion="5" background="1" saveData="1">
    <textPr codePage="936" sourceFile="C:\Users\chache\Documents\MATLAB\temp.txt" space="1" consecutive="1">
      <textFields count="12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<sst xmlns="http://schemas.openxmlformats.org/spreadsheetml/2006/main" count="3401" uniqueCount="3370">
  <si>
    <t>IG</t>
  </si>
  <si>
    <t>cal</t>
  </si>
  <si>
    <t>cal_interp</t>
  </si>
  <si>
    <t>fre_interp</t>
  </si>
  <si>
    <t>fre</t>
  </si>
  <si>
    <t>prod. Offset=</t>
  </si>
  <si>
    <t>Palpatine</t>
  </si>
  <si>
    <t>Dooku</t>
  </si>
  <si>
    <t>palpatine</t>
  </si>
  <si>
    <t>dooku</t>
  </si>
  <si>
    <t>log file path:</t>
  </si>
  <si>
    <t>C:\Users\chache\Documents\logfile</t>
  </si>
  <si>
    <t>unfortunately, Dooku DFS log file didn't export the msg_dfs_off! So now, only Palpatine version available</t>
  </si>
  <si>
    <t>FILL all the yellow section, choose firmware from pull-down list below</t>
  </si>
  <si>
    <t>Don't type anything besides yellow cells</t>
  </si>
  <si>
    <t>msg_dfs_off data from log files</t>
  </si>
  <si>
    <t>frequency</t>
  </si>
  <si>
    <t>B70_BT_P5_005_front</t>
  </si>
  <si>
    <t>B70_BT_P5_005_rear</t>
  </si>
  <si>
    <t>376.040068301167</t>
  </si>
  <si>
    <t>89.8998844845805</t>
  </si>
  <si>
    <t>76.5804364424889</t>
  </si>
  <si>
    <t>76.8904884862309</t>
  </si>
  <si>
    <t>65.6577431565461</t>
  </si>
  <si>
    <t>65.4699986731301</t>
  </si>
  <si>
    <t>66.239832457042</t>
  </si>
  <si>
    <t>67.8148283589074</t>
  </si>
  <si>
    <t>66.1127687945656</t>
  </si>
  <si>
    <t>66.9200274830747</t>
  </si>
  <si>
    <t>65.429989754005</t>
  </si>
  <si>
    <t>64.8543674434268</t>
  </si>
  <si>
    <t>64.7792627796647</t>
  </si>
  <si>
    <t>62.9001295838549</t>
  </si>
  <si>
    <t>61.7005179573622</t>
  </si>
  <si>
    <t>60.0455977647252</t>
  </si>
  <si>
    <t>59.435940901464</t>
  </si>
  <si>
    <t>59.6404834591775</t>
  </si>
  <si>
    <t>59.4885055916041</t>
  </si>
  <si>
    <t>59.2123884452147</t>
  </si>
  <si>
    <t>59.980220607727</t>
  </si>
  <si>
    <t>59.764882196397</t>
  </si>
  <si>
    <t>60.6832866759859</t>
  </si>
  <si>
    <t>60.2293975936139</t>
  </si>
  <si>
    <t>61.3416942363937</t>
  </si>
  <si>
    <t>61.5313536833872</t>
  </si>
  <si>
    <t>61.9758313126822</t>
  </si>
  <si>
    <t>63.0571766305823</t>
  </si>
  <si>
    <t>63.7043742464323</t>
  </si>
  <si>
    <t>63.7195275269337</t>
  </si>
  <si>
    <t>63.8398255556592</t>
  </si>
  <si>
    <t>64.4039455209339</t>
  </si>
  <si>
    <t>64.8796759358622</t>
  </si>
  <si>
    <t>67.7309524017062</t>
  </si>
  <si>
    <t>72.580627851536</t>
  </si>
  <si>
    <t>68.5400466335116</t>
  </si>
  <si>
    <t>67.090393008001</t>
  </si>
  <si>
    <t>66.8320035548176</t>
  </si>
  <si>
    <t>64.9271204416775</t>
  </si>
  <si>
    <t>62.6183678445234</t>
  </si>
  <si>
    <t>60.0229927110703</t>
  </si>
  <si>
    <t>58.4906259772231</t>
  </si>
  <si>
    <t>58.655362922006</t>
  </si>
  <si>
    <t>60.231395206944</t>
  </si>
  <si>
    <t>61.7021777250985</t>
  </si>
  <si>
    <t>63.614830634401</t>
  </si>
  <si>
    <t>63.5271742237277</t>
  </si>
  <si>
    <t>63.3106290264807</t>
  </si>
  <si>
    <t>62.4543171317618</t>
  </si>
  <si>
    <t>60.8396763366395</t>
  </si>
  <si>
    <t>59.2713776876462</t>
  </si>
  <si>
    <t>57.2091373359018</t>
  </si>
  <si>
    <t>55.7399461381887</t>
  </si>
  <si>
    <t>54.3889129232439</t>
  </si>
  <si>
    <t>53.216666502153</t>
  </si>
  <si>
    <t>52.5759695979299</t>
  </si>
  <si>
    <t>52.0134975304372</t>
  </si>
  <si>
    <t>51.383969414351</t>
  </si>
  <si>
    <t>50.7508614865813</t>
  </si>
  <si>
    <t>49.8775389738492</t>
  </si>
  <si>
    <t>49.0837802106761</t>
  </si>
  <si>
    <t>48.3020288411714</t>
  </si>
  <si>
    <t>47.6612402977555</t>
  </si>
  <si>
    <t>47.1951157019094</t>
  </si>
  <si>
    <t>46.8452883749087</t>
  </si>
  <si>
    <t>46.4979346711005</t>
  </si>
  <si>
    <t>46.0178130214112</t>
  </si>
  <si>
    <t>45.4793612839002</t>
  </si>
  <si>
    <t>44.8618287123384</t>
  </si>
  <si>
    <t>44.1698857203469</t>
  </si>
  <si>
    <t>43.7302421964695</t>
  </si>
  <si>
    <t>43.4765586751771</t>
  </si>
  <si>
    <t>43.7204673799189</t>
  </si>
  <si>
    <t>43.8728127584201</t>
  </si>
  <si>
    <t>44.6235708468276</t>
  </si>
  <si>
    <t>45.8181476902335</t>
  </si>
  <si>
    <t>46.8901440576603</t>
  </si>
  <si>
    <t>45.9728440003299</t>
  </si>
  <si>
    <t>46.3857442060147</t>
  </si>
  <si>
    <t>46.9290026538789</t>
  </si>
  <si>
    <t>46.9130795202089</t>
  </si>
  <si>
    <t>46.5403632160357</t>
  </si>
  <si>
    <t>46.1551745794349</t>
  </si>
  <si>
    <t>46.0962259617712</t>
  </si>
  <si>
    <t>46.9438005990607</t>
  </si>
  <si>
    <t>49.081298931963</t>
  </si>
  <si>
    <t>51.7848897965726</t>
  </si>
  <si>
    <t>55.5931226985304</t>
  </si>
  <si>
    <t>60.899290305195</t>
  </si>
  <si>
    <t>66.0014476778671</t>
  </si>
  <si>
    <t>64.9079896309621</t>
  </si>
  <si>
    <t>61.8083545661563</t>
  </si>
  <si>
    <t>59.3477352869925</t>
  </si>
  <si>
    <t>57.9713790376746</t>
  </si>
  <si>
    <t>56.9206167596963</t>
  </si>
  <si>
    <t>56.8190655559861</t>
  </si>
  <si>
    <t>56.7349813458672</t>
  </si>
  <si>
    <t>56.3016787161807</t>
  </si>
  <si>
    <t>55.5267833086934</t>
  </si>
  <si>
    <t>55.0999603969035</t>
  </si>
  <si>
    <t>55.19176488167</t>
  </si>
  <si>
    <t>55.514579413654</t>
  </si>
  <si>
    <t>55.8433324731583</t>
  </si>
  <si>
    <t>56.3323969469796</t>
  </si>
  <si>
    <t>56.7611516251877</t>
  </si>
  <si>
    <t>57.3252967634529</t>
  </si>
  <si>
    <t>57.6268298623624</t>
  </si>
  <si>
    <t>57.3578857978107</t>
  </si>
  <si>
    <t>57.0817962658229</t>
  </si>
  <si>
    <t>57.2660699449833</t>
  </si>
  <si>
    <t>57.632248452979</t>
  </si>
  <si>
    <t>58.2265314219479</t>
  </si>
  <si>
    <t>58.302555274959</t>
  </si>
  <si>
    <t>58.5409274947211</t>
  </si>
  <si>
    <t>58.5850009463567</t>
  </si>
  <si>
    <t>59.2423303930166</t>
  </si>
  <si>
    <t>59.8374269277905</t>
  </si>
  <si>
    <t>60.9448635139302</t>
  </si>
  <si>
    <t>61.9410806111013</t>
  </si>
  <si>
    <t>63.029696070712</t>
  </si>
  <si>
    <t>63.9930458232535</t>
  </si>
  <si>
    <t>65.3125424455942</t>
  </si>
  <si>
    <t>65.5310939775051</t>
  </si>
  <si>
    <t>66.5324776534525</t>
  </si>
  <si>
    <t>67.0546607560282</t>
  </si>
  <si>
    <t>68.82552303843</t>
  </si>
  <si>
    <t>69.7447431344299</t>
  </si>
  <si>
    <t>72.7446346292334</t>
  </si>
  <si>
    <t>379.73261453184</t>
  </si>
  <si>
    <t>81.1936545799738</t>
  </si>
  <si>
    <t>80.1812501901822</t>
  </si>
  <si>
    <t>83.2437047376153</t>
  </si>
  <si>
    <t>84.0497494875982</t>
  </si>
  <si>
    <t>83.2738071170522</t>
  </si>
  <si>
    <t>84.6720448799214</t>
  </si>
  <si>
    <t>83.8312241286265</t>
  </si>
  <si>
    <t>79.3766790000022</t>
  </si>
  <si>
    <t>76.6782111074053</t>
  </si>
  <si>
    <t>80.432881437421</t>
  </si>
  <si>
    <t>72.8380305204504</t>
  </si>
  <si>
    <t>73.3502271731721</t>
  </si>
  <si>
    <t>72.9431214173067</t>
  </si>
  <si>
    <t>74.0419906210338</t>
  </si>
  <si>
    <t>73.2489470514801</t>
  </si>
  <si>
    <t>73.3826473808381</t>
  </si>
  <si>
    <t>71.8465352176411</t>
  </si>
  <si>
    <t>71.8179072881761</t>
  </si>
  <si>
    <t>72.1729906971017</t>
  </si>
  <si>
    <t>70.8071974806974</t>
  </si>
  <si>
    <t>69.7706930497309</t>
  </si>
  <si>
    <t>70.6132015427202</t>
  </si>
  <si>
    <t>69.8929243166832</t>
  </si>
  <si>
    <t>68.968014738814</t>
  </si>
  <si>
    <t>69.4632554970361</t>
  </si>
  <si>
    <t>69.9312989192335</t>
  </si>
  <si>
    <t>69.2637409628117</t>
  </si>
  <si>
    <t>68.7858376500708</t>
  </si>
  <si>
    <t>67.5170448067882</t>
  </si>
  <si>
    <t>67.5469382860896</t>
  </si>
  <si>
    <t>67.7840798081421</t>
  </si>
  <si>
    <t>67.1164675955475</t>
  </si>
  <si>
    <t>66.320041169936</t>
  </si>
  <si>
    <t>62.659390759115</t>
  </si>
  <si>
    <t>60.6323073444697</t>
  </si>
  <si>
    <t>59.4719956506188</t>
  </si>
  <si>
    <t>57.9548040084831</t>
  </si>
  <si>
    <t>56.1472663680519</t>
  </si>
  <si>
    <t>55.0531663741708</t>
  </si>
  <si>
    <t>54.7322984340623</t>
  </si>
  <si>
    <t>55.8244065484991</t>
  </si>
  <si>
    <t>57.7547601984883</t>
  </si>
  <si>
    <t>58.3914842288085</t>
  </si>
  <si>
    <t>55.8291014816203</t>
  </si>
  <si>
    <t>55.5497816355358</t>
  </si>
  <si>
    <t>55.5546051128876</t>
  </si>
  <si>
    <t>55.6364758153732</t>
  </si>
  <si>
    <t>55.9246440393244</t>
  </si>
  <si>
    <t>56.6826536220357</t>
  </si>
  <si>
    <t>56.6113488104558</t>
  </si>
  <si>
    <t>56.7400654940319</t>
  </si>
  <si>
    <t>56.6771996659718</t>
  </si>
  <si>
    <t>57.6520979566859</t>
  </si>
  <si>
    <t>58.4657129342762</t>
  </si>
  <si>
    <t>57.0322425145594</t>
  </si>
  <si>
    <t>54.988811482956</t>
  </si>
  <si>
    <t>53.4792534280408</t>
  </si>
  <si>
    <t>52.5175889811486</t>
  </si>
  <si>
    <t>51.533027924243</t>
  </si>
  <si>
    <t>51.0442738023258</t>
  </si>
  <si>
    <t>50.5873100720869</t>
  </si>
  <si>
    <t>50.2318168911889</t>
  </si>
  <si>
    <t>50.1260255813732</t>
  </si>
  <si>
    <t>50.0441749733812</t>
  </si>
  <si>
    <t>49.9038330700632</t>
  </si>
  <si>
    <t>49.745832217064</t>
  </si>
  <si>
    <t>49.6028551751007</t>
  </si>
  <si>
    <t>49.3395708683573</t>
  </si>
  <si>
    <t>49.0146729685926</t>
  </si>
  <si>
    <t>48.2493297296511</t>
  </si>
  <si>
    <t>48.21619257418</t>
  </si>
  <si>
    <t>49.0146280095711</t>
  </si>
  <si>
    <t>49.9163052673596</t>
  </si>
  <si>
    <t>51.0735834098222</t>
  </si>
  <si>
    <t>53.4453287497398</t>
  </si>
  <si>
    <t>56.7935837862925</t>
  </si>
  <si>
    <t>56.1927535694339</t>
  </si>
  <si>
    <t>58.1585790027843</t>
  </si>
  <si>
    <t>66.0747451308179</t>
  </si>
  <si>
    <t>66.7804535874646</t>
  </si>
  <si>
    <t>58.6283697540749</t>
  </si>
  <si>
    <t>54.4764982160284</t>
  </si>
  <si>
    <t>51.7819804632971</t>
  </si>
  <si>
    <t>50.6004458371827</t>
  </si>
  <si>
    <t>52.5817227000279</t>
  </si>
  <si>
    <t>53.7250332911065</t>
  </si>
  <si>
    <t>54.5260302394947</t>
  </si>
  <si>
    <t>57.5173857148974</t>
  </si>
  <si>
    <t>60.1945058972272</t>
  </si>
  <si>
    <t>61.7276987742774</t>
  </si>
  <si>
    <t>63.5102344884668</t>
  </si>
  <si>
    <t>64.2226298680006</t>
  </si>
  <si>
    <t>65.1668450271074</t>
  </si>
  <si>
    <t>66.4277683253526</t>
  </si>
  <si>
    <t>70.2319609344853</t>
  </si>
  <si>
    <t>66.8802102473367</t>
  </si>
  <si>
    <t>65.0404196163222</t>
  </si>
  <si>
    <t>63.8578846986959</t>
  </si>
  <si>
    <t>64.208054876306</t>
  </si>
  <si>
    <t>64.5347969785846</t>
  </si>
  <si>
    <t>65.6282075442828</t>
  </si>
  <si>
    <t>65.8419756141336</t>
  </si>
  <si>
    <t>67.2950905006236</t>
  </si>
  <si>
    <t>67.9832178651015</t>
  </si>
  <si>
    <t>68.3776943628689</t>
  </si>
  <si>
    <t>67.6571516424634</t>
  </si>
  <si>
    <t>65.8166813354904</t>
  </si>
  <si>
    <t>64.2912887705548</t>
  </si>
  <si>
    <t>64.3527332574709</t>
  </si>
  <si>
    <t>64.7392450146212</t>
  </si>
  <si>
    <t>63.4314093591422</t>
  </si>
  <si>
    <t>61.8658090335515</t>
  </si>
  <si>
    <t>60.6893588025528</t>
  </si>
  <si>
    <t>59.8981566432404</t>
  </si>
  <si>
    <t>60.4940775993698</t>
  </si>
  <si>
    <t>60.843156648124</t>
  </si>
  <si>
    <t>62.1580295765017</t>
  </si>
  <si>
    <t>62.7944802470336</t>
  </si>
  <si>
    <t>64.3315282544941</t>
  </si>
  <si>
    <t>65.5076921890475</t>
  </si>
  <si>
    <t>67.3635564102714</t>
  </si>
  <si>
    <t>68.6108600181211</t>
  </si>
  <si>
    <t>70.32636575978</t>
  </si>
  <si>
    <t>71.1639788618616</t>
  </si>
  <si>
    <t>75.7194978468178</t>
  </si>
  <si>
    <t>76.2021809034741</t>
  </si>
  <si>
    <t>74.8219788999791</t>
  </si>
  <si>
    <t>B70_BT_P5_005_NewFoam_front</t>
  </si>
  <si>
    <t>B70_BT_P5_005_NewFoam_rear</t>
  </si>
  <si>
    <t>381.18524943547</t>
  </si>
  <si>
    <t>73.5062053095139</t>
  </si>
  <si>
    <t>80.8464701073832</t>
  </si>
  <si>
    <t>88.1102849889673</t>
  </si>
  <si>
    <t>80.7964982116489</t>
  </si>
  <si>
    <t>79.8839553281845</t>
  </si>
  <si>
    <t>83.0364893266277</t>
  </si>
  <si>
    <t>75.3774279644</t>
  </si>
  <si>
    <t>72.0091152267728</t>
  </si>
  <si>
    <t>69.4320612133241</t>
  </si>
  <si>
    <t>69.8740510766282</t>
  </si>
  <si>
    <t>66.9369994098692</t>
  </si>
  <si>
    <t>65.0960015412654</t>
  </si>
  <si>
    <t>65.5761875549382</t>
  </si>
  <si>
    <t>63.399856284605</t>
  </si>
  <si>
    <t>61.97271982236</t>
  </si>
  <si>
    <t>61.4175084646271</t>
  </si>
  <si>
    <t>61.5203757155753</t>
  </si>
  <si>
    <t>60.9070287744469</t>
  </si>
  <si>
    <t>60.7598074465906</t>
  </si>
  <si>
    <t>60.2498630120926</t>
  </si>
  <si>
    <t>60.9767058927065</t>
  </si>
  <si>
    <t>60.743530004801</t>
  </si>
  <si>
    <t>61.4094648532973</t>
  </si>
  <si>
    <t>61.8275502663707</t>
  </si>
  <si>
    <t>62.962501295718</t>
  </si>
  <si>
    <t>63.2401661466442</t>
  </si>
  <si>
    <t>63.5173366492408</t>
  </si>
  <si>
    <t>64.7434986720121</t>
  </si>
  <si>
    <t>65.0275645850648</t>
  </si>
  <si>
    <t>64.8523605195405</t>
  </si>
  <si>
    <t>66.3384158419287</t>
  </si>
  <si>
    <t>66.0580350141905</t>
  </si>
  <si>
    <t>66.0008278256221</t>
  </si>
  <si>
    <t>64.872797856968</t>
  </si>
  <si>
    <t>61.9602061180738</t>
  </si>
  <si>
    <t>58.3808155575239</t>
  </si>
  <si>
    <t>58.584822749357</t>
  </si>
  <si>
    <t>59.3329192948391</t>
  </si>
  <si>
    <t>59.655022148838</t>
  </si>
  <si>
    <t>59.0610618612164</t>
  </si>
  <si>
    <t>58.3004026719008</t>
  </si>
  <si>
    <t>58.1045887177423</t>
  </si>
  <si>
    <t>58.1414954839266</t>
  </si>
  <si>
    <t>58.4942205193975</t>
  </si>
  <si>
    <t>58.8270929964042</t>
  </si>
  <si>
    <t>59.5150983846552</t>
  </si>
  <si>
    <t>60.2332513545579</t>
  </si>
  <si>
    <t>60.5377879325027</t>
  </si>
  <si>
    <t>60.2896419026729</t>
  </si>
  <si>
    <t>59.5722646376094</t>
  </si>
  <si>
    <t>58.734948112675</t>
  </si>
  <si>
    <t>57.5866088212546</t>
  </si>
  <si>
    <t>56.1745001595199</t>
  </si>
  <si>
    <t>54.8568547988084</t>
  </si>
  <si>
    <t>53.9116174278424</t>
  </si>
  <si>
    <t>53.4647414883285</t>
  </si>
  <si>
    <t>53.2341655049309</t>
  </si>
  <si>
    <t>52.8580081337883</t>
  </si>
  <si>
    <t>52.3356188337268</t>
  </si>
  <si>
    <t>51.6769240689971</t>
  </si>
  <si>
    <t>50.9745072833102</t>
  </si>
  <si>
    <t>50.4805547511698</t>
  </si>
  <si>
    <t>50.0040770229958</t>
  </si>
  <si>
    <t>49.5988416538029</t>
  </si>
  <si>
    <t>49.8001965183412</t>
  </si>
  <si>
    <t>50.0476523358049</t>
  </si>
  <si>
    <t>50.0687799393149</t>
  </si>
  <si>
    <t>49.691726135059</t>
  </si>
  <si>
    <t>49.354220154712</t>
  </si>
  <si>
    <t>48.9284184495472</t>
  </si>
  <si>
    <t>48.504535280776</t>
  </si>
  <si>
    <t>48.1505243035627</t>
  </si>
  <si>
    <t>47.3165214385104</t>
  </si>
  <si>
    <t>46.4775430818559</t>
  </si>
  <si>
    <t>46.5734747244352</t>
  </si>
  <si>
    <t>47.1186291813228</t>
  </si>
  <si>
    <t>46.3701165580358</t>
  </si>
  <si>
    <t>45.7080284554517</t>
  </si>
  <si>
    <t>45.832229407247</t>
  </si>
  <si>
    <t>46.0717847643668</t>
  </si>
  <si>
    <t>45.5933267229908</t>
  </si>
  <si>
    <t>45.0966463648664</t>
  </si>
  <si>
    <t>45.337984204153</t>
  </si>
  <si>
    <t>46.2553848757194</t>
  </si>
  <si>
    <t>47.705423341509</t>
  </si>
  <si>
    <t>49.8534887976313</t>
  </si>
  <si>
    <t>53.646479874419</t>
  </si>
  <si>
    <t>57.8506095162603</t>
  </si>
  <si>
    <t>60.8054655781454</t>
  </si>
  <si>
    <t>63.4499827847343</t>
  </si>
  <si>
    <t>61.8991287350928</t>
  </si>
  <si>
    <t>59.8490979571825</t>
  </si>
  <si>
    <t>58.4001034910117</t>
  </si>
  <si>
    <t>57.286001241663</t>
  </si>
  <si>
    <t>56.8751274406235</t>
  </si>
  <si>
    <t>56.1717185806019</t>
  </si>
  <si>
    <t>55.7462022293776</t>
  </si>
  <si>
    <t>55.8267859712045</t>
  </si>
  <si>
    <t>55.7160959323052</t>
  </si>
  <si>
    <t>56.1584147154018</t>
  </si>
  <si>
    <t>56.4878806545249</t>
  </si>
  <si>
    <t>56.7895957655271</t>
  </si>
  <si>
    <t>57.239447857082</t>
  </si>
  <si>
    <t>57.5607866963498</t>
  </si>
  <si>
    <t>58.0698507627642</t>
  </si>
  <si>
    <t>58.6170755180039</t>
  </si>
  <si>
    <t>59.210140850566</t>
  </si>
  <si>
    <t>59.2467619914549</t>
  </si>
  <si>
    <t>59.4720661249659</t>
  </si>
  <si>
    <t>59.7148140367149</t>
  </si>
  <si>
    <t>59.7965896951652</t>
  </si>
  <si>
    <t>59.6811528560897</t>
  </si>
  <si>
    <t>59.3030134483303</t>
  </si>
  <si>
    <t>59.1857495505967</t>
  </si>
  <si>
    <t>59.4720947352985</t>
  </si>
  <si>
    <t>59.8680463987802</t>
  </si>
  <si>
    <t>61.1238928961378</t>
  </si>
  <si>
    <t>61.8797507444089</t>
  </si>
  <si>
    <t>63.4106197249659</t>
  </si>
  <si>
    <t>64.8161356420597</t>
  </si>
  <si>
    <t>66.4311138660128</t>
  </si>
  <si>
    <t>68.4331836014019</t>
  </si>
  <si>
    <t>68.9394404602339</t>
  </si>
  <si>
    <t>71.341299343781</t>
  </si>
  <si>
    <t>70.6533439976304</t>
  </si>
  <si>
    <t>68.5841534669373</t>
  </si>
  <si>
    <t>65.5633822059835</t>
  </si>
  <si>
    <t>393.658672242283</t>
  </si>
  <si>
    <t>82.0819761616889</t>
  </si>
  <si>
    <t>76.7940764611458</t>
  </si>
  <si>
    <t>85.7398029424478</t>
  </si>
  <si>
    <t>85.8377638793113</t>
  </si>
  <si>
    <t>80.5633762823757</t>
  </si>
  <si>
    <t>87.8965404425833</t>
  </si>
  <si>
    <t>83.8142679292755</t>
  </si>
  <si>
    <t>80.9269429750083</t>
  </si>
  <si>
    <t>88.7400829978185</t>
  </si>
  <si>
    <t>81.1081513065872</t>
  </si>
  <si>
    <t>77.5245614236831</t>
  </si>
  <si>
    <t>73.1212667786471</t>
  </si>
  <si>
    <t>71.5796343726379</t>
  </si>
  <si>
    <t>68.0931186394746</t>
  </si>
  <si>
    <t>67.1881729567879</t>
  </si>
  <si>
    <t>65.6828521212927</t>
  </si>
  <si>
    <t>64.4702044691268</t>
  </si>
  <si>
    <t>64.4562415014905</t>
  </si>
  <si>
    <t>64.4827705682156</t>
  </si>
  <si>
    <t>65.8186551889277</t>
  </si>
  <si>
    <t>65.6075064847216</t>
  </si>
  <si>
    <t>65.6491261125993</t>
  </si>
  <si>
    <t>65.5464519307477</t>
  </si>
  <si>
    <t>65.1948577040423</t>
  </si>
  <si>
    <t>65.4474468863097</t>
  </si>
  <si>
    <t>65.0103560845504</t>
  </si>
  <si>
    <t>64.791661246087</t>
  </si>
  <si>
    <t>63.6929679739211</t>
  </si>
  <si>
    <t>63.3268463355576</t>
  </si>
  <si>
    <t>62.5216176581661</t>
  </si>
  <si>
    <t>62.2204504472456</t>
  </si>
  <si>
    <t>62.4339922957345</t>
  </si>
  <si>
    <t>61.8420629776783</t>
  </si>
  <si>
    <t>62.1512280759987</t>
  </si>
  <si>
    <t>62.20684954037</t>
  </si>
  <si>
    <t>61.4608732896728</t>
  </si>
  <si>
    <t>59.3442453690927</t>
  </si>
  <si>
    <t>59.129222890068</t>
  </si>
  <si>
    <t>59.199212453242</t>
  </si>
  <si>
    <t>58.7771111452961</t>
  </si>
  <si>
    <t>58.6942132055519</t>
  </si>
  <si>
    <t>58.60950213716</t>
  </si>
  <si>
    <t>57.5720265339708</t>
  </si>
  <si>
    <t>56.8167587541166</t>
  </si>
  <si>
    <t>56.034771489492</t>
  </si>
  <si>
    <t>55.605562145043</t>
  </si>
  <si>
    <t>55.4072442091747</t>
  </si>
  <si>
    <t>54.9075838498262</t>
  </si>
  <si>
    <t>55.0624948287601</t>
  </si>
  <si>
    <t>54.9316573183208</t>
  </si>
  <si>
    <t>55.111614346115</t>
  </si>
  <si>
    <t>55.4154471992001</t>
  </si>
  <si>
    <t>56.42902738899</t>
  </si>
  <si>
    <t>58.1076259314974</t>
  </si>
  <si>
    <t>59.363783652868</t>
  </si>
  <si>
    <t>58.1036201629501</t>
  </si>
  <si>
    <t>55.8244870210346</t>
  </si>
  <si>
    <t>54.5081504789888</t>
  </si>
  <si>
    <t>53.6604085198796</t>
  </si>
  <si>
    <t>53.1723999477603</t>
  </si>
  <si>
    <t>52.9591871835475</t>
  </si>
  <si>
    <t>53.2247632053471</t>
  </si>
  <si>
    <t>53.2951618350292</t>
  </si>
  <si>
    <t>53.7430746678999</t>
  </si>
  <si>
    <t>54.5187800083564</t>
  </si>
  <si>
    <t>55.8658147181393</t>
  </si>
  <si>
    <t>57.1059081038958</t>
  </si>
  <si>
    <t>57.8486190109466</t>
  </si>
  <si>
    <t>58.2820777365067</t>
  </si>
  <si>
    <t>58.4246578088707</t>
  </si>
  <si>
    <t>57.5569400711466</t>
  </si>
  <si>
    <t>56.5343280259902</t>
  </si>
  <si>
    <t>55.2857209636432</t>
  </si>
  <si>
    <t>54.7704941991455</t>
  </si>
  <si>
    <t>55.9869198357249</t>
  </si>
  <si>
    <t>56.199814943638</t>
  </si>
  <si>
    <t>53.8803918359975</t>
  </si>
  <si>
    <t>53.6008369243474</t>
  </si>
  <si>
    <t>54.3537535929767</t>
  </si>
  <si>
    <t>56.2727061057356</t>
  </si>
  <si>
    <t>55.2157113215677</t>
  </si>
  <si>
    <t>54.9747761946618</t>
  </si>
  <si>
    <t>55.9433433709009</t>
  </si>
  <si>
    <t>56.6282799365769</t>
  </si>
  <si>
    <t>56.8460382922203</t>
  </si>
  <si>
    <t>57.0093913216373</t>
  </si>
  <si>
    <t>64.9666560887604</t>
  </si>
  <si>
    <t>76.4066721811368</t>
  </si>
  <si>
    <t>69.7376581769078</t>
  </si>
  <si>
    <t>66.2210827999839</t>
  </si>
  <si>
    <t>66.8847058586417</t>
  </si>
  <si>
    <t>66.6065633934751</t>
  </si>
  <si>
    <t>67.1340356385836</t>
  </si>
  <si>
    <t>68.3954875079623</t>
  </si>
  <si>
    <t>65.082584375165</t>
  </si>
  <si>
    <t>62.7852698338901</t>
  </si>
  <si>
    <t>62.5822526827826</t>
  </si>
  <si>
    <t>62.9030848958417</t>
  </si>
  <si>
    <t>62.5471467297816</t>
  </si>
  <si>
    <t>63.3377852699062</t>
  </si>
  <si>
    <t>64.2856719845793</t>
  </si>
  <si>
    <t>63.7446089365675</t>
  </si>
  <si>
    <t>64.3414243965597</t>
  </si>
  <si>
    <t>64.7301561667892</t>
  </si>
  <si>
    <t>64.9401933653517</t>
  </si>
  <si>
    <t>66.0230141100578</t>
  </si>
  <si>
    <t>65.5958531021859</t>
  </si>
  <si>
    <t>65.5090383483788</t>
  </si>
  <si>
    <t>65.4984054706582</t>
  </si>
  <si>
    <t>64.6494305932099</t>
  </si>
  <si>
    <t>64.0607241067889</t>
  </si>
  <si>
    <t>63.4572159731871</t>
  </si>
  <si>
    <t>61.9423321945276</t>
  </si>
  <si>
    <t>61.3749034060977</t>
  </si>
  <si>
    <t>60.9250090066869</t>
  </si>
  <si>
    <t>60.8128441441126</t>
  </si>
  <si>
    <t>61.1012748928153</t>
  </si>
  <si>
    <t>61.6491150921821</t>
  </si>
  <si>
    <t>63.1973376220607</t>
  </si>
  <si>
    <t>64.5701682939743</t>
  </si>
  <si>
    <t>66.157131040677</t>
  </si>
  <si>
    <t>67.791862321859</t>
  </si>
  <si>
    <t>68.7445784171599</t>
  </si>
  <si>
    <t>69.9601222869283</t>
  </si>
  <si>
    <t>72.2425893794555</t>
  </si>
  <si>
    <t>72.4049567363718</t>
  </si>
  <si>
    <t>72.0029655061894</t>
  </si>
  <si>
    <t>B70_BT_P6_337_front</t>
  </si>
  <si>
    <t>B70_BT_P6_337_rear</t>
  </si>
  <si>
    <t>382.80267163501</t>
  </si>
  <si>
    <t>83.6195472534855</t>
  </si>
  <si>
    <t>86.371261203384</t>
  </si>
  <si>
    <t>79.5386701556155</t>
  </si>
  <si>
    <t>76.9829325217218</t>
  </si>
  <si>
    <t>80.0432163354936</t>
  </si>
  <si>
    <t>75.0866584908032</t>
  </si>
  <si>
    <t>75.8664862427367</t>
  </si>
  <si>
    <t>71.6299150010697</t>
  </si>
  <si>
    <t>69.0633784580729</t>
  </si>
  <si>
    <t>70.841499449013</t>
  </si>
  <si>
    <t>68.5218821744336</t>
  </si>
  <si>
    <t>68.7578628289103</t>
  </si>
  <si>
    <t>66.9137395526188</t>
  </si>
  <si>
    <t>66.7381362809122</t>
  </si>
  <si>
    <t>66.0592976195849</t>
  </si>
  <si>
    <t>64.3136567225874</t>
  </si>
  <si>
    <t>65.3754475833886</t>
  </si>
  <si>
    <t>64.9832289240644</t>
  </si>
  <si>
    <t>64.553604984088</t>
  </si>
  <si>
    <t>65.7913751697762</t>
  </si>
  <si>
    <t>65.2028139340592</t>
  </si>
  <si>
    <t>66.3746810198927</t>
  </si>
  <si>
    <t>66.7579709053123</t>
  </si>
  <si>
    <t>68.0984652844932</t>
  </si>
  <si>
    <t>68.0438769613306</t>
  </si>
  <si>
    <t>69.8219373181524</t>
  </si>
  <si>
    <t>69.1380564088802</t>
  </si>
  <si>
    <t>70.2759460095729</t>
  </si>
  <si>
    <t>69.6676605792668</t>
  </si>
  <si>
    <t>69.2143710742554</t>
  </si>
  <si>
    <t>67.1175008494804</t>
  </si>
  <si>
    <t>65.0195344505507</t>
  </si>
  <si>
    <t>62.8459404153437</t>
  </si>
  <si>
    <t>60.8243476619962</t>
  </si>
  <si>
    <t>58.7925949243949</t>
  </si>
  <si>
    <t>57.2412515580973</t>
  </si>
  <si>
    <t>56.4817558640534</t>
  </si>
  <si>
    <t>56.9450350829251</t>
  </si>
  <si>
    <t>57.246534937621</t>
  </si>
  <si>
    <t>56.8258558325206</t>
  </si>
  <si>
    <t>55.790849194689</t>
  </si>
  <si>
    <t>54.2829410957083</t>
  </si>
  <si>
    <t>52.4534161350012</t>
  </si>
  <si>
    <t>50.9379896501966</t>
  </si>
  <si>
    <t>50.4928825891465</t>
  </si>
  <si>
    <t>52.2076630583272</t>
  </si>
  <si>
    <t>55.2445633544203</t>
  </si>
  <si>
    <t>58.2351678419154</t>
  </si>
  <si>
    <t>59.8094731799769</t>
  </si>
  <si>
    <t>59.4081336802795</t>
  </si>
  <si>
    <t>58.1424448680927</t>
  </si>
  <si>
    <t>57.1182070246224</t>
  </si>
  <si>
    <t>55.8009094336839</t>
  </si>
  <si>
    <t>55.106342400312</t>
  </si>
  <si>
    <t>54.4786704244848</t>
  </si>
  <si>
    <t>53.9596548708748</t>
  </si>
  <si>
    <t>53.4391374420041</t>
  </si>
  <si>
    <t>52.5372332839741</t>
  </si>
  <si>
    <t>51.6223832048029</t>
  </si>
  <si>
    <t>50.8610380155244</t>
  </si>
  <si>
    <t>50.0233570432188</t>
  </si>
  <si>
    <t>49.282387611537</t>
  </si>
  <si>
    <t>48.618129703244</t>
  </si>
  <si>
    <t>47.9082724177614</t>
  </si>
  <si>
    <t>47.3755268445451</t>
  </si>
  <si>
    <t>46.9870472174458</t>
  </si>
  <si>
    <t>46.9611914407966</t>
  </si>
  <si>
    <t>46.8033434701267</t>
  </si>
  <si>
    <t>46.3904150989048</t>
  </si>
  <si>
    <t>45.6777055078909</t>
  </si>
  <si>
    <t>45.1891127634153</t>
  </si>
  <si>
    <t>44.6202939038595</t>
  </si>
  <si>
    <t>44.1563147631892</t>
  </si>
  <si>
    <t>43.7833735757192</t>
  </si>
  <si>
    <t>43.8550389004924</t>
  </si>
  <si>
    <t>44.6693426265658</t>
  </si>
  <si>
    <t>45.3452874399451</t>
  </si>
  <si>
    <t>44.9619510370924</t>
  </si>
  <si>
    <t>44.7729518068583</t>
  </si>
  <si>
    <t>45.1845851463321</t>
  </si>
  <si>
    <t>45.9620971039994</t>
  </si>
  <si>
    <t>45.4938547421164</t>
  </si>
  <si>
    <t>44.8776362025996</t>
  </si>
  <si>
    <t>44.9983603514016</t>
  </si>
  <si>
    <t>45.8275391008259</t>
  </si>
  <si>
    <t>47.0639681410329</t>
  </si>
  <si>
    <t>47.8749047956408</t>
  </si>
  <si>
    <t>48.3572860663658</t>
  </si>
  <si>
    <t>48.5176188674396</t>
  </si>
  <si>
    <t>48.3934485771924</t>
  </si>
  <si>
    <t>48.2384535697784</t>
  </si>
  <si>
    <t>47.9552257724257</t>
  </si>
  <si>
    <t>47.6013052716881</t>
  </si>
  <si>
    <t>46.967806604348</t>
  </si>
  <si>
    <t>47.4751011790781</t>
  </si>
  <si>
    <t>47.9425718816087</t>
  </si>
  <si>
    <t>48.4384051605159</t>
  </si>
  <si>
    <t>48.556170467984</t>
  </si>
  <si>
    <t>48.7303523512678</t>
  </si>
  <si>
    <t>48.9063138448511</t>
  </si>
  <si>
    <t>49.0329944802375</t>
  </si>
  <si>
    <t>49.3050466733167</t>
  </si>
  <si>
    <t>49.6448277795839</t>
  </si>
  <si>
    <t>50.234441020139</t>
  </si>
  <si>
    <t>50.8365608992599</t>
  </si>
  <si>
    <t>51.4861822034897</t>
  </si>
  <si>
    <t>51.8289533960316</t>
  </si>
  <si>
    <t>51.9190761072152</t>
  </si>
  <si>
    <t>51.973368275568</t>
  </si>
  <si>
    <t>52.1948481982922</t>
  </si>
  <si>
    <t>52.4054385816215</t>
  </si>
  <si>
    <t>52.8070549759791</t>
  </si>
  <si>
    <t>53.0547502732354</t>
  </si>
  <si>
    <t>53.5136662603458</t>
  </si>
  <si>
    <t>54.0011526848626</t>
  </si>
  <si>
    <t>54.2474226476462</t>
  </si>
  <si>
    <t>54.4433298166348</t>
  </si>
  <si>
    <t>54.6571660761101</t>
  </si>
  <si>
    <t>55.0285183132943</t>
  </si>
  <si>
    <t>55.4447898717235</t>
  </si>
  <si>
    <t>56.5230797109927</t>
  </si>
  <si>
    <t>57.6040312507736</t>
  </si>
  <si>
    <t>59.0594241742376</t>
  </si>
  <si>
    <t>60.4170805449317</t>
  </si>
  <si>
    <t>61.9704567651128</t>
  </si>
  <si>
    <t>63.2214285371321</t>
  </si>
  <si>
    <t>65.8578902481195</t>
  </si>
  <si>
    <t>392.814718646394</t>
  </si>
  <si>
    <t>84.6735866600467</t>
  </si>
  <si>
    <t>81.6261688339404</t>
  </si>
  <si>
    <t>89.1701404344252</t>
  </si>
  <si>
    <t>80.9827828311326</t>
  </si>
  <si>
    <t>75.5218374169714</t>
  </si>
  <si>
    <t>83.6752372307525</t>
  </si>
  <si>
    <t>83.5816722985574</t>
  </si>
  <si>
    <t>81.9345262681109</t>
  </si>
  <si>
    <t>84.6156741352278</t>
  </si>
  <si>
    <t>77.3905137594505</t>
  </si>
  <si>
    <t>77.4620961588462</t>
  </si>
  <si>
    <t>78.7362199982472</t>
  </si>
  <si>
    <t>75.9036236918732</t>
  </si>
  <si>
    <t>73.503059396061</t>
  </si>
  <si>
    <t>73.9219338494816</t>
  </si>
  <si>
    <t>76.3189888534113</t>
  </si>
  <si>
    <t>73.613138482435</t>
  </si>
  <si>
    <t>71.4854722244288</t>
  </si>
  <si>
    <t>70.8361614362746</t>
  </si>
  <si>
    <t>71.3571750904038</t>
  </si>
  <si>
    <t>69.1775858252766</t>
  </si>
  <si>
    <t>69.1784828208884</t>
  </si>
  <si>
    <t>67.4846312140621</t>
  </si>
  <si>
    <t>66.6778588112168</t>
  </si>
  <si>
    <t>65.8622996778189</t>
  </si>
  <si>
    <t>64.793635940227</t>
  </si>
  <si>
    <t>63.7937140926289</t>
  </si>
  <si>
    <t>63.1623087402926</t>
  </si>
  <si>
    <t>61.93644084523</t>
  </si>
  <si>
    <t>60.8878054637496</t>
  </si>
  <si>
    <t>59.7542343683023</t>
  </si>
  <si>
    <t>58.3136829996187</t>
  </si>
  <si>
    <t>57.1938980753549</t>
  </si>
  <si>
    <t>56.3990283243511</t>
  </si>
  <si>
    <t>55.4174446748489</t>
  </si>
  <si>
    <t>54.5918517849959</t>
  </si>
  <si>
    <t>54.3288196770667</t>
  </si>
  <si>
    <t>54.3093487197434</t>
  </si>
  <si>
    <t>54.0470367139903</t>
  </si>
  <si>
    <t>53.2454723357259</t>
  </si>
  <si>
    <t>52.5053052223679</t>
  </si>
  <si>
    <t>51.8837479149015</t>
  </si>
  <si>
    <t>51.6329116524307</t>
  </si>
  <si>
    <t>51.6758467357335</t>
  </si>
  <si>
    <t>52.2815108708701</t>
  </si>
  <si>
    <t>53.0140086107182</t>
  </si>
  <si>
    <t>53.8310233610154</t>
  </si>
  <si>
    <t>54.1166660107487</t>
  </si>
  <si>
    <t>53.7403285664566</t>
  </si>
  <si>
    <t>53.5325696852354</t>
  </si>
  <si>
    <t>53.1256591033938</t>
  </si>
  <si>
    <t>52.7401159992438</t>
  </si>
  <si>
    <t>52.4384129910177</t>
  </si>
  <si>
    <t>51.835708908746</t>
  </si>
  <si>
    <t>51.0314289615309</t>
  </si>
  <si>
    <t>50.4582247830598</t>
  </si>
  <si>
    <t>49.984892414104</t>
  </si>
  <si>
    <t>49.7417467607326</t>
  </si>
  <si>
    <t>49.4134576730338</t>
  </si>
  <si>
    <t>49.3342585774049</t>
  </si>
  <si>
    <t>49.252029034802</t>
  </si>
  <si>
    <t>49.2993144593418</t>
  </si>
  <si>
    <t>49.4797462072002</t>
  </si>
  <si>
    <t>49.6142959336174</t>
  </si>
  <si>
    <t>49.9953473246537</t>
  </si>
  <si>
    <t>50.2490935942463</t>
  </si>
  <si>
    <t>49.9516602377416</t>
  </si>
  <si>
    <t>49.7440871540962</t>
  </si>
  <si>
    <t>49.8968988743258</t>
  </si>
  <si>
    <t>50.5445207784484</t>
  </si>
  <si>
    <t>51.0652199274046</t>
  </si>
  <si>
    <t>51.7073958101534</t>
  </si>
  <si>
    <t>52.7499392921185</t>
  </si>
  <si>
    <t>53.0806376734365</t>
  </si>
  <si>
    <t>54.5890214126883</t>
  </si>
  <si>
    <t>57.164546944283</t>
  </si>
  <si>
    <t>55.2872499249653</t>
  </si>
  <si>
    <t>53.7528867710662</t>
  </si>
  <si>
    <t>55.4126830468972</t>
  </si>
  <si>
    <t>59.5850191677121</t>
  </si>
  <si>
    <t>53.1136361872421</t>
  </si>
  <si>
    <t>49.2988273054581</t>
  </si>
  <si>
    <t>48.4282584130958</t>
  </si>
  <si>
    <t>49.6747354811579</t>
  </si>
  <si>
    <t>53.7641499990209</t>
  </si>
  <si>
    <t>59.0160016313428</t>
  </si>
  <si>
    <t>56.206363244307</t>
  </si>
  <si>
    <t>54.6817855637466</t>
  </si>
  <si>
    <t>54.0364971988137</t>
  </si>
  <si>
    <t>53.3165095625036</t>
  </si>
  <si>
    <t>52.9289511213714</t>
  </si>
  <si>
    <t>52.2376978090629</t>
  </si>
  <si>
    <t>51.9233107285574</t>
  </si>
  <si>
    <t>52.5878425702848</t>
  </si>
  <si>
    <t>54.4899239220177</t>
  </si>
  <si>
    <t>54.3303100269861</t>
  </si>
  <si>
    <t>53.5829367803925</t>
  </si>
  <si>
    <t>52.8412502397409</t>
  </si>
  <si>
    <t>52.4861849480666</t>
  </si>
  <si>
    <t>52.579615438553</t>
  </si>
  <si>
    <t>52.7973637795632</t>
  </si>
  <si>
    <t>53.2881502538797</t>
  </si>
  <si>
    <t>53.6528883346316</t>
  </si>
  <si>
    <t>54.4673387601397</t>
  </si>
  <si>
    <t>55.2079199479447</t>
  </si>
  <si>
    <t>56.2322645508512</t>
  </si>
  <si>
    <t>56.8922684502918</t>
  </si>
  <si>
    <t>57.3376194462872</t>
  </si>
  <si>
    <t>57.614362097858</t>
  </si>
  <si>
    <t>58.5913309175843</t>
  </si>
  <si>
    <t>59.6912786723802</t>
  </si>
  <si>
    <t>60.5903714621697</t>
  </si>
  <si>
    <t>61.7676792590747</t>
  </si>
  <si>
    <t>62.7020650895223</t>
  </si>
  <si>
    <t>63.7305628201333</t>
  </si>
  <si>
    <t>64.0570321557441</t>
  </si>
  <si>
    <t>63.4915870651981</t>
  </si>
  <si>
    <t>63.6092630711597</t>
  </si>
  <si>
    <t>62.2525629655926</t>
  </si>
  <si>
    <t>61.5861268356352</t>
  </si>
  <si>
    <t>61.8774038698401</t>
  </si>
  <si>
    <t>62.741120109714</t>
  </si>
  <si>
    <t>64.3357765931414</t>
  </si>
  <si>
    <t>66.1287584205284</t>
  </si>
  <si>
    <t>67.7742844800026</t>
  </si>
  <si>
    <t>70.3326781866345</t>
  </si>
  <si>
    <t>73.7387759480559</t>
  </si>
  <si>
    <t>B70_BT_P6_337_NewFoam_front</t>
  </si>
  <si>
    <t>B70_BT_P6_337_NewFoam_rear</t>
  </si>
  <si>
    <t>370.535851600257</t>
  </si>
  <si>
    <t>90.9248451701205</t>
  </si>
  <si>
    <t>76.6763037674195</t>
  </si>
  <si>
    <t>72.9736173831051</t>
  </si>
  <si>
    <t>89.1520417965135</t>
  </si>
  <si>
    <t>75.7623858894271</t>
  </si>
  <si>
    <t>81.5951072204807</t>
  </si>
  <si>
    <t>76.5546734786998</t>
  </si>
  <si>
    <t>76.184306422297</t>
  </si>
  <si>
    <t>73.1680227969832</t>
  </si>
  <si>
    <t>73.2152665542523</t>
  </si>
  <si>
    <t>70.6873319576968</t>
  </si>
  <si>
    <t>69.532705437653</t>
  </si>
  <si>
    <t>68.3921482889319</t>
  </si>
  <si>
    <t>66.1764575128517</t>
  </si>
  <si>
    <t>64.7518384371178</t>
  </si>
  <si>
    <t>64.0440744685279</t>
  </si>
  <si>
    <t>64.0273168680649</t>
  </si>
  <si>
    <t>63.4532146962803</t>
  </si>
  <si>
    <t>63.1356599475777</t>
  </si>
  <si>
    <t>63.2912675346444</t>
  </si>
  <si>
    <t>62.9565063735514</t>
  </si>
  <si>
    <t>63.4307286466441</t>
  </si>
  <si>
    <t>64.4380632761309</t>
  </si>
  <si>
    <t>65.0232508830438</t>
  </si>
  <si>
    <t>66.6347261029499</t>
  </si>
  <si>
    <t>67.4697094989698</t>
  </si>
  <si>
    <t>68.5014333817311</t>
  </si>
  <si>
    <t>69.2332629915913</t>
  </si>
  <si>
    <t>68.451006132115</t>
  </si>
  <si>
    <t>69.9863230605251</t>
  </si>
  <si>
    <t>69.7115537880269</t>
  </si>
  <si>
    <t>68.630402403714</t>
  </si>
  <si>
    <t>66.3175306286556</t>
  </si>
  <si>
    <t>64.4541379848998</t>
  </si>
  <si>
    <t>62.418346250186</t>
  </si>
  <si>
    <t>61.8138484566231</t>
  </si>
  <si>
    <t>61.4148229368853</t>
  </si>
  <si>
    <t>57.2311824668926</t>
  </si>
  <si>
    <t>54.267385001178</t>
  </si>
  <si>
    <t>53.8747198400412</t>
  </si>
  <si>
    <t>53.6448273705019</t>
  </si>
  <si>
    <t>54.0021269546999</t>
  </si>
  <si>
    <t>54.6303476290608</t>
  </si>
  <si>
    <t>56.6256450257884</t>
  </si>
  <si>
    <t>59.7841008034739</t>
  </si>
  <si>
    <t>63.7552549305488</t>
  </si>
  <si>
    <t>74.8321476897362</t>
  </si>
  <si>
    <t>75.3949335887957</t>
  </si>
  <si>
    <t>66.5244861624043</t>
  </si>
  <si>
    <t>61.6861980268258</t>
  </si>
  <si>
    <t>58.7896105341588</t>
  </si>
  <si>
    <t>56.8987181067501</t>
  </si>
  <si>
    <t>55.2711933803627</t>
  </si>
  <si>
    <t>53.6727475612914</t>
  </si>
  <si>
    <t>52.337531132061</t>
  </si>
  <si>
    <t>51.093384302717</t>
  </si>
  <si>
    <t>49.9057119555947</t>
  </si>
  <si>
    <t>48.9441186142495</t>
  </si>
  <si>
    <t>47.9164878285685</t>
  </si>
  <si>
    <t>47.1089637670761</t>
  </si>
  <si>
    <t>46.3795372766133</t>
  </si>
  <si>
    <t>45.6998184524827</t>
  </si>
  <si>
    <t>44.945001945144</t>
  </si>
  <si>
    <t>44.2317431015301</t>
  </si>
  <si>
    <t>43.4822111428127</t>
  </si>
  <si>
    <t>42.5687183494409</t>
  </si>
  <si>
    <t>41.6656340038755</t>
  </si>
  <si>
    <t>40.8120011712649</t>
  </si>
  <si>
    <t>40.1143001794816</t>
  </si>
  <si>
    <t>40.0855140756367</t>
  </si>
  <si>
    <t>40.4768738749347</t>
  </si>
  <si>
    <t>41.3079923328395</t>
  </si>
  <si>
    <t>42.3198841000332</t>
  </si>
  <si>
    <t>43.3408910761341</t>
  </si>
  <si>
    <t>45.3171570540093</t>
  </si>
  <si>
    <t>45.4736759881192</t>
  </si>
  <si>
    <t>45.2908540632251</t>
  </si>
  <si>
    <t>45.8939368154857</t>
  </si>
  <si>
    <t>45.9470622926509</t>
  </si>
  <si>
    <t>45.8677322149006</t>
  </si>
  <si>
    <t>45.5853291736065</t>
  </si>
  <si>
    <t>45.0948886462314</t>
  </si>
  <si>
    <t>44.5401438773045</t>
  </si>
  <si>
    <t>44.4053182925583</t>
  </si>
  <si>
    <t>44.461292752448</t>
  </si>
  <si>
    <t>45.1997608493077</t>
  </si>
  <si>
    <t>46.2719421534135</t>
  </si>
  <si>
    <t>46.9988405567257</t>
  </si>
  <si>
    <t>47.5645815275696</t>
  </si>
  <si>
    <t>48.1225143072377</t>
  </si>
  <si>
    <t>48.4050213813632</t>
  </si>
  <si>
    <t>48.5968424606196</t>
  </si>
  <si>
    <t>48.9898574456825</t>
  </si>
  <si>
    <t>49.12743017002</t>
  </si>
  <si>
    <t>49.3767873593696</t>
  </si>
  <si>
    <t>49.5659604526959</t>
  </si>
  <si>
    <t>49.7795642014513</t>
  </si>
  <si>
    <t>50.0232645888822</t>
  </si>
  <si>
    <t>50.1835657422079</t>
  </si>
  <si>
    <t>50.3459675836764</t>
  </si>
  <si>
    <t>50.6671685577167</t>
  </si>
  <si>
    <t>51.0412114019957</t>
  </si>
  <si>
    <t>51.2742104807792</t>
  </si>
  <si>
    <t>51.5389912597027</t>
  </si>
  <si>
    <t>51.9083816512848</t>
  </si>
  <si>
    <t>52.1603721958261</t>
  </si>
  <si>
    <t>52.6242297410682</t>
  </si>
  <si>
    <t>52.6393740461035</t>
  </si>
  <si>
    <t>53.0004685516701</t>
  </si>
  <si>
    <t>53.2673500763633</t>
  </si>
  <si>
    <t>53.6490295118888</t>
  </si>
  <si>
    <t>54.1751389111807</t>
  </si>
  <si>
    <t>54.5481376709953</t>
  </si>
  <si>
    <t>55.2206462917619</t>
  </si>
  <si>
    <t>55.7787821321987</t>
  </si>
  <si>
    <t>56.374724960453</t>
  </si>
  <si>
    <t>56.5657788796792</t>
  </si>
  <si>
    <t>56.8659501112759</t>
  </si>
  <si>
    <t>56.8682767680314</t>
  </si>
  <si>
    <t>57.2800631436825</t>
  </si>
  <si>
    <t>57.5979180364468</t>
  </si>
  <si>
    <t>57.88841986983</t>
  </si>
  <si>
    <t>59.0001705624374</t>
  </si>
  <si>
    <t>59.8970407515698</t>
  </si>
  <si>
    <t>61.0768416478911</t>
  </si>
  <si>
    <t>62.1210338365921</t>
  </si>
  <si>
    <t>64.8362319736539</t>
  </si>
  <si>
    <t>377.38678018171</t>
  </si>
  <si>
    <t>78.6266919102716</t>
  </si>
  <si>
    <t>86.6296287773252</t>
  </si>
  <si>
    <t>83.7636163843615</t>
  </si>
  <si>
    <t>84.3779320141271</t>
  </si>
  <si>
    <t>96.434014874316</t>
  </si>
  <si>
    <t>85.7241082900071</t>
  </si>
  <si>
    <t>83.2605348162234</t>
  </si>
  <si>
    <t>77.9598361518962</t>
  </si>
  <si>
    <t>85.3418530202259</t>
  </si>
  <si>
    <t>77.8472931878562</t>
  </si>
  <si>
    <t>79.9136387264387</t>
  </si>
  <si>
    <t>72.5420146381162</t>
  </si>
  <si>
    <t>76.6930692597816</t>
  </si>
  <si>
    <t>74.5216125602602</t>
  </si>
  <si>
    <t>71.2407192908223</t>
  </si>
  <si>
    <t>72.5006554167983</t>
  </si>
  <si>
    <t>70.1132037395122</t>
  </si>
  <si>
    <t>69.8193753705808</t>
  </si>
  <si>
    <t>68.8093555582563</t>
  </si>
  <si>
    <t>67.535197397712</t>
  </si>
  <si>
    <t>66.5938097031352</t>
  </si>
  <si>
    <t>65.9223988231586</t>
  </si>
  <si>
    <t>65.2369283816597</t>
  </si>
  <si>
    <t>64.5275054058923</t>
  </si>
  <si>
    <t>63.2550619201484</t>
  </si>
  <si>
    <t>63.4036166860296</t>
  </si>
  <si>
    <t>62.4563935900061</t>
  </si>
  <si>
    <t>61.4147500973682</t>
  </si>
  <si>
    <t>61.1602979164757</t>
  </si>
  <si>
    <t>60.2050983440196</t>
  </si>
  <si>
    <t>59.4342068762577</t>
  </si>
  <si>
    <t>58.507964205002</t>
  </si>
  <si>
    <t>57.6412747609752</t>
  </si>
  <si>
    <t>56.5755290932023</t>
  </si>
  <si>
    <t>55.7393450432745</t>
  </si>
  <si>
    <t>55.7452104203731</t>
  </si>
  <si>
    <t>56.6444391918726</t>
  </si>
  <si>
    <t>55.9965863305972</t>
  </si>
  <si>
    <t>52.3519983441895</t>
  </si>
  <si>
    <t>51.3572030953068</t>
  </si>
  <si>
    <t>50.9399117632518</t>
  </si>
  <si>
    <t>50.9689935688519</t>
  </si>
  <si>
    <t>51.3147449812662</t>
  </si>
  <si>
    <t>51.879364738291</t>
  </si>
  <si>
    <t>52.5944045685007</t>
  </si>
  <si>
    <t>53.0232548195551</t>
  </si>
  <si>
    <t>53.0959273407327</t>
  </si>
  <si>
    <t>52.8687740281723</t>
  </si>
  <si>
    <t>52.8488814976512</t>
  </si>
  <si>
    <t>52.6503708460567</t>
  </si>
  <si>
    <t>52.4941654639214</t>
  </si>
  <si>
    <t>52.0793639542216</t>
  </si>
  <si>
    <t>51.5860429940585</t>
  </si>
  <si>
    <t>50.9118534448909</t>
  </si>
  <si>
    <t>50.0728560976122</t>
  </si>
  <si>
    <t>49.4751094019865</t>
  </si>
  <si>
    <t>48.9389153051766</t>
  </si>
  <si>
    <t>48.4872662429193</t>
  </si>
  <si>
    <t>48.2191712393547</t>
  </si>
  <si>
    <t>47.8920526506023</t>
  </si>
  <si>
    <t>47.9302373247433</t>
  </si>
  <si>
    <t>47.8562136416044</t>
  </si>
  <si>
    <t>47.7896714993944</t>
  </si>
  <si>
    <t>47.874010316211</t>
  </si>
  <si>
    <t>47.919999027739</t>
  </si>
  <si>
    <t>47.9455330596671</t>
  </si>
  <si>
    <t>48.0183090809919</t>
  </si>
  <si>
    <t>48.4266733173579</t>
  </si>
  <si>
    <t>49.3895213551895</t>
  </si>
  <si>
    <t>50.5990417923707</t>
  </si>
  <si>
    <t>52.6869895513793</t>
  </si>
  <si>
    <t>54.8944200559847</t>
  </si>
  <si>
    <t>56.6439601441839</t>
  </si>
  <si>
    <t>57.9734894284211</t>
  </si>
  <si>
    <t>59.5344682628429</t>
  </si>
  <si>
    <t>55.8661477771876</t>
  </si>
  <si>
    <t>56.6834881712614</t>
  </si>
  <si>
    <t>58.304164277496</t>
  </si>
  <si>
    <t>58.1132863790498</t>
  </si>
  <si>
    <t>56.2969575684956</t>
  </si>
  <si>
    <t>54.7917126737387</t>
  </si>
  <si>
    <t>53.0859348817452</t>
  </si>
  <si>
    <t>51.5455003046538</t>
  </si>
  <si>
    <t>50.5597027543158</t>
  </si>
  <si>
    <t>50.0425781070305</t>
  </si>
  <si>
    <t>55.7352500055564</t>
  </si>
  <si>
    <t>55.2698206814192</t>
  </si>
  <si>
    <t>53.7755387255405</t>
  </si>
  <si>
    <t>57.2586700527954</t>
  </si>
  <si>
    <t>55.4574494273705</t>
  </si>
  <si>
    <t>54.266139064061</t>
  </si>
  <si>
    <t>54.0453524041581</t>
  </si>
  <si>
    <t>54.2781752820513</t>
  </si>
  <si>
    <t>55.2359613177428</t>
  </si>
  <si>
    <t>55.7710615295567</t>
  </si>
  <si>
    <t>54.8055080573516</t>
  </si>
  <si>
    <t>54.8443746492413</t>
  </si>
  <si>
    <t>55.1494242876593</t>
  </si>
  <si>
    <t>55.97474408705</t>
  </si>
  <si>
    <t>56.567540031236</t>
  </si>
  <si>
    <t>56.8683766603885</t>
  </si>
  <si>
    <t>57.0334834027504</t>
  </si>
  <si>
    <t>57.0297683160592</t>
  </si>
  <si>
    <t>57.8021854745397</t>
  </si>
  <si>
    <t>58.3875958619424</t>
  </si>
  <si>
    <t>59.0713813516456</t>
  </si>
  <si>
    <t>59.8901015521491</t>
  </si>
  <si>
    <t>60.4564996354953</t>
  </si>
  <si>
    <t>61.1579188202126</t>
  </si>
  <si>
    <t>62.211319933841</t>
  </si>
  <si>
    <t>63.137565738836</t>
  </si>
  <si>
    <t>64.2418508036357</t>
  </si>
  <si>
    <t>65.7067377079002</t>
  </si>
  <si>
    <t>67.4858811253008</t>
  </si>
  <si>
    <t>69.2776631111051</t>
  </si>
  <si>
    <t>72.2792667015176</t>
  </si>
  <si>
    <t>74.8461344632305</t>
  </si>
  <si>
    <t>78.3007919875399</t>
  </si>
  <si>
    <t>80.5260925881111</t>
  </si>
  <si>
    <t>75.1345612913335</t>
  </si>
  <si>
    <t>71.3675972296784</t>
  </si>
  <si>
    <t>68.9604177210612</t>
  </si>
  <si>
    <t>67.5427362418069</t>
  </si>
  <si>
    <t>65.8602511154533</t>
  </si>
  <si>
    <t>63.7778031665098</t>
  </si>
  <si>
    <t>62.8479054587106</t>
  </si>
  <si>
    <t>62.0108240693137</t>
  </si>
  <si>
    <t>379.196598561228</t>
  </si>
  <si>
    <t>77.9633596986748</t>
  </si>
  <si>
    <t>77.5563659581834</t>
  </si>
  <si>
    <t>86.9612900215946</t>
  </si>
  <si>
    <t>73.2100662063892</t>
  </si>
  <si>
    <t>78.9196476719455</t>
  </si>
  <si>
    <t>76.6845197614633</t>
  </si>
  <si>
    <t>78.3549301393233</t>
  </si>
  <si>
    <t>76.7483060778719</t>
  </si>
  <si>
    <t>74.1128603953267</t>
  </si>
  <si>
    <t>73.8835556823792</t>
  </si>
  <si>
    <t>71.9906673369158</t>
  </si>
  <si>
    <t>67.5362558059634</t>
  </si>
  <si>
    <t>67.334602392324</t>
  </si>
  <si>
    <t>65.6734906249154</t>
  </si>
  <si>
    <t>64.7010103627588</t>
  </si>
  <si>
    <t>64.1901659711202</t>
  </si>
  <si>
    <t>63.2910534769695</t>
  </si>
  <si>
    <t>63.5197495658448</t>
  </si>
  <si>
    <t>62.0154950352952</t>
  </si>
  <si>
    <t>62.9340058436633</t>
  </si>
  <si>
    <t>63.6954678247915</t>
  </si>
  <si>
    <t>63.8620677392613</t>
  </si>
  <si>
    <t>64.2158667787877</t>
  </si>
  <si>
    <t>64.7384842532114</t>
  </si>
  <si>
    <t>66.4474173717504</t>
  </si>
  <si>
    <t>67.0531929998797</t>
  </si>
  <si>
    <t>68.3444359203833</t>
  </si>
  <si>
    <t>69.2809276846001</t>
  </si>
  <si>
    <t>70.1370066794456</t>
  </si>
  <si>
    <t>70.9727124240625</t>
  </si>
  <si>
    <t>69.1718949790559</t>
  </si>
  <si>
    <t>68.5357671574163</t>
  </si>
  <si>
    <t>66.9573313307864</t>
  </si>
  <si>
    <t>63.9217051228117</t>
  </si>
  <si>
    <t>62.5526536704934</t>
  </si>
  <si>
    <t>61.9360028391048</t>
  </si>
  <si>
    <t>61.4022132597522</t>
  </si>
  <si>
    <t>57.7784747768299</t>
  </si>
  <si>
    <t>54.532461326779</t>
  </si>
  <si>
    <t>54.170207556796</t>
  </si>
  <si>
    <t>53.9917260142642</t>
  </si>
  <si>
    <t>54.2987879358817</t>
  </si>
  <si>
    <t>55.1519288367737</t>
  </si>
  <si>
    <t>56.7504143871192</t>
  </si>
  <si>
    <t>60.0646963586685</t>
  </si>
  <si>
    <t>65.6256527652372</t>
  </si>
  <si>
    <t>75.6035882510283</t>
  </si>
  <si>
    <t>71.8425574613611</t>
  </si>
  <si>
    <t>65.7668751463216</t>
  </si>
  <si>
    <t>61.2503859231915</t>
  </si>
  <si>
    <t>58.5749904867809</t>
  </si>
  <si>
    <t>56.5718263727386</t>
  </si>
  <si>
    <t>54.8243024659108</t>
  </si>
  <si>
    <t>53.4162639438213</t>
  </si>
  <si>
    <t>52.2164973353476</t>
  </si>
  <si>
    <t>50.8575967534395</t>
  </si>
  <si>
    <t>49.7799698146058</t>
  </si>
  <si>
    <t>48.6842920615573</t>
  </si>
  <si>
    <t>47.7673123008736</t>
  </si>
  <si>
    <t>46.9713807208839</t>
  </si>
  <si>
    <t>46.2212181508488</t>
  </si>
  <si>
    <t>45.5537928542123</t>
  </si>
  <si>
    <t>44.8132336546678</t>
  </si>
  <si>
    <t>44.0975681278643</t>
  </si>
  <si>
    <t>43.3456650472086</t>
  </si>
  <si>
    <t>42.5146002065194</t>
  </si>
  <si>
    <t>41.5590111082817</t>
  </si>
  <si>
    <t>40.7276962519124</t>
  </si>
  <si>
    <t>40.0348949695108</t>
  </si>
  <si>
    <t>39.9533669946247</t>
  </si>
  <si>
    <t>40.2581949744641</t>
  </si>
  <si>
    <t>41.0687517372153</t>
  </si>
  <si>
    <t>42.0787103428925</t>
  </si>
  <si>
    <t>43.1093815888135</t>
  </si>
  <si>
    <t>45.1312938758462</t>
  </si>
  <si>
    <t>45.240334413371</t>
  </si>
  <si>
    <t>45.1598082863963</t>
  </si>
  <si>
    <t>45.7556858842265</t>
  </si>
  <si>
    <t>45.8111432878141</t>
  </si>
  <si>
    <t>45.7145782677184</t>
  </si>
  <si>
    <t>45.4259583483163</t>
  </si>
  <si>
    <t>44.8689745226467</t>
  </si>
  <si>
    <t>44.297470282702</t>
  </si>
  <si>
    <t>44.165231002767</t>
  </si>
  <si>
    <t>44.1750799187895</t>
  </si>
  <si>
    <t>44.8700721376618</t>
  </si>
  <si>
    <t>45.8937368145282</t>
  </si>
  <si>
    <t>46.7072916972603</t>
  </si>
  <si>
    <t>47.2190604486114</t>
  </si>
  <si>
    <t>47.7489540289501</t>
  </si>
  <si>
    <t>48.084331035067</t>
  </si>
  <si>
    <t>48.3480451303559</t>
  </si>
  <si>
    <t>48.6146580166823</t>
  </si>
  <si>
    <t>48.8447112216537</t>
  </si>
  <si>
    <t>49.1118991937463</t>
  </si>
  <si>
    <t>49.2409848045394</t>
  </si>
  <si>
    <t>49.4568948584878</t>
  </si>
  <si>
    <t>49.7544117234684</t>
  </si>
  <si>
    <t>49.9292209074625</t>
  </si>
  <si>
    <t>50.0872895938878</t>
  </si>
  <si>
    <t>50.3951404121518</t>
  </si>
  <si>
    <t>50.6617464417052</t>
  </si>
  <si>
    <t>50.9568543155351</t>
  </si>
  <si>
    <t>51.2895893589352</t>
  </si>
  <si>
    <t>51.6697530394037</t>
  </si>
  <si>
    <t>51.9299508630604</t>
  </si>
  <si>
    <t>52.1947908660525</t>
  </si>
  <si>
    <t>52.3740667647004</t>
  </si>
  <si>
    <t>52.7170750995154</t>
  </si>
  <si>
    <t>53.1254095730912</t>
  </si>
  <si>
    <t>53.5109754935384</t>
  </si>
  <si>
    <t>53.9713314240353</t>
  </si>
  <si>
    <t>54.3411030167464</t>
  </si>
  <si>
    <t>54.8994317895328</t>
  </si>
  <si>
    <t>55.4951440207073</t>
  </si>
  <si>
    <t>56.0143586553589</t>
  </si>
  <si>
    <t>56.4991986463972</t>
  </si>
  <si>
    <t>56.6754155171664</t>
  </si>
  <si>
    <t>56.617013946864</t>
  </si>
  <si>
    <t>57.0031810907388</t>
  </si>
  <si>
    <t>57.3962816228636</t>
  </si>
  <si>
    <t>57.8755270364225</t>
  </si>
  <si>
    <t>58.4741555056999</t>
  </si>
  <si>
    <t>59.4419669229632</t>
  </si>
  <si>
    <t>60.5780885919425</t>
  </si>
  <si>
    <t>62.1239664764476</t>
  </si>
  <si>
    <t>65.1141431095476</t>
  </si>
  <si>
    <t>379.272384797467</t>
  </si>
  <si>
    <t>83.6647136429524</t>
  </si>
  <si>
    <t>76.8474222059512</t>
  </si>
  <si>
    <t>76.7057636007845</t>
  </si>
  <si>
    <t>75.6248853104559</t>
  </si>
  <si>
    <t>79.1075060624784</t>
  </si>
  <si>
    <t>83.2706347386548</t>
  </si>
  <si>
    <t>80.470517953776</t>
  </si>
  <si>
    <t>93.0412886179854</t>
  </si>
  <si>
    <t>80.0918604768881</t>
  </si>
  <si>
    <t>77.5745535991216</t>
  </si>
  <si>
    <t>77.9508817778789</t>
  </si>
  <si>
    <t>73.9409373474045</t>
  </si>
  <si>
    <t>74.483173357904</t>
  </si>
  <si>
    <t>75.5002356873748</t>
  </si>
  <si>
    <t>75.4162065383867</t>
  </si>
  <si>
    <t>72.372616036424</t>
  </si>
  <si>
    <t>71.4799761617206</t>
  </si>
  <si>
    <t>70.3443211259185</t>
  </si>
  <si>
    <t>70.1003309709822</t>
  </si>
  <si>
    <t>67.2045440399434</t>
  </si>
  <si>
    <t>67.0801507215682</t>
  </si>
  <si>
    <t>66.5186912709624</t>
  </si>
  <si>
    <t>65.9056493233649</t>
  </si>
  <si>
    <t>64.8120101314867</t>
  </si>
  <si>
    <t>63.8088367728072</t>
  </si>
  <si>
    <t>62.8400600290564</t>
  </si>
  <si>
    <t>61.6638210357299</t>
  </si>
  <si>
    <t>61.9769074265012</t>
  </si>
  <si>
    <t>61.072683900456</t>
  </si>
  <si>
    <t>60.6224236311649</t>
  </si>
  <si>
    <t>59.3735069037731</t>
  </si>
  <si>
    <t>58.85997431182</t>
  </si>
  <si>
    <t>57.5529156253423</t>
  </si>
  <si>
    <t>56.476656157326</t>
  </si>
  <si>
    <t>55.9563838585971</t>
  </si>
  <si>
    <t>55.8577969618732</t>
  </si>
  <si>
    <t>56.5407443320319</t>
  </si>
  <si>
    <t>55.9229504432733</t>
  </si>
  <si>
    <t>52.5144161370087</t>
  </si>
  <si>
    <t>51.3678383474109</t>
  </si>
  <si>
    <t>50.9694612518208</t>
  </si>
  <si>
    <t>50.9868711897194</t>
  </si>
  <si>
    <t>51.2307903279783</t>
  </si>
  <si>
    <t>51.7739057665465</t>
  </si>
  <si>
    <t>52.5466475733743</t>
  </si>
  <si>
    <t>52.9621728805127</t>
  </si>
  <si>
    <t>53.0021248078757</t>
  </si>
  <si>
    <t>52.8304686134736</t>
  </si>
  <si>
    <t>52.8948871555843</t>
  </si>
  <si>
    <t>52.6313648314897</t>
  </si>
  <si>
    <t>52.3992050917986</t>
  </si>
  <si>
    <t>51.9680499120378</t>
  </si>
  <si>
    <t>51.6293134266271</t>
  </si>
  <si>
    <t>50.8039690752948</t>
  </si>
  <si>
    <t>50.0644875470363</t>
  </si>
  <si>
    <t>49.4132966738324</t>
  </si>
  <si>
    <t>48.9013183330964</t>
  </si>
  <si>
    <t>48.4168068165846</t>
  </si>
  <si>
    <t>48.0939410046954</t>
  </si>
  <si>
    <t>47.8538669761846</t>
  </si>
  <si>
    <t>47.8458169349453</t>
  </si>
  <si>
    <t>47.7343255580691</t>
  </si>
  <si>
    <t>47.7103421840172</t>
  </si>
  <si>
    <t>47.7358230519745</t>
  </si>
  <si>
    <t>47.8310476661339</t>
  </si>
  <si>
    <t>47.8752087863424</t>
  </si>
  <si>
    <t>47.8607074509148</t>
  </si>
  <si>
    <t>48.2781504693936</t>
  </si>
  <si>
    <t>49.2840926463484</t>
  </si>
  <si>
    <t>50.3642791167361</t>
  </si>
  <si>
    <t>52.3181309354479</t>
  </si>
  <si>
    <t>54.7977337660524</t>
  </si>
  <si>
    <t>56.4253711834336</t>
  </si>
  <si>
    <t>58.1792942430597</t>
  </si>
  <si>
    <t>59.2969539512661</t>
  </si>
  <si>
    <t>55.8842488545702</t>
  </si>
  <si>
    <t>56.5733046830145</t>
  </si>
  <si>
    <t>58.0277762426364</t>
  </si>
  <si>
    <t>57.7715241059133</t>
  </si>
  <si>
    <t>56.0970191151867</t>
  </si>
  <si>
    <t>54.423188346885</t>
  </si>
  <si>
    <t>52.6143709819295</t>
  </si>
  <si>
    <t>51.1261233710839</t>
  </si>
  <si>
    <t>50.1014001832739</t>
  </si>
  <si>
    <t>49.6758611580245</t>
  </si>
  <si>
    <t>55.2126503824554</t>
  </si>
  <si>
    <t>54.651052628378</t>
  </si>
  <si>
    <t>53.4726234357004</t>
  </si>
  <si>
    <t>56.6226746405274</t>
  </si>
  <si>
    <t>54.9922917503925</t>
  </si>
  <si>
    <t>54.0265030053363</t>
  </si>
  <si>
    <t>53.5991864781326</t>
  </si>
  <si>
    <t>53.9436969117847</t>
  </si>
  <si>
    <t>54.8643843903734</t>
  </si>
  <si>
    <t>55.4767733659312</t>
  </si>
  <si>
    <t>54.5609384546591</t>
  </si>
  <si>
    <t>54.5268003555419</t>
  </si>
  <si>
    <t>55.0888579810444</t>
  </si>
  <si>
    <t>55.4629335676038</t>
  </si>
  <si>
    <t>56.0206251615761</t>
  </si>
  <si>
    <t>56.5239080615625</t>
  </si>
  <si>
    <t>56.6163172635212</t>
  </si>
  <si>
    <t>56.6614763036406</t>
  </si>
  <si>
    <t>57.4653483232357</t>
  </si>
  <si>
    <t>57.9259290738366</t>
  </si>
  <si>
    <t>58.6794404547528</t>
  </si>
  <si>
    <t>59.245682959815</t>
  </si>
  <si>
    <t>59.8943833092536</t>
  </si>
  <si>
    <t>60.7970720432702</t>
  </si>
  <si>
    <t>61.5749780883885</t>
  </si>
  <si>
    <t>62.6123091789149</t>
  </si>
  <si>
    <t>63.7358609964989</t>
  </si>
  <si>
    <t>64.9630527785961</t>
  </si>
  <si>
    <t>66.5688916097997</t>
  </si>
  <si>
    <t>67.7794550372079</t>
  </si>
  <si>
    <t>70.7329824761255</t>
  </si>
  <si>
    <t>73.7644489974565</t>
  </si>
  <si>
    <t>76.1201083242126</t>
  </si>
  <si>
    <t>82.004851021613</t>
  </si>
  <si>
    <t>77.5106413047972</t>
  </si>
  <si>
    <t>72.1424694881221</t>
  </si>
  <si>
    <t>68.402351057538</t>
  </si>
  <si>
    <t>67.7432869035226</t>
  </si>
  <si>
    <t>65.9558583125822</t>
  </si>
  <si>
    <t>63.9610394908505</t>
  </si>
  <si>
    <t>62.5500796812862</t>
  </si>
  <si>
    <t>61.785432843801</t>
  </si>
  <si>
    <t>B70_RS_P5_030_NewFoam_front</t>
  </si>
  <si>
    <t>B70_RS_P5_030_NewFoam_rear</t>
  </si>
  <si>
    <t>372.989376509024</t>
  </si>
  <si>
    <t>73.7762373254887</t>
  </si>
  <si>
    <t>81.8795965547891</t>
  </si>
  <si>
    <t>86.8609647287713</t>
  </si>
  <si>
    <t>83.9551639766563</t>
  </si>
  <si>
    <t>76.2885722325986</t>
  </si>
  <si>
    <t>81.2054491130016</t>
  </si>
  <si>
    <t>72.5372556283668</t>
  </si>
  <si>
    <t>71.3931527778893</t>
  </si>
  <si>
    <t>70.3440857613838</t>
  </si>
  <si>
    <t>70.564091652692</t>
  </si>
  <si>
    <t>68.5962014009664</t>
  </si>
  <si>
    <t>68.1226802979521</t>
  </si>
  <si>
    <t>66.2451911762239</t>
  </si>
  <si>
    <t>66.4990617033786</t>
  </si>
  <si>
    <t>65.6385691826445</t>
  </si>
  <si>
    <t>65.8232301951954</t>
  </si>
  <si>
    <t>64.3803294385127</t>
  </si>
  <si>
    <t>64.412838253294</t>
  </si>
  <si>
    <t>65.0765173147507</t>
  </si>
  <si>
    <t>66.4976076070183</t>
  </si>
  <si>
    <t>66.4668263973844</t>
  </si>
  <si>
    <t>66.8673959157993</t>
  </si>
  <si>
    <t>68.4561548686657</t>
  </si>
  <si>
    <t>70.4901543502881</t>
  </si>
  <si>
    <t>73.5053094978128</t>
  </si>
  <si>
    <t>76.7095773573275</t>
  </si>
  <si>
    <t>78.2831751525441</t>
  </si>
  <si>
    <t>82.3962993648479</t>
  </si>
  <si>
    <t>75.5752934880685</t>
  </si>
  <si>
    <t>69.2414798700845</t>
  </si>
  <si>
    <t>68.0747319109871</t>
  </si>
  <si>
    <t>66.7285871046314</t>
  </si>
  <si>
    <t>67.9808379744721</t>
  </si>
  <si>
    <t>67.6291196467999</t>
  </si>
  <si>
    <t>64.9943661191127</t>
  </si>
  <si>
    <t>63.7868093853981</t>
  </si>
  <si>
    <t>62.2716792390787</t>
  </si>
  <si>
    <t>61.3866093132318</t>
  </si>
  <si>
    <t>60.283961232653</t>
  </si>
  <si>
    <t>59.1870798340581</t>
  </si>
  <si>
    <t>58.1750759887067</t>
  </si>
  <si>
    <t>57.4440947885701</t>
  </si>
  <si>
    <t>57.9184428134912</t>
  </si>
  <si>
    <t>60.0075395427286</t>
  </si>
  <si>
    <t>63.5840171981091</t>
  </si>
  <si>
    <t>70.6782686607298</t>
  </si>
  <si>
    <t>77.1527389409419</t>
  </si>
  <si>
    <t>68.7739931838219</t>
  </si>
  <si>
    <t>64.1205211110282</t>
  </si>
  <si>
    <t>61.4560688573286</t>
  </si>
  <si>
    <t>59.5662152780501</t>
  </si>
  <si>
    <t>57.6554324993687</t>
  </si>
  <si>
    <t>55.7350187188133</t>
  </si>
  <si>
    <t>53.7147782927449</t>
  </si>
  <si>
    <t>51.7104483874007</t>
  </si>
  <si>
    <t>50.0573795305186</t>
  </si>
  <si>
    <t>48.7200953721771</t>
  </si>
  <si>
    <t>47.78652956023</t>
  </si>
  <si>
    <t>46.6128803741763</t>
  </si>
  <si>
    <t>45.6545220597929</t>
  </si>
  <si>
    <t>44.9921357679768</t>
  </si>
  <si>
    <t>44.5393847388095</t>
  </si>
  <si>
    <t>44.6017040062931</t>
  </si>
  <si>
    <t>44.7764366965886</t>
  </si>
  <si>
    <t>44.8826285722955</t>
  </si>
  <si>
    <t>44.8385909734217</t>
  </si>
  <si>
    <t>44.8178073108014</t>
  </si>
  <si>
    <t>45.003249436135</t>
  </si>
  <si>
    <t>45.8072571002023</t>
  </si>
  <si>
    <t>45.9538222460855</t>
  </si>
  <si>
    <t>47.2335409245559</t>
  </si>
  <si>
    <t>48.3615510981493</t>
  </si>
  <si>
    <t>48.6180118661122</t>
  </si>
  <si>
    <t>48.2315954453759</t>
  </si>
  <si>
    <t>47.5191643843088</t>
  </si>
  <si>
    <t>48.379504076191</t>
  </si>
  <si>
    <t>48.5068996365655</t>
  </si>
  <si>
    <t>47.7419445154636</t>
  </si>
  <si>
    <t>46.9339594700959</t>
  </si>
  <si>
    <t>46.4074882000044</t>
  </si>
  <si>
    <t>46.0798494375175</t>
  </si>
  <si>
    <t>46.1961183676519</t>
  </si>
  <si>
    <t>46.788068024587</t>
  </si>
  <si>
    <t>46.2531676207858</t>
  </si>
  <si>
    <t>45.6864572959869</t>
  </si>
  <si>
    <t>45.4616043629564</t>
  </si>
  <si>
    <t>45.7245551080483</t>
  </si>
  <si>
    <t>46.3546308925635</t>
  </si>
  <si>
    <t>47.0107957053366</t>
  </si>
  <si>
    <t>46.6163930705627</t>
  </si>
  <si>
    <t>46.7857565140765</t>
  </si>
  <si>
    <t>46.847133951844</t>
  </si>
  <si>
    <t>47.0200048972821</t>
  </si>
  <si>
    <t>47.1639711534676</t>
  </si>
  <si>
    <t>47.4738028345917</t>
  </si>
  <si>
    <t>47.7149987436593</t>
  </si>
  <si>
    <t>48.0515954760529</t>
  </si>
  <si>
    <t>48.3874055254418</t>
  </si>
  <si>
    <t>48.7562696777413</t>
  </si>
  <si>
    <t>49.1429369421796</t>
  </si>
  <si>
    <t>49.5565359828566</t>
  </si>
  <si>
    <t>50.023418248635</t>
  </si>
  <si>
    <t>50.3430748101276</t>
  </si>
  <si>
    <t>50.730802709988</t>
  </si>
  <si>
    <t>51.1351062610252</t>
  </si>
  <si>
    <t>51.5364698812578</t>
  </si>
  <si>
    <t>51.6660344900219</t>
  </si>
  <si>
    <t>51.7398504390898</t>
  </si>
  <si>
    <t>52.1197859832926</t>
  </si>
  <si>
    <t>52.3546506579925</t>
  </si>
  <si>
    <t>52.5616370331904</t>
  </si>
  <si>
    <t>52.7159249534489</t>
  </si>
  <si>
    <t>53.2064173273091</t>
  </si>
  <si>
    <t>53.4476975093212</t>
  </si>
  <si>
    <t>53.7563283852601</t>
  </si>
  <si>
    <t>54.1832443102067</t>
  </si>
  <si>
    <t>54.6553213804542</t>
  </si>
  <si>
    <t>55.1971265303997</t>
  </si>
  <si>
    <t>54.9746775706994</t>
  </si>
  <si>
    <t>54.6736488279536</t>
  </si>
  <si>
    <t>54.0336905624407</t>
  </si>
  <si>
    <t>53.9739101748267</t>
  </si>
  <si>
    <t>54.3674433398901</t>
  </si>
  <si>
    <t>55.2646571402224</t>
  </si>
  <si>
    <t>56.8028894494062</t>
  </si>
  <si>
    <t>59.3993825067174</t>
  </si>
  <si>
    <t>64.3300520817148</t>
  </si>
  <si>
    <t>377.138499147623</t>
  </si>
  <si>
    <t>72.4765917559545</t>
  </si>
  <si>
    <t>83.4913388277475</t>
  </si>
  <si>
    <t>86.653297828189</t>
  </si>
  <si>
    <t>85.2333445270076</t>
  </si>
  <si>
    <t>81.5355534301153</t>
  </si>
  <si>
    <t>89.0586954121043</t>
  </si>
  <si>
    <t>89.9517277957051</t>
  </si>
  <si>
    <t>84.9738766882908</t>
  </si>
  <si>
    <t>85.7725076095925</t>
  </si>
  <si>
    <t>81.3776962509425</t>
  </si>
  <si>
    <t>77.6629265354361</t>
  </si>
  <si>
    <t>82.0779716858989</t>
  </si>
  <si>
    <t>77.2506030889464</t>
  </si>
  <si>
    <t>82.0648491010093</t>
  </si>
  <si>
    <t>82.1754393120008</t>
  </si>
  <si>
    <t>78.2838425663951</t>
  </si>
  <si>
    <t>77.1784840366959</t>
  </si>
  <si>
    <t>77.2208123537668</t>
  </si>
  <si>
    <t>76.6232739191169</t>
  </si>
  <si>
    <t>73.8851495080177</t>
  </si>
  <si>
    <t>71.3304836094354</t>
  </si>
  <si>
    <t>71.0317799096164</t>
  </si>
  <si>
    <t>71.196927135343</t>
  </si>
  <si>
    <t>70.5781830110415</t>
  </si>
  <si>
    <t>69.6545552096535</t>
  </si>
  <si>
    <t>68.5831550495049</t>
  </si>
  <si>
    <t>66.4510340442702</t>
  </si>
  <si>
    <t>64.2432753333386</t>
  </si>
  <si>
    <t>62.2705890160977</t>
  </si>
  <si>
    <t>60.9337851331348</t>
  </si>
  <si>
    <t>61.6534285814738</t>
  </si>
  <si>
    <t>61.9814092261687</t>
  </si>
  <si>
    <t>61.5144246629779</t>
  </si>
  <si>
    <t>60.5647038995451</t>
  </si>
  <si>
    <t>59.2139275560017</t>
  </si>
  <si>
    <t>57.9512162878731</t>
  </si>
  <si>
    <t>56.7679961696074</t>
  </si>
  <si>
    <t>55.9386904013331</t>
  </si>
  <si>
    <t>54.9939057766734</t>
  </si>
  <si>
    <t>54.8829803529226</t>
  </si>
  <si>
    <t>54.6350710964606</t>
  </si>
  <si>
    <t>54.5546204981449</t>
  </si>
  <si>
    <t>53.7965098493439</t>
  </si>
  <si>
    <t>52.7259891238742</t>
  </si>
  <si>
    <t>52.0175336882001</t>
  </si>
  <si>
    <t>51.421219834182</t>
  </si>
  <si>
    <t>51.0137777509758</t>
  </si>
  <si>
    <t>50.902785388297</t>
  </si>
  <si>
    <t>51.1122755067187</t>
  </si>
  <si>
    <t>51.0646226631674</t>
  </si>
  <si>
    <t>51.2993045872606</t>
  </si>
  <si>
    <t>51.8081102747667</t>
  </si>
  <si>
    <t>52.7029385098257</t>
  </si>
  <si>
    <t>53.1473972856468</t>
  </si>
  <si>
    <t>52.9196934032583</t>
  </si>
  <si>
    <t>52.7918335923389</t>
  </si>
  <si>
    <t>51.6859574205364</t>
  </si>
  <si>
    <t>50.6028990115496</t>
  </si>
  <si>
    <t>49.1468293464647</t>
  </si>
  <si>
    <t>48.1334724263242</t>
  </si>
  <si>
    <t>47.410339675818</t>
  </si>
  <si>
    <t>46.9831314221724</t>
  </si>
  <si>
    <t>46.682399230216</t>
  </si>
  <si>
    <t>46.6702086466766</t>
  </si>
  <si>
    <t>46.7446106633908</t>
  </si>
  <si>
    <t>47.0851132130892</t>
  </si>
  <si>
    <t>47.5270310763175</t>
  </si>
  <si>
    <t>48.5580271149876</t>
  </si>
  <si>
    <t>50.0968491273681</t>
  </si>
  <si>
    <t>51.1624079949792</t>
  </si>
  <si>
    <t>53.4860502269394</t>
  </si>
  <si>
    <t>55.3019363518315</t>
  </si>
  <si>
    <t>58.3738677995591</t>
  </si>
  <si>
    <t>62.0176255070309</t>
  </si>
  <si>
    <t>66.2854751120068</t>
  </si>
  <si>
    <t>62.1948419736309</t>
  </si>
  <si>
    <t>59.0355022520345</t>
  </si>
  <si>
    <t>56.3028004786345</t>
  </si>
  <si>
    <t>54.9430980488426</t>
  </si>
  <si>
    <t>53.5769955221759</t>
  </si>
  <si>
    <t>52.7862462860553</t>
  </si>
  <si>
    <t>53.5452266322889</t>
  </si>
  <si>
    <t>54.3575973972978</t>
  </si>
  <si>
    <t>49.7637941277493</t>
  </si>
  <si>
    <t>48.1539817292098</t>
  </si>
  <si>
    <t>47.6344731761359</t>
  </si>
  <si>
    <t>48.1152121643813</t>
  </si>
  <si>
    <t>50.3644318724265</t>
  </si>
  <si>
    <t>52.3250019725322</t>
  </si>
  <si>
    <t>49.5384717166929</t>
  </si>
  <si>
    <t>49.7067985787904</t>
  </si>
  <si>
    <t>50.0740244390485</t>
  </si>
  <si>
    <t>50.4412946789856</t>
  </si>
  <si>
    <t>50.8917530348681</t>
  </si>
  <si>
    <t>51.4584274507675</t>
  </si>
  <si>
    <t>51.4923691197581</t>
  </si>
  <si>
    <t>51.8814960234146</t>
  </si>
  <si>
    <t>52.2755253193893</t>
  </si>
  <si>
    <t>52.6630034794543</t>
  </si>
  <si>
    <t>53.3741875545484</t>
  </si>
  <si>
    <t>54.0727891291534</t>
  </si>
  <si>
    <t>54.758795614911</t>
  </si>
  <si>
    <t>55.2091761024312</t>
  </si>
  <si>
    <t>55.3818985809257</t>
  </si>
  <si>
    <t>55.6225257856532</t>
  </si>
  <si>
    <t>55.7622614044493</t>
  </si>
  <si>
    <t>55.6865257492546</t>
  </si>
  <si>
    <t>55.30815608</t>
  </si>
  <si>
    <t>55.3526799430719</t>
  </si>
  <si>
    <t>54.9510428212531</t>
  </si>
  <si>
    <t>54.9407117480283</t>
  </si>
  <si>
    <t>54.8749486185978</t>
  </si>
  <si>
    <t>55.8803724607259</t>
  </si>
  <si>
    <t>55.4079805422616</t>
  </si>
  <si>
    <t>55.0163482221755</t>
  </si>
  <si>
    <t>55.3412468893422</t>
  </si>
  <si>
    <t>55.7348507047812</t>
  </si>
  <si>
    <t>55.7980228701603</t>
  </si>
  <si>
    <t>55.1513899573404</t>
  </si>
  <si>
    <t>54.6014161167577</t>
  </si>
  <si>
    <t>54.4209700519285</t>
  </si>
  <si>
    <t>55.1764358405586</t>
  </si>
  <si>
    <t>56.0858391099832</t>
  </si>
  <si>
    <t>57.1324414571946</t>
  </si>
  <si>
    <t>57.7665709208877</t>
  </si>
  <si>
    <t>59.2553023608398</t>
  </si>
  <si>
    <t>60.8021442314893</t>
  </si>
  <si>
    <t>B70_RS_P5_030_RECOVER_front</t>
  </si>
  <si>
    <t>B70_RS_P5_030_RECOVER_rear</t>
  </si>
  <si>
    <t>395.866921910517</t>
  </si>
  <si>
    <t>73.6762546773308</t>
  </si>
  <si>
    <t>76.9808749906372</t>
  </si>
  <si>
    <t>77.5144083376523</t>
  </si>
  <si>
    <t>64.1403177683739</t>
  </si>
  <si>
    <t>67.617243757011</t>
  </si>
  <si>
    <t>68.2402600211658</t>
  </si>
  <si>
    <t>70.9784404506114</t>
  </si>
  <si>
    <t>71.3529453909843</t>
  </si>
  <si>
    <t>70.2091440448652</t>
  </si>
  <si>
    <t>68.5929729435125</t>
  </si>
  <si>
    <t>67.1189617256009</t>
  </si>
  <si>
    <t>67.6546887010114</t>
  </si>
  <si>
    <t>64.6568100225317</t>
  </si>
  <si>
    <t>63.5949871357825</t>
  </si>
  <si>
    <t>62.2476356466845</t>
  </si>
  <si>
    <t>61.9318513879766</t>
  </si>
  <si>
    <t>61.3481916432608</t>
  </si>
  <si>
    <t>61.7409067804136</t>
  </si>
  <si>
    <t>61.3034836991068</t>
  </si>
  <si>
    <t>62.2061871553254</t>
  </si>
  <si>
    <t>63.0421330735051</t>
  </si>
  <si>
    <t>63.9387785682387</t>
  </si>
  <si>
    <t>65.231180147971</t>
  </si>
  <si>
    <t>67.4822116753471</t>
  </si>
  <si>
    <t>68.0619919921045</t>
  </si>
  <si>
    <t>69.21411941035</t>
  </si>
  <si>
    <t>69.2701759441198</t>
  </si>
  <si>
    <t>70.5988808955153</t>
  </si>
  <si>
    <t>73.5960039900195</t>
  </si>
  <si>
    <t>67.544256690228</t>
  </si>
  <si>
    <t>63.3345299085023</t>
  </si>
  <si>
    <t>62.8965598584681</t>
  </si>
  <si>
    <t>62.5402270639292</t>
  </si>
  <si>
    <t>61.3786571819222</t>
  </si>
  <si>
    <t>60.0778449424801</t>
  </si>
  <si>
    <t>58.95060724467</t>
  </si>
  <si>
    <t>57.7611541520719</t>
  </si>
  <si>
    <t>56.5793183896693</t>
  </si>
  <si>
    <t>55.245356296273</t>
  </si>
  <si>
    <t>54.1259062090854</t>
  </si>
  <si>
    <t>53.5881287263466</t>
  </si>
  <si>
    <t>53.4220079783191</t>
  </si>
  <si>
    <t>53.3048214422312</t>
  </si>
  <si>
    <t>53.689972013185</t>
  </si>
  <si>
    <t>53.8804928560556</t>
  </si>
  <si>
    <t>53.7416624537202</t>
  </si>
  <si>
    <t>53.7959784320818</t>
  </si>
  <si>
    <t>54.6586663441852</t>
  </si>
  <si>
    <t>55.5651481338233</t>
  </si>
  <si>
    <t>57.3963025805483</t>
  </si>
  <si>
    <t>60.5181381602622</t>
  </si>
  <si>
    <t>64.2513407463681</t>
  </si>
  <si>
    <t>66.0700233233762</t>
  </si>
  <si>
    <t>61.4304447866874</t>
  </si>
  <si>
    <t>57.5578576797118</t>
  </si>
  <si>
    <t>55.1292217806082</t>
  </si>
  <si>
    <t>53.4548573076424</t>
  </si>
  <si>
    <t>52.0504110025703</t>
  </si>
  <si>
    <t>50.8251897058042</t>
  </si>
  <si>
    <t>49.483520205642</t>
  </si>
  <si>
    <t>48.3137399734782</t>
  </si>
  <si>
    <t>47.2264375555123</t>
  </si>
  <si>
    <t>46.2247222457511</t>
  </si>
  <si>
    <t>45.1925084178</t>
  </si>
  <si>
    <t>44.4840954941103</t>
  </si>
  <si>
    <t>43.6419916877416</t>
  </si>
  <si>
    <t>42.4637149404406</t>
  </si>
  <si>
    <t>41.2711705325898</t>
  </si>
  <si>
    <t>40.6485860626954</t>
  </si>
  <si>
    <t>40.555551809746</t>
  </si>
  <si>
    <t>40.491169196072</t>
  </si>
  <si>
    <t>40.7972818418043</t>
  </si>
  <si>
    <t>41.4625849176118</t>
  </si>
  <si>
    <t>42.3400506877494</t>
  </si>
  <si>
    <t>43.5350116175357</t>
  </si>
  <si>
    <t>44.5341184159721</t>
  </si>
  <si>
    <t>44.8580269220691</t>
  </si>
  <si>
    <t>45.5500130639911</t>
  </si>
  <si>
    <t>46.194433290808</t>
  </si>
  <si>
    <t>46.4729274949688</t>
  </si>
  <si>
    <t>46.705370089597</t>
  </si>
  <si>
    <t>47.0590901179195</t>
  </si>
  <si>
    <t>47.7727881810815</t>
  </si>
  <si>
    <t>48.9411746556261</t>
  </si>
  <si>
    <t>49.9223261627246</t>
  </si>
  <si>
    <t>50.0026233398569</t>
  </si>
  <si>
    <t>49.7631161632156</t>
  </si>
  <si>
    <t>49.5142398035082</t>
  </si>
  <si>
    <t>49.2460387416411</t>
  </si>
  <si>
    <t>48.8303544627001</t>
  </si>
  <si>
    <t>48.6451407533993</t>
  </si>
  <si>
    <t>48.3882579177353</t>
  </si>
  <si>
    <t>48.2792635462811</t>
  </si>
  <si>
    <t>48.1165612265601</t>
  </si>
  <si>
    <t>48.2609461899584</t>
  </si>
  <si>
    <t>48.4119672888507</t>
  </si>
  <si>
    <t>48.6881434222411</t>
  </si>
  <si>
    <t>48.922754598349</t>
  </si>
  <si>
    <t>49.0644948577523</t>
  </si>
  <si>
    <t>49.4120915114316</t>
  </si>
  <si>
    <t>49.8503740760494</t>
  </si>
  <si>
    <t>50.1626613065299</t>
  </si>
  <si>
    <t>50.4963596615055</t>
  </si>
  <si>
    <t>50.9766580726479</t>
  </si>
  <si>
    <t>51.3432938149131</t>
  </si>
  <si>
    <t>51.7114033792796</t>
  </si>
  <si>
    <t>52.0718056841651</t>
  </si>
  <si>
    <t>52.3122969817838</t>
  </si>
  <si>
    <t>52.2405922549595</t>
  </si>
  <si>
    <t>52.4369050725213</t>
  </si>
  <si>
    <t>52.5706427047837</t>
  </si>
  <si>
    <t>52.5993313693697</t>
  </si>
  <si>
    <t>52.8098011626134</t>
  </si>
  <si>
    <t>53.2444809931701</t>
  </si>
  <si>
    <t>53.1598291077608</t>
  </si>
  <si>
    <t>53.0694220248658</t>
  </si>
  <si>
    <t>53.2034106458655</t>
  </si>
  <si>
    <t>53.0826649987281</t>
  </si>
  <si>
    <t>52.9831615985547</t>
  </si>
  <si>
    <t>52.9668403558483</t>
  </si>
  <si>
    <t>53.2241726923141</t>
  </si>
  <si>
    <t>54.1206438623215</t>
  </si>
  <si>
    <t>55.4247500271502</t>
  </si>
  <si>
    <t>56.8302636174035</t>
  </si>
  <si>
    <t>59.0671655396376</t>
  </si>
  <si>
    <t>61.7750792841653</t>
  </si>
  <si>
    <t>65.3485649226672</t>
  </si>
  <si>
    <t>376.240566169872</t>
  </si>
  <si>
    <t>93.9649919969344</t>
  </si>
  <si>
    <t>76.8855809108902</t>
  </si>
  <si>
    <t>79.6885779625231</t>
  </si>
  <si>
    <t>81.1811594815976</t>
  </si>
  <si>
    <t>86.6296269207633</t>
  </si>
  <si>
    <t>84.7581352379381</t>
  </si>
  <si>
    <t>84.3393566925096</t>
  </si>
  <si>
    <t>77.2728381919018</t>
  </si>
  <si>
    <t>79.7210084020773</t>
  </si>
  <si>
    <t>75.3785758652509</t>
  </si>
  <si>
    <t>69.2526500446994</t>
  </si>
  <si>
    <t>67.9320248066974</t>
  </si>
  <si>
    <t>68.003000862098</t>
  </si>
  <si>
    <t>70.1387201496575</t>
  </si>
  <si>
    <t>68.3596904540877</t>
  </si>
  <si>
    <t>69.4646366588991</t>
  </si>
  <si>
    <t>69.2828909964687</t>
  </si>
  <si>
    <t>69.855221267446</t>
  </si>
  <si>
    <t>71.912250945386</t>
  </si>
  <si>
    <t>72.8680683497504</t>
  </si>
  <si>
    <t>74.3184129447091</t>
  </si>
  <si>
    <t>74.5647090001698</t>
  </si>
  <si>
    <t>80.788124049492</t>
  </si>
  <si>
    <t>85.4780332177681</t>
  </si>
  <si>
    <t>83.6759894494392</t>
  </si>
  <si>
    <t>79.5582460550917</t>
  </si>
  <si>
    <t>79.6037773487435</t>
  </si>
  <si>
    <t>75.5813182288617</t>
  </si>
  <si>
    <t>74.0715172870933</t>
  </si>
  <si>
    <t>66.042739156495</t>
  </si>
  <si>
    <t>64.116709328021</t>
  </si>
  <si>
    <t>63.1850460742154</t>
  </si>
  <si>
    <t>62.5498130058318</t>
  </si>
  <si>
    <t>61.0448183356509</t>
  </si>
  <si>
    <t>59.927637016483</t>
  </si>
  <si>
    <t>58.7097452801696</t>
  </si>
  <si>
    <t>57.4707904292369</t>
  </si>
  <si>
    <t>55.8966991126093</t>
  </si>
  <si>
    <t>53.8232546538594</t>
  </si>
  <si>
    <t>52.4452281249942</t>
  </si>
  <si>
    <t>51.0074065126026</t>
  </si>
  <si>
    <t>50.2379092520956</t>
  </si>
  <si>
    <t>49.1883075483245</t>
  </si>
  <si>
    <t>48.5901904821348</t>
  </si>
  <si>
    <t>48.0620263114785</t>
  </si>
  <si>
    <t>47.7365812028651</t>
  </si>
  <si>
    <t>47.748994944579</t>
  </si>
  <si>
    <t>48.0595423332655</t>
  </si>
  <si>
    <t>48.4048454766477</t>
  </si>
  <si>
    <t>48.6271310943713</t>
  </si>
  <si>
    <t>48.945031490632</t>
  </si>
  <si>
    <t>49.0646444973262</t>
  </si>
  <si>
    <t>49.5096826933712</t>
  </si>
  <si>
    <t>49.5675982252804</t>
  </si>
  <si>
    <t>49.8852170139499</t>
  </si>
  <si>
    <t>50.299248420609</t>
  </si>
  <si>
    <t>50.5358544617809</t>
  </si>
  <si>
    <t>50.478463734838</t>
  </si>
  <si>
    <t>50.0261035683987</t>
  </si>
  <si>
    <t>49.6600931136816</t>
  </si>
  <si>
    <t>49.3781629316372</t>
  </si>
  <si>
    <t>49.5637791077347</t>
  </si>
  <si>
    <t>49.240151670538</t>
  </si>
  <si>
    <t>49.3605002396024</t>
  </si>
  <si>
    <t>49.8551162204751</t>
  </si>
  <si>
    <t>49.1976612279245</t>
  </si>
  <si>
    <t>47.9756884575726</t>
  </si>
  <si>
    <t>46.6646509214734</t>
  </si>
  <si>
    <t>45.7008974348205</t>
  </si>
  <si>
    <t>45.7200710989004</t>
  </si>
  <si>
    <t>46.0511789112521</t>
  </si>
  <si>
    <t>46.678487659798</t>
  </si>
  <si>
    <t>48.0608611023603</t>
  </si>
  <si>
    <t>50.0582121083716</t>
  </si>
  <si>
    <t>52.7992585288451</t>
  </si>
  <si>
    <t>55.3454151605579</t>
  </si>
  <si>
    <t>56.0572511608961</t>
  </si>
  <si>
    <t>62.2441167465598</t>
  </si>
  <si>
    <t>69.0957922297685</t>
  </si>
  <si>
    <t>60.3438492876599</t>
  </si>
  <si>
    <t>55.5066212719973</t>
  </si>
  <si>
    <t>52.2033587143338</t>
  </si>
  <si>
    <t>50.1052735285611</t>
  </si>
  <si>
    <t>50.8209479967842</t>
  </si>
  <si>
    <t>57.6857643210907</t>
  </si>
  <si>
    <t>70.9277930836277</t>
  </si>
  <si>
    <t>65.613464277369</t>
  </si>
  <si>
    <t>61.2797633544812</t>
  </si>
  <si>
    <t>58.6887186530667</t>
  </si>
  <si>
    <t>56.2640217866569</t>
  </si>
  <si>
    <t>54.534371724988</t>
  </si>
  <si>
    <t>53.1434899150462</t>
  </si>
  <si>
    <t>52.3122068415377</t>
  </si>
  <si>
    <t>52.0607287151746</t>
  </si>
  <si>
    <t>53.478059315976</t>
  </si>
  <si>
    <t>53.1959430613314</t>
  </si>
  <si>
    <t>52.6052685489361</t>
  </si>
  <si>
    <t>52.0274121931082</t>
  </si>
  <si>
    <t>51.6917461323504</t>
  </si>
  <si>
    <t>51.7413821065081</t>
  </si>
  <si>
    <t>52.1704007502172</t>
  </si>
  <si>
    <t>52.9055310691099</t>
  </si>
  <si>
    <t>53.5878753245648</t>
  </si>
  <si>
    <t>54.5831541920205</t>
  </si>
  <si>
    <t>55.224071169838</t>
  </si>
  <si>
    <t>56.099285944335</t>
  </si>
  <si>
    <t>56.2446342974064</t>
  </si>
  <si>
    <t>56.7432420599446</t>
  </si>
  <si>
    <t>56.7484544343487</t>
  </si>
  <si>
    <t>56.6337289777566</t>
  </si>
  <si>
    <t>56.5628257577829</t>
  </si>
  <si>
    <t>56.597292789059</t>
  </si>
  <si>
    <t>57.2125427935493</t>
  </si>
  <si>
    <t>57.2449592784476</t>
  </si>
  <si>
    <t>56.5996266841202</t>
  </si>
  <si>
    <t>56.0790768263248</t>
  </si>
  <si>
    <t>55.9503169912664</t>
  </si>
  <si>
    <t>55.8845955710702</t>
  </si>
  <si>
    <t>55.290838946047</t>
  </si>
  <si>
    <t>54.7567680896835</t>
  </si>
  <si>
    <t>54.7041715382655</t>
  </si>
  <si>
    <t>55.2704298457386</t>
  </si>
  <si>
    <t>55.9089322230539</t>
  </si>
  <si>
    <t>56.7602247154055</t>
  </si>
  <si>
    <t>57.6252145734005</t>
  </si>
  <si>
    <t>58.9533547465379</t>
  </si>
  <si>
    <t>59.6046017989454</t>
  </si>
  <si>
    <t>B70_SH_P5_236_NewFoam_front</t>
  </si>
  <si>
    <t>B70_SH_P5_236_NewFoam_rear</t>
  </si>
  <si>
    <t>368.752448526359</t>
  </si>
  <si>
    <t>81.6917942957383</t>
  </si>
  <si>
    <t>90.9781827848368</t>
  </si>
  <si>
    <t>72.6714976089495</t>
  </si>
  <si>
    <t>75.5565345678726</t>
  </si>
  <si>
    <t>76.3840565774998</t>
  </si>
  <si>
    <t>72.4557676946623</t>
  </si>
  <si>
    <t>73.5528335107527</t>
  </si>
  <si>
    <t>73.1638287214669</t>
  </si>
  <si>
    <t>68.5285899990451</t>
  </si>
  <si>
    <t>69.5324489035572</t>
  </si>
  <si>
    <t>67.2523995352723</t>
  </si>
  <si>
    <t>65.2689989562527</t>
  </si>
  <si>
    <t>64.3227035636317</t>
  </si>
  <si>
    <t>63.0050326440026</t>
  </si>
  <si>
    <t>62.4865560622106</t>
  </si>
  <si>
    <t>62.0110304447334</t>
  </si>
  <si>
    <t>61.1612148248543</t>
  </si>
  <si>
    <t>61.2181431274727</t>
  </si>
  <si>
    <t>61.0297967719502</t>
  </si>
  <si>
    <t>61.0896031551754</t>
  </si>
  <si>
    <t>60.9988081840472</t>
  </si>
  <si>
    <t>61.1233884954752</t>
  </si>
  <si>
    <t>62.1160187802701</t>
  </si>
  <si>
    <t>63.3448237701911</t>
  </si>
  <si>
    <t>63.8413063271239</t>
  </si>
  <si>
    <t>64.102929779227</t>
  </si>
  <si>
    <t>65.6284340495776</t>
  </si>
  <si>
    <t>65.9277686037944</t>
  </si>
  <si>
    <t>66.780283354695</t>
  </si>
  <si>
    <t>66.8361385851933</t>
  </si>
  <si>
    <t>67.0247994065595</t>
  </si>
  <si>
    <t>65.2313584098162</t>
  </si>
  <si>
    <t>66.7046091906243</t>
  </si>
  <si>
    <t>65.6884927523358</t>
  </si>
  <si>
    <t>67.5342494866221</t>
  </si>
  <si>
    <t>67.758322170256</t>
  </si>
  <si>
    <t>67.2782224965278</t>
  </si>
  <si>
    <t>71.0727842285951</t>
  </si>
  <si>
    <t>82.3920328509393</t>
  </si>
  <si>
    <t>63.1364852587946</t>
  </si>
  <si>
    <t>58.4407039537134</t>
  </si>
  <si>
    <t>57.057743049009</t>
  </si>
  <si>
    <t>56.7156652925453</t>
  </si>
  <si>
    <t>56.8576008555716</t>
  </si>
  <si>
    <t>57.1528523601875</t>
  </si>
  <si>
    <t>57.4295196755258</t>
  </si>
  <si>
    <t>57.2722113307229</t>
  </si>
  <si>
    <t>56.7641883364908</t>
  </si>
  <si>
    <t>55.9088306891029</t>
  </si>
  <si>
    <t>55.1340694111385</t>
  </si>
  <si>
    <t>53.858441221572</t>
  </si>
  <si>
    <t>52.5042731969923</t>
  </si>
  <si>
    <t>51.5975026247478</t>
  </si>
  <si>
    <t>50.8117929296514</t>
  </si>
  <si>
    <t>50.2767930309273</t>
  </si>
  <si>
    <t>50.0786737921237</t>
  </si>
  <si>
    <t>49.7348430486441</t>
  </si>
  <si>
    <t>49.4052081728169</t>
  </si>
  <si>
    <t>48.9969265896382</t>
  </si>
  <si>
    <t>48.5206516342647</t>
  </si>
  <si>
    <t>48.060830078682</t>
  </si>
  <si>
    <t>47.5670251001066</t>
  </si>
  <si>
    <t>47.1363728852342</t>
  </si>
  <si>
    <t>46.6446285364542</t>
  </si>
  <si>
    <t>46.4307161537301</t>
  </si>
  <si>
    <t>46.2588523121977</t>
  </si>
  <si>
    <t>45.9608350570191</t>
  </si>
  <si>
    <t>45.6199260938076</t>
  </si>
  <si>
    <t>45.2480959072748</t>
  </si>
  <si>
    <t>45.2224994188165</t>
  </si>
  <si>
    <t>44.6515211414112</t>
  </si>
  <si>
    <t>44.2033675493483</t>
  </si>
  <si>
    <t>44.2290375715211</t>
  </si>
  <si>
    <t>44.8031731073514</t>
  </si>
  <si>
    <t>46.3319896967183</t>
  </si>
  <si>
    <t>44.8871317084626</t>
  </si>
  <si>
    <t>45.1238725298524</t>
  </si>
  <si>
    <t>45.8805593722505</t>
  </si>
  <si>
    <t>46.0651114860066</t>
  </si>
  <si>
    <t>46.1494886124761</t>
  </si>
  <si>
    <t>45.3836128205131</t>
  </si>
  <si>
    <t>44.9155217191726</t>
  </si>
  <si>
    <t>45.1943884601991</t>
  </si>
  <si>
    <t>46.2885439225496</t>
  </si>
  <si>
    <t>47.9662918151676</t>
  </si>
  <si>
    <t>50.6943272728376</t>
  </si>
  <si>
    <t>53.9071828916742</t>
  </si>
  <si>
    <t>55.3441773722603</t>
  </si>
  <si>
    <t>55.4189321198001</t>
  </si>
  <si>
    <t>54.8147028907924</t>
  </si>
  <si>
    <t>53.5653928241325</t>
  </si>
  <si>
    <t>52.834714666095</t>
  </si>
  <si>
    <t>52.6728561951577</t>
  </si>
  <si>
    <t>52.4346148296539</t>
  </si>
  <si>
    <t>52.7156135657492</t>
  </si>
  <si>
    <t>52.6186674743424</t>
  </si>
  <si>
    <t>52.906373755618</t>
  </si>
  <si>
    <t>53.1555869217072</t>
  </si>
  <si>
    <t>53.5360815515424</t>
  </si>
  <si>
    <t>53.9879476850909</t>
  </si>
  <si>
    <t>54.3178091151952</t>
  </si>
  <si>
    <t>55.024329194292</t>
  </si>
  <si>
    <t>55.4242435842856</t>
  </si>
  <si>
    <t>55.9108590008943</t>
  </si>
  <si>
    <t>56.1550193732499</t>
  </si>
  <si>
    <t>56.6205985583501</t>
  </si>
  <si>
    <t>56.8865967730361</t>
  </si>
  <si>
    <t>56.9789434826193</t>
  </si>
  <si>
    <t>57.023601904157</t>
  </si>
  <si>
    <t>57.4173278825314</t>
  </si>
  <si>
    <t>57.1212916895121</t>
  </si>
  <si>
    <t>56.3557514427988</t>
  </si>
  <si>
    <t>56.2843441722455</t>
  </si>
  <si>
    <t>56.9431167429918</t>
  </si>
  <si>
    <t>58.506033618505</t>
  </si>
  <si>
    <t>59.6224978938992</t>
  </si>
  <si>
    <t>60.0450443120248</t>
  </si>
  <si>
    <t>60.5161626970778</t>
  </si>
  <si>
    <t>60.0786815407719</t>
  </si>
  <si>
    <t>59.4332227253929</t>
  </si>
  <si>
    <t>58.7018603049244</t>
  </si>
  <si>
    <t>59.109836084883</t>
  </si>
  <si>
    <t>59.0084098862889</t>
  </si>
  <si>
    <t>59.6317044540107</t>
  </si>
  <si>
    <t>60.2678879006654</t>
  </si>
  <si>
    <t>61.9744801166161</t>
  </si>
  <si>
    <t>64.7099169560081</t>
  </si>
  <si>
    <t>368.358463092014</t>
  </si>
  <si>
    <t>75.4394163214032</t>
  </si>
  <si>
    <t>97.9068523422257</t>
  </si>
  <si>
    <t>82.3639573101611</t>
  </si>
  <si>
    <t>75.9846535391851</t>
  </si>
  <si>
    <t>81.1302694587349</t>
  </si>
  <si>
    <t>83.0917747280008</t>
  </si>
  <si>
    <t>75.3786431625826</t>
  </si>
  <si>
    <t>69.3868621335839</t>
  </si>
  <si>
    <t>71.8891274867706</t>
  </si>
  <si>
    <t>74.6115420836812</t>
  </si>
  <si>
    <t>84.6027580921661</t>
  </si>
  <si>
    <t>78.7634354732143</t>
  </si>
  <si>
    <t>74.5099649622516</t>
  </si>
  <si>
    <t>75.6201817968575</t>
  </si>
  <si>
    <t>74.7675650534958</t>
  </si>
  <si>
    <t>78.7049656507028</t>
  </si>
  <si>
    <t>78.542013118469</t>
  </si>
  <si>
    <t>82.1825940621763</t>
  </si>
  <si>
    <t>87.8648228646933</t>
  </si>
  <si>
    <t>89.2774347242469</t>
  </si>
  <si>
    <t>81.2342699320297</t>
  </si>
  <si>
    <t>82.5911601862586</t>
  </si>
  <si>
    <t>83.0119460229513</t>
  </si>
  <si>
    <t>78.2855391748085</t>
  </si>
  <si>
    <t>75.3045680905583</t>
  </si>
  <si>
    <t>74.395180592314</t>
  </si>
  <si>
    <t>71.5448871507175</t>
  </si>
  <si>
    <t>69.9326365283976</t>
  </si>
  <si>
    <t>68.2874827046148</t>
  </si>
  <si>
    <t>66.3143783790874</t>
  </si>
  <si>
    <t>66.1995324179877</t>
  </si>
  <si>
    <t>64.8834406549743</t>
  </si>
  <si>
    <t>63.4657636505745</t>
  </si>
  <si>
    <t>61.9628960515541</t>
  </si>
  <si>
    <t>60.0575539918367</t>
  </si>
  <si>
    <t>59.2671789365767</t>
  </si>
  <si>
    <t>57.8849331767583</t>
  </si>
  <si>
    <t>56.1471588653316</t>
  </si>
  <si>
    <t>55.9761933338866</t>
  </si>
  <si>
    <t>56.5597601073519</t>
  </si>
  <si>
    <t>56.8533397579269</t>
  </si>
  <si>
    <t>56.2591917208725</t>
  </si>
  <si>
    <t>55.2969818759774</t>
  </si>
  <si>
    <t>54.7126048261901</t>
  </si>
  <si>
    <t>53.8088824099195</t>
  </si>
  <si>
    <t>53.479609130248</t>
  </si>
  <si>
    <t>53.0911000526303</t>
  </si>
  <si>
    <t>52.7192992691542</t>
  </si>
  <si>
    <t>52.2205819708602</t>
  </si>
  <si>
    <t>51.7515080652789</t>
  </si>
  <si>
    <t>51.2089853325227</t>
  </si>
  <si>
    <t>50.7930047054539</t>
  </si>
  <si>
    <t>50.6815699869033</t>
  </si>
  <si>
    <t>51.4036477268802</t>
  </si>
  <si>
    <t>52.1920898109009</t>
  </si>
  <si>
    <t>52.242718470789</t>
  </si>
  <si>
    <t>51.3007088574948</t>
  </si>
  <si>
    <t>50.0439427869743</t>
  </si>
  <si>
    <t>49.0279323732602</t>
  </si>
  <si>
    <t>48.0240749127992</t>
  </si>
  <si>
    <t>47.1015433478989</t>
  </si>
  <si>
    <t>46.2481484370711</t>
  </si>
  <si>
    <t>45.5767402049947</t>
  </si>
  <si>
    <t>44.9787356125397</t>
  </si>
  <si>
    <t>44.6727534216954</t>
  </si>
  <si>
    <t>44.4541000180913</t>
  </si>
  <si>
    <t>44.1911869197292</t>
  </si>
  <si>
    <t>44.0156772700234</t>
  </si>
  <si>
    <t>43.9394561120125</t>
  </si>
  <si>
    <t>44.2704644942013</t>
  </si>
  <si>
    <t>43.6710489564064</t>
  </si>
  <si>
    <t>43.5961281941701</t>
  </si>
  <si>
    <t>43.8811124606859</t>
  </si>
  <si>
    <t>44.8022322303144</t>
  </si>
  <si>
    <t>47.94084249653</t>
  </si>
  <si>
    <t>47.7114012617388</t>
  </si>
  <si>
    <t>47.7423905988648</t>
  </si>
  <si>
    <t>50.6379501173063</t>
  </si>
  <si>
    <t>51.3375145665214</t>
  </si>
  <si>
    <t>55.8928859714452</t>
  </si>
  <si>
    <t>54.53048277204</t>
  </si>
  <si>
    <t>52.0138969286803</t>
  </si>
  <si>
    <t>50.4758053570211</t>
  </si>
  <si>
    <t>49.7643030217924</t>
  </si>
  <si>
    <t>49.2557904177121</t>
  </si>
  <si>
    <t>49.790669503915</t>
  </si>
  <si>
    <t>53.8139177445801</t>
  </si>
  <si>
    <t>56.0427506568856</t>
  </si>
  <si>
    <t>55.8200459146342</t>
  </si>
  <si>
    <t>58.584121248284</t>
  </si>
  <si>
    <t>63.4476216665075</t>
  </si>
  <si>
    <t>67.8203151485357</t>
  </si>
  <si>
    <t>71.6668049716195</t>
  </si>
  <si>
    <t>75.6880215900839</t>
  </si>
  <si>
    <t>65.9470834760154</t>
  </si>
  <si>
    <t>62.4090972898078</t>
  </si>
  <si>
    <t>61.4603046096711</t>
  </si>
  <si>
    <t>60.9046036148504</t>
  </si>
  <si>
    <t>60.6148443744345</t>
  </si>
  <si>
    <t>60.5082408114548</t>
  </si>
  <si>
    <t>60.3914593340458</t>
  </si>
  <si>
    <t>60.9743542919301</t>
  </si>
  <si>
    <t>60.9051887937092</t>
  </si>
  <si>
    <t>60.3723795730987</t>
  </si>
  <si>
    <t>59.1136650728898</t>
  </si>
  <si>
    <t>58.0334283067956</t>
  </si>
  <si>
    <t>57.6025598614775</t>
  </si>
  <si>
    <t>57.5369158007409</t>
  </si>
  <si>
    <t>58.0205403716252</t>
  </si>
  <si>
    <t>58.2679838376118</t>
  </si>
  <si>
    <t>58.3439685747052</t>
  </si>
  <si>
    <t>57.3802408266533</t>
  </si>
  <si>
    <t>57.0850616831032</t>
  </si>
  <si>
    <t>57.5947102195432</t>
  </si>
  <si>
    <t>58.4566577480118</t>
  </si>
  <si>
    <t>59.5403777629883</t>
  </si>
  <si>
    <t>60.773213798011</t>
  </si>
  <si>
    <t>63.0468614318356</t>
  </si>
  <si>
    <t>65.2878707730614</t>
  </si>
  <si>
    <t>66.8546220373334</t>
  </si>
  <si>
    <t>65.5237999901266</t>
  </si>
  <si>
    <t>64.5423774183973</t>
  </si>
  <si>
    <t>62.88482822035</t>
  </si>
  <si>
    <t>62.3765641442914</t>
  </si>
  <si>
    <t>61.987084167558</t>
  </si>
  <si>
    <t>61.4594585798875</t>
  </si>
  <si>
    <t>60.6285953828019</t>
  </si>
  <si>
    <t>B70_SH_P5_236_RECOVER_front</t>
  </si>
  <si>
    <t>B70_SH_P5_236_RECOVER_rear</t>
  </si>
  <si>
    <t>384.633598374844</t>
  </si>
  <si>
    <t>86.3327547942525</t>
  </si>
  <si>
    <t>83.0115708728705</t>
  </si>
  <si>
    <t>83.9559939682719</t>
  </si>
  <si>
    <t>72.0900850994741</t>
  </si>
  <si>
    <t>70.7287740493732</t>
  </si>
  <si>
    <t>69.1399083379277</t>
  </si>
  <si>
    <t>69.3694564679658</t>
  </si>
  <si>
    <t>68.1442239906855</t>
  </si>
  <si>
    <t>67.0209124803445</t>
  </si>
  <si>
    <t>67.0961297304236</t>
  </si>
  <si>
    <t>66.2903212211353</t>
  </si>
  <si>
    <t>65.304097562556</t>
  </si>
  <si>
    <t>63.265881870417</t>
  </si>
  <si>
    <t>62.8751134260065</t>
  </si>
  <si>
    <t>61.7191151584985</t>
  </si>
  <si>
    <t>61.4545407327867</t>
  </si>
  <si>
    <t>61.1131418605963</t>
  </si>
  <si>
    <t>60.9268278500647</t>
  </si>
  <si>
    <t>61.194417032705</t>
  </si>
  <si>
    <t>61.3801743846305</t>
  </si>
  <si>
    <t>62.2727111722559</t>
  </si>
  <si>
    <t>61.788372064657</t>
  </si>
  <si>
    <t>63.0516152719805</t>
  </si>
  <si>
    <t>63.0365455121699</t>
  </si>
  <si>
    <t>64.2365908463777</t>
  </si>
  <si>
    <t>64.5199173175543</t>
  </si>
  <si>
    <t>65.0188864888227</t>
  </si>
  <si>
    <t>66.0116489793623</t>
  </si>
  <si>
    <t>67.1848299028389</t>
  </si>
  <si>
    <t>67.7735035867711</t>
  </si>
  <si>
    <t>68.5475967300747</t>
  </si>
  <si>
    <t>68.8489006096727</t>
  </si>
  <si>
    <t>70.2609678751904</t>
  </si>
  <si>
    <t>70.5890190301841</t>
  </si>
  <si>
    <t>70.8395597402607</t>
  </si>
  <si>
    <t>70.4550997106935</t>
  </si>
  <si>
    <t>69.3563373177709</t>
  </si>
  <si>
    <t>67.1819636280344</t>
  </si>
  <si>
    <t>66.2052275795831</t>
  </si>
  <si>
    <t>67.1471832683824</t>
  </si>
  <si>
    <t>81.5364636554556</t>
  </si>
  <si>
    <t>71.5103575444786</t>
  </si>
  <si>
    <t>64.4469501312074</t>
  </si>
  <si>
    <t>63.002936674496</t>
  </si>
  <si>
    <t>63.9264843814577</t>
  </si>
  <si>
    <t>67.0456392169378</t>
  </si>
  <si>
    <t>72.19228778485</t>
  </si>
  <si>
    <t>78.2761175437391</t>
  </si>
  <si>
    <t>70.6724652998802</t>
  </si>
  <si>
    <t>64.3859115458963</t>
  </si>
  <si>
    <t>60.8550208640417</t>
  </si>
  <si>
    <t>58.0452552190292</t>
  </si>
  <si>
    <t>56.7698457563554</t>
  </si>
  <si>
    <t>55.8390485614429</t>
  </si>
  <si>
    <t>55.3472910931363</t>
  </si>
  <si>
    <t>55.0199844104319</t>
  </si>
  <si>
    <t>54.4237635863778</t>
  </si>
  <si>
    <t>53.3377323740562</t>
  </si>
  <si>
    <t>51.941221821456</t>
  </si>
  <si>
    <t>50.5988545371682</t>
  </si>
  <si>
    <t>49.5091525999343</t>
  </si>
  <si>
    <t>48.5497271749382</t>
  </si>
  <si>
    <t>47.6682182679602</t>
  </si>
  <si>
    <t>46.9237259431848</t>
  </si>
  <si>
    <t>46.6164907960062</t>
  </si>
  <si>
    <t>46.4412119325948</t>
  </si>
  <si>
    <t>46.531395872662</t>
  </si>
  <si>
    <t>46.4885222546816</t>
  </si>
  <si>
    <t>46.6926328409273</t>
  </si>
  <si>
    <t>47.116733515171</t>
  </si>
  <si>
    <t>47.1433189458772</t>
  </si>
  <si>
    <t>47.210339094121</t>
  </si>
  <si>
    <t>47.4857947769048</t>
  </si>
  <si>
    <t>47.8551828783579</t>
  </si>
  <si>
    <t>48.251127901998</t>
  </si>
  <si>
    <t>48.6396047759198</t>
  </si>
  <si>
    <t>48.7038656756353</t>
  </si>
  <si>
    <t>48.9083112424541</t>
  </si>
  <si>
    <t>49.4494215173549</t>
  </si>
  <si>
    <t>49.794528476632</t>
  </si>
  <si>
    <t>50.1313722480526</t>
  </si>
  <si>
    <t>50.3784069574902</t>
  </si>
  <si>
    <t>50.7923358424015</t>
  </si>
  <si>
    <t>51.27278624987</t>
  </si>
  <si>
    <t>51.9963217147397</t>
  </si>
  <si>
    <t>53.7810134823744</t>
  </si>
  <si>
    <t>56.2467476878866</t>
  </si>
  <si>
    <t>58.4492458281324</t>
  </si>
  <si>
    <t>58.4909627066331</t>
  </si>
  <si>
    <t>57.6796897770326</t>
  </si>
  <si>
    <t>56.8941308050221</t>
  </si>
  <si>
    <t>55.9528465732966</t>
  </si>
  <si>
    <t>55.3462747094558</t>
  </si>
  <si>
    <t>54.7527530880169</t>
  </si>
  <si>
    <t>54.2620701765066</t>
  </si>
  <si>
    <t>54.7059295074731</t>
  </si>
  <si>
    <t>54.9689677184387</t>
  </si>
  <si>
    <t>54.793568240921</t>
  </si>
  <si>
    <t>54.8636680697131</t>
  </si>
  <si>
    <t>55.0099335075011</t>
  </si>
  <si>
    <t>55.3440589823606</t>
  </si>
  <si>
    <t>55.6748426272474</t>
  </si>
  <si>
    <t>55.9227337035039</t>
  </si>
  <si>
    <t>56.1243446605845</t>
  </si>
  <si>
    <t>56.4899504922543</t>
  </si>
  <si>
    <t>56.8334716060248</t>
  </si>
  <si>
    <t>56.7137619844773</t>
  </si>
  <si>
    <t>56.6052509072589</t>
  </si>
  <si>
    <t>56.747141157691</t>
  </si>
  <si>
    <t>57.3939834729102</t>
  </si>
  <si>
    <t>58.0650555739008</t>
  </si>
  <si>
    <t>59.2434029221963</t>
  </si>
  <si>
    <t>60.5095520020253</t>
  </si>
  <si>
    <t>62.6711397167228</t>
  </si>
  <si>
    <t>66.3263533543971</t>
  </si>
  <si>
    <t>70.7544241063724</t>
  </si>
  <si>
    <t>67.9220207684873</t>
  </si>
  <si>
    <t>61.7846628283457</t>
  </si>
  <si>
    <t>58.9780222391876</t>
  </si>
  <si>
    <t>57.7295846011393</t>
  </si>
  <si>
    <t>57.6946146745556</t>
  </si>
  <si>
    <t>58.4876222794684</t>
  </si>
  <si>
    <t>59.6224879316505</t>
  </si>
  <si>
    <t>61.166193761388</t>
  </si>
  <si>
    <t>63.4674024679843</t>
  </si>
  <si>
    <t>66.3479203993268</t>
  </si>
  <si>
    <t>72.0975183825395</t>
  </si>
  <si>
    <t>376.52249206526</t>
  </si>
  <si>
    <t>81.0286932901624</t>
  </si>
  <si>
    <t>76.602324155405</t>
  </si>
  <si>
    <t>84.9235411913298</t>
  </si>
  <si>
    <t>81.3034393354597</t>
  </si>
  <si>
    <t>85.2421048857948</t>
  </si>
  <si>
    <t>82.3411229476089</t>
  </si>
  <si>
    <t>79.2111060457915</t>
  </si>
  <si>
    <t>73.9071048027033</t>
  </si>
  <si>
    <t>73.2903654031724</t>
  </si>
  <si>
    <t>71.3149359692522</t>
  </si>
  <si>
    <t>68.2184947595452</t>
  </si>
  <si>
    <t>67.7629237781516</t>
  </si>
  <si>
    <t>67.2225919956773</t>
  </si>
  <si>
    <t>66.548025732359</t>
  </si>
  <si>
    <t>67.3327883729985</t>
  </si>
  <si>
    <t>67.3874573130203</t>
  </si>
  <si>
    <t>69.7570047143307</t>
  </si>
  <si>
    <t>72.8002172704835</t>
  </si>
  <si>
    <t>71.102690986085</t>
  </si>
  <si>
    <t>70.8276426722179</t>
  </si>
  <si>
    <t>69.2382719493663</t>
  </si>
  <si>
    <t>68.6706041549329</t>
  </si>
  <si>
    <t>68.1898408123943</t>
  </si>
  <si>
    <t>67.425187278247</t>
  </si>
  <si>
    <t>67.9763197828877</t>
  </si>
  <si>
    <t>68.0373270551646</t>
  </si>
  <si>
    <t>66.5886018693191</t>
  </si>
  <si>
    <t>64.2088442581722</t>
  </si>
  <si>
    <t>63.0643599451657</t>
  </si>
  <si>
    <t>61.2477020245587</t>
  </si>
  <si>
    <t>60.5529226457233</t>
  </si>
  <si>
    <t>59.2291304894825</t>
  </si>
  <si>
    <t>58.2987133169029</t>
  </si>
  <si>
    <t>57.4019849439231</t>
  </si>
  <si>
    <t>56.0721079813971</t>
  </si>
  <si>
    <t>54.6294033084156</t>
  </si>
  <si>
    <t>52.9958513015171</t>
  </si>
  <si>
    <t>50.9456956548196</t>
  </si>
  <si>
    <t>48.940824191651</t>
  </si>
  <si>
    <t>47.6508666238043</t>
  </si>
  <si>
    <t>47.5286535852918</t>
  </si>
  <si>
    <t>48.2294295397075</t>
  </si>
  <si>
    <t>48.6980394633338</t>
  </si>
  <si>
    <t>48.7899530787576</t>
  </si>
  <si>
    <t>48.5540097435567</t>
  </si>
  <si>
    <t>48.5230659621911</t>
  </si>
  <si>
    <t>48.6478154191945</t>
  </si>
  <si>
    <t>48.8187731065533</t>
  </si>
  <si>
    <t>48.7313326870301</t>
  </si>
  <si>
    <t>49.007946318453</t>
  </si>
  <si>
    <t>49.329808746361</t>
  </si>
  <si>
    <t>49.6369587370093</t>
  </si>
  <si>
    <t>49.5337791551136</t>
  </si>
  <si>
    <t>49.1908845088241</t>
  </si>
  <si>
    <t>48.3983478352399</t>
  </si>
  <si>
    <t>47.4781823460724</t>
  </si>
  <si>
    <t>46.4392862618342</t>
  </si>
  <si>
    <t>45.401902634154</t>
  </si>
  <si>
    <t>44.318332812488</t>
  </si>
  <si>
    <t>43.444382083222</t>
  </si>
  <si>
    <t>42.7935567291131</t>
  </si>
  <si>
    <t>42.1778845818844</t>
  </si>
  <si>
    <t>41.6210338839182</t>
  </si>
  <si>
    <t>41.1686509600858</t>
  </si>
  <si>
    <t>41.0066896567553</t>
  </si>
  <si>
    <t>41.277317438878</t>
  </si>
  <si>
    <t>41.9814921625684</t>
  </si>
  <si>
    <t>42.7618778520337</t>
  </si>
  <si>
    <t>43.7218127381426</t>
  </si>
  <si>
    <t>44.3706955637804</t>
  </si>
  <si>
    <t>45.5008569435317</t>
  </si>
  <si>
    <t>46.3625370369396</t>
  </si>
  <si>
    <t>47.2907321388624</t>
  </si>
  <si>
    <t>48.5602902872749</t>
  </si>
  <si>
    <t>50.8369559876596</t>
  </si>
  <si>
    <t>53.0773858817358</t>
  </si>
  <si>
    <t>53.0616599433371</t>
  </si>
  <si>
    <t>54.0446246654847</t>
  </si>
  <si>
    <t>54.422525545271</t>
  </si>
  <si>
    <t>51.9138742860858</t>
  </si>
  <si>
    <t>49.5395330507109</t>
  </si>
  <si>
    <t>47.5697469888819</t>
  </si>
  <si>
    <t>46.2037457166293</t>
  </si>
  <si>
    <t>45.5420053645755</t>
  </si>
  <si>
    <t>45.4193210262955</t>
  </si>
  <si>
    <t>46.1039465619077</t>
  </si>
  <si>
    <t>47.2306260167792</t>
  </si>
  <si>
    <t>49.2680170934589</t>
  </si>
  <si>
    <t>51.5436649650276</t>
  </si>
  <si>
    <t>54.3950720395515</t>
  </si>
  <si>
    <t>57.1189926511451</t>
  </si>
  <si>
    <t>60.0941023495575</t>
  </si>
  <si>
    <t>64.3242521964849</t>
  </si>
  <si>
    <t>68.864868889807</t>
  </si>
  <si>
    <t>67.9855965075562</t>
  </si>
  <si>
    <t>66.2861789266145</t>
  </si>
  <si>
    <t>69.1575557739885</t>
  </si>
  <si>
    <t>70.5967375784925</t>
  </si>
  <si>
    <t>67.7039798782041</t>
  </si>
  <si>
    <t>67.0653392596458</t>
  </si>
  <si>
    <t>65.7120242600255</t>
  </si>
  <si>
    <t>65.4387821155807</t>
  </si>
  <si>
    <t>64.5000382043863</t>
  </si>
  <si>
    <t>64.3611816764945</t>
  </si>
  <si>
    <t>63.1261180091738</t>
  </si>
  <si>
    <t>62.9852761951404</t>
  </si>
  <si>
    <t>61.8929464614475</t>
  </si>
  <si>
    <t>61.2581212139458</t>
  </si>
  <si>
    <t>60.7073057814234</t>
  </si>
  <si>
    <t>60.723742060669</t>
  </si>
  <si>
    <t>59.917406529709</t>
  </si>
  <si>
    <t>59.659878635625</t>
  </si>
  <si>
    <t>59.4380733253663</t>
  </si>
  <si>
    <t>59.0703770372209</t>
  </si>
  <si>
    <t>59.4429503642599</t>
  </si>
  <si>
    <t>59.9247842651975</t>
  </si>
  <si>
    <t>61.0609643988332</t>
  </si>
  <si>
    <t>63.2439782454833</t>
  </si>
  <si>
    <t>68.2283513513284</t>
  </si>
  <si>
    <t>72.1330866930398</t>
  </si>
  <si>
    <t>71.7259164548181</t>
  </si>
  <si>
    <t>69.167112120917</t>
  </si>
  <si>
    <t>68.6350213124052</t>
  </si>
  <si>
    <t>67.561488742962</t>
  </si>
  <si>
    <t>66.3634227193078</t>
  </si>
  <si>
    <t>66.479422525987</t>
  </si>
  <si>
    <t>67.1033603368125</t>
  </si>
  <si>
    <t>B70_SH_P5_458_NewFoam_front</t>
  </si>
  <si>
    <t>B70_SH_P5_458_NewFoam_rear</t>
  </si>
  <si>
    <t>375.436335733329</t>
  </si>
  <si>
    <t>72.5196951198336</t>
  </si>
  <si>
    <t>84.0246388433847</t>
  </si>
  <si>
    <t>74.5242614095732</t>
  </si>
  <si>
    <t>72.5157378890211</t>
  </si>
  <si>
    <t>78.107776437946</t>
  </si>
  <si>
    <t>80.5230055623316</t>
  </si>
  <si>
    <t>74.3775835804095</t>
  </si>
  <si>
    <t>74.3351908715998</t>
  </si>
  <si>
    <t>69.9229317734354</t>
  </si>
  <si>
    <t>69.5756987621621</t>
  </si>
  <si>
    <t>66.4742030356776</t>
  </si>
  <si>
    <t>66.6467645553985</t>
  </si>
  <si>
    <t>64.849935678877</t>
  </si>
  <si>
    <t>64.8335549085944</t>
  </si>
  <si>
    <t>64.6067880284976</t>
  </si>
  <si>
    <t>64.4054104932567</t>
  </si>
  <si>
    <t>64.3165144419689</t>
  </si>
  <si>
    <t>64.2825354914211</t>
  </si>
  <si>
    <t>64.3582342152396</t>
  </si>
  <si>
    <t>65.2687361894074</t>
  </si>
  <si>
    <t>65.2366441662775</t>
  </si>
  <si>
    <t>65.4761742217148</t>
  </si>
  <si>
    <t>66.6142107019193</t>
  </si>
  <si>
    <t>67.8276767862158</t>
  </si>
  <si>
    <t>70.9865999825477</t>
  </si>
  <si>
    <t>72.4011631074231</t>
  </si>
  <si>
    <t>74.675806322276</t>
  </si>
  <si>
    <t>79.6602661173482</t>
  </si>
  <si>
    <t>81.6860230583517</t>
  </si>
  <si>
    <t>83.007891844792</t>
  </si>
  <si>
    <t>83.7534243634754</t>
  </si>
  <si>
    <t>76.3579857486566</t>
  </si>
  <si>
    <t>74.0383954056668</t>
  </si>
  <si>
    <t>69.2924026487188</t>
  </si>
  <si>
    <t>66.0507951164647</t>
  </si>
  <si>
    <t>63.1762200257664</t>
  </si>
  <si>
    <t>60.2006206624665</t>
  </si>
  <si>
    <t>56.8034071198951</t>
  </si>
  <si>
    <t>53.436187912359</t>
  </si>
  <si>
    <t>52.7946601739975</t>
  </si>
  <si>
    <t>54.4625842455864</t>
  </si>
  <si>
    <t>56.8384010452593</t>
  </si>
  <si>
    <t>59.0075701176181</t>
  </si>
  <si>
    <t>60.9019077520872</t>
  </si>
  <si>
    <t>60.9239860448409</t>
  </si>
  <si>
    <t>61.7604040398704</t>
  </si>
  <si>
    <t>62.5576200821386</t>
  </si>
  <si>
    <t>64.5777376514518</t>
  </si>
  <si>
    <t>67.2700038485173</t>
  </si>
  <si>
    <t>66.7982921393312</t>
  </si>
  <si>
    <t>63.9945425373886</t>
  </si>
  <si>
    <t>61.0924172029918</t>
  </si>
  <si>
    <t>57.9586467746525</t>
  </si>
  <si>
    <t>55.7096047579812</t>
  </si>
  <si>
    <t>53.5106902052987</t>
  </si>
  <si>
    <t>51.8359810412344</t>
  </si>
  <si>
    <t>50.3849802868724</t>
  </si>
  <si>
    <t>49.241290595668</t>
  </si>
  <si>
    <t>48.1249835650363</t>
  </si>
  <si>
    <t>47.2017598752019</t>
  </si>
  <si>
    <t>46.2998382944635</t>
  </si>
  <si>
    <t>45.7774328359125</t>
  </si>
  <si>
    <t>45.2347949381232</t>
  </si>
  <si>
    <t>44.8852602590676</t>
  </si>
  <si>
    <t>44.6594793171465</t>
  </si>
  <si>
    <t>44.4971153902681</t>
  </si>
  <si>
    <t>44.2517638848444</t>
  </si>
  <si>
    <t>44.1983048781585</t>
  </si>
  <si>
    <t>44.1286312037989</t>
  </si>
  <si>
    <t>43.8800937799459</t>
  </si>
  <si>
    <t>43.3961424849767</t>
  </si>
  <si>
    <t>42.8120303254945</t>
  </si>
  <si>
    <t>42.4345377011707</t>
  </si>
  <si>
    <t>42.4003682026566</t>
  </si>
  <si>
    <t>42.7972235318883</t>
  </si>
  <si>
    <t>41.6816879523217</t>
  </si>
  <si>
    <t>41.8373329617669</t>
  </si>
  <si>
    <t>42.0932580543568</t>
  </si>
  <si>
    <t>42.5988208789205</t>
  </si>
  <si>
    <t>42.6525948262875</t>
  </si>
  <si>
    <t>42.7168075945637</t>
  </si>
  <si>
    <t>42.9856164780129</t>
  </si>
  <si>
    <t>43.752292805967</t>
  </si>
  <si>
    <t>45.1999074354049</t>
  </si>
  <si>
    <t>47.0344199367426</t>
  </si>
  <si>
    <t>49.5927215732791</t>
  </si>
  <si>
    <t>51.170726932629</t>
  </si>
  <si>
    <t>51.256642567496</t>
  </si>
  <si>
    <t>51.6589326463494</t>
  </si>
  <si>
    <t>51.4215219529559</t>
  </si>
  <si>
    <t>50.5170678355347</t>
  </si>
  <si>
    <t>50.1783778643244</t>
  </si>
  <si>
    <t>49.9593116051448</t>
  </si>
  <si>
    <t>50.0042688305136</t>
  </si>
  <si>
    <t>50.1787072278602</t>
  </si>
  <si>
    <t>50.2341753734368</t>
  </si>
  <si>
    <t>50.6748206149882</t>
  </si>
  <si>
    <t>50.8966868103223</t>
  </si>
  <si>
    <t>51.332524682353</t>
  </si>
  <si>
    <t>51.6013776594985</t>
  </si>
  <si>
    <t>51.7547672130629</t>
  </si>
  <si>
    <t>51.9817326456925</t>
  </si>
  <si>
    <t>52.0109541869517</t>
  </si>
  <si>
    <t>52.301509442377</t>
  </si>
  <si>
    <t>52.7095645976789</t>
  </si>
  <si>
    <t>53.2257350340055</t>
  </si>
  <si>
    <t>53.5903121377577</t>
  </si>
  <si>
    <t>54.1451433140375</t>
  </si>
  <si>
    <t>54.5656504320969</t>
  </si>
  <si>
    <t>55.3295874797616</t>
  </si>
  <si>
    <t>55.6635101790469</t>
  </si>
  <si>
    <t>56.0435460009389</t>
  </si>
  <si>
    <t>56.2540586851741</t>
  </si>
  <si>
    <t>56.5669656733157</t>
  </si>
  <si>
    <t>56.7040834103452</t>
  </si>
  <si>
    <t>56.8400276501168</t>
  </si>
  <si>
    <t>56.6924235351744</t>
  </si>
  <si>
    <t>56.7915435691723</t>
  </si>
  <si>
    <t>57.73197940256</t>
  </si>
  <si>
    <t>59.4936225438951</t>
  </si>
  <si>
    <t>59.8935031754252</t>
  </si>
  <si>
    <t>57.4319127169416</t>
  </si>
  <si>
    <t>55.2012838957126</t>
  </si>
  <si>
    <t>53.0074237613367</t>
  </si>
  <si>
    <t>52.1003531919229</t>
  </si>
  <si>
    <t>52.6374936876879</t>
  </si>
  <si>
    <t>54.732385505044</t>
  </si>
  <si>
    <t>371.038876190676</t>
  </si>
  <si>
    <t>76.9751890513133</t>
  </si>
  <si>
    <t>75.0198425784561</t>
  </si>
  <si>
    <t>91.6164802872853</t>
  </si>
  <si>
    <t>83.5707349165799</t>
  </si>
  <si>
    <t>86.4618106358518</t>
  </si>
  <si>
    <t>77.377370580434</t>
  </si>
  <si>
    <t>76.5331969197267</t>
  </si>
  <si>
    <t>72.1094278870884</t>
  </si>
  <si>
    <t>92.7095247607864</t>
  </si>
  <si>
    <t>78.6026681901433</t>
  </si>
  <si>
    <t>78.0313657955929</t>
  </si>
  <si>
    <t>79.3605405352887</t>
  </si>
  <si>
    <t>77.9688665306732</t>
  </si>
  <si>
    <t>71.4084017746184</t>
  </si>
  <si>
    <t>67.5460715984441</t>
  </si>
  <si>
    <t>66.0271653076335</t>
  </si>
  <si>
    <t>64.6423786926657</t>
  </si>
  <si>
    <t>64.152219574466</t>
  </si>
  <si>
    <t>64.0537903549763</t>
  </si>
  <si>
    <t>62.4396610383269</t>
  </si>
  <si>
    <t>62.1663534775652</t>
  </si>
  <si>
    <t>62.5473413415355</t>
  </si>
  <si>
    <t>62.3314746841121</t>
  </si>
  <si>
    <t>61.5580953835855</t>
  </si>
  <si>
    <t>61.7374853723676</t>
  </si>
  <si>
    <t>60.9799685574659</t>
  </si>
  <si>
    <t>60.2994475963415</t>
  </si>
  <si>
    <t>59.2693243280883</t>
  </si>
  <si>
    <t>58.89274786593</t>
  </si>
  <si>
    <t>58.0383933223955</t>
  </si>
  <si>
    <t>57.0777973878763</t>
  </si>
  <si>
    <t>56.8444660041834</t>
  </si>
  <si>
    <t>55.9863830378949</t>
  </si>
  <si>
    <t>55.0238365680386</t>
  </si>
  <si>
    <t>54.1457490233543</t>
  </si>
  <si>
    <t>53.3014705510416</t>
  </si>
  <si>
    <t>52.4442326955847</t>
  </si>
  <si>
    <t>51.9879648916128</t>
  </si>
  <si>
    <t>51.8505745126068</t>
  </si>
  <si>
    <t>50.6731817766849</t>
  </si>
  <si>
    <t>49.1474206322476</t>
  </si>
  <si>
    <t>48.1791223571464</t>
  </si>
  <si>
    <t>47.5551090639837</t>
  </si>
  <si>
    <t>47.4187063279702</t>
  </si>
  <si>
    <t>47.4647229230048</t>
  </si>
  <si>
    <t>47.7686337340121</t>
  </si>
  <si>
    <t>48.0689593760058</t>
  </si>
  <si>
    <t>48.2182395023357</t>
  </si>
  <si>
    <t>48.359903907415</t>
  </si>
  <si>
    <t>48.1823246825344</t>
  </si>
  <si>
    <t>48.0941413047527</t>
  </si>
  <si>
    <t>47.8808922623481</t>
  </si>
  <si>
    <t>47.9912175593204</t>
  </si>
  <si>
    <t>48.179261173852</t>
  </si>
  <si>
    <t>48.5939074150225</t>
  </si>
  <si>
    <t>48.665119028495</t>
  </si>
  <si>
    <t>48.3932192072229</t>
  </si>
  <si>
    <t>47.910279409243</t>
  </si>
  <si>
    <t>47.3313605052694</t>
  </si>
  <si>
    <t>46.8620607143768</t>
  </si>
  <si>
    <t>46.729797904984</t>
  </si>
  <si>
    <t>46.7136516969392</t>
  </si>
  <si>
    <t>46.6093122539705</t>
  </si>
  <si>
    <t>46.306984959215</t>
  </si>
  <si>
    <t>46.1719535780107</t>
  </si>
  <si>
    <t>46.1260373348634</t>
  </si>
  <si>
    <t>46.3727873421062</t>
  </si>
  <si>
    <t>47.2075310427265</t>
  </si>
  <si>
    <t>48.3016492310644</t>
  </si>
  <si>
    <t>48.5660642390967</t>
  </si>
  <si>
    <t>48.9000761629923</t>
  </si>
  <si>
    <t>49.2388253688587</t>
  </si>
  <si>
    <t>49.9416696343693</t>
  </si>
  <si>
    <t>51.5933524948341</t>
  </si>
  <si>
    <t>52.9135915019744</t>
  </si>
  <si>
    <t>49.2299575351877</t>
  </si>
  <si>
    <t>51.1297082009821</t>
  </si>
  <si>
    <t>51.5249068831941</t>
  </si>
  <si>
    <t>54.762509860144</t>
  </si>
  <si>
    <t>53.5946382091901</t>
  </si>
  <si>
    <t>52.8857297568573</t>
  </si>
  <si>
    <t>52.6843595450874</t>
  </si>
  <si>
    <t>52.9847136444962</t>
  </si>
  <si>
    <t>53.6416066915717</t>
  </si>
  <si>
    <t>54.4146523514779</t>
  </si>
  <si>
    <t>59.2750168405098</t>
  </si>
  <si>
    <t>72.5123929364336</t>
  </si>
  <si>
    <t>70.9877168788563</t>
  </si>
  <si>
    <t>70.7022804366793</t>
  </si>
  <si>
    <t>61.8459040438588</t>
  </si>
  <si>
    <t>59.9237786056878</t>
  </si>
  <si>
    <t>59.2598867997516</t>
  </si>
  <si>
    <t>59.6151128619306</t>
  </si>
  <si>
    <t>60.8651176664944</t>
  </si>
  <si>
    <t>59.9486830703279</t>
  </si>
  <si>
    <t>58.8480982154529</t>
  </si>
  <si>
    <t>59.1870655032156</t>
  </si>
  <si>
    <t>59.0532239576682</t>
  </si>
  <si>
    <t>59.276884069155</t>
  </si>
  <si>
    <t>59.2416133265645</t>
  </si>
  <si>
    <t>59.184126602798</t>
  </si>
  <si>
    <t>59.1208752370396</t>
  </si>
  <si>
    <t>59.1639924472991</t>
  </si>
  <si>
    <t>59.2234417400331</t>
  </si>
  <si>
    <t>59.3065607923971</t>
  </si>
  <si>
    <t>59.5067579358766</t>
  </si>
  <si>
    <t>59.0047300507258</t>
  </si>
  <si>
    <t>59.1474680903712</t>
  </si>
  <si>
    <t>59.1431110671654</t>
  </si>
  <si>
    <t>59.9187436532362</t>
  </si>
  <si>
    <t>60.905650435584</t>
  </si>
  <si>
    <t>62.0830482341517</t>
  </si>
  <si>
    <t>63.3185286348383</t>
  </si>
  <si>
    <t>63.4302801269556</t>
  </si>
  <si>
    <t>63.3839384460021</t>
  </si>
  <si>
    <t>62.6213100032336</t>
  </si>
  <si>
    <t>61.6341751646164</t>
  </si>
  <si>
    <t>61.2539662310324</t>
  </si>
  <si>
    <t>61.1407426316895</t>
  </si>
  <si>
    <t>63.7100701210124</t>
  </si>
  <si>
    <t>70.4087284469514</t>
  </si>
  <si>
    <t>66.7139403945514</t>
  </si>
  <si>
    <t>60.7071518723835</t>
  </si>
  <si>
    <t>56.6015351101962</t>
  </si>
  <si>
    <t>54.0590258663741</t>
  </si>
  <si>
    <t>52.450287211976</t>
  </si>
  <si>
    <t>51.6693336407759</t>
  </si>
  <si>
    <t>B70_SH_P5_458_RECOVER_front</t>
  </si>
  <si>
    <t>B70_SH_P5_458_RECOVER_rear</t>
  </si>
  <si>
    <t>365.824851054382</t>
  </si>
  <si>
    <t>80.4826211394407</t>
  </si>
  <si>
    <t>84.715731728496</t>
  </si>
  <si>
    <t>79.3869213024774</t>
  </si>
  <si>
    <t>65.492629926277</t>
  </si>
  <si>
    <t>68.3557296295172</t>
  </si>
  <si>
    <t>68.927729657594</t>
  </si>
  <si>
    <t>71.8843046782538</t>
  </si>
  <si>
    <t>73.4523387198167</t>
  </si>
  <si>
    <t>69.9589632533455</t>
  </si>
  <si>
    <t>70.4644781394849</t>
  </si>
  <si>
    <t>69.07180187331</t>
  </si>
  <si>
    <t>67.9827691289409</t>
  </si>
  <si>
    <t>67.0463302330248</t>
  </si>
  <si>
    <t>67.7651356114134</t>
  </si>
  <si>
    <t>69.7981787716646</t>
  </si>
  <si>
    <t>67.7775625961793</t>
  </si>
  <si>
    <t>63.6537912112583</t>
  </si>
  <si>
    <t>64.2142251663083</t>
  </si>
  <si>
    <t>63.7533705242277</t>
  </si>
  <si>
    <t>65.7632614535071</t>
  </si>
  <si>
    <t>66.0011300236971</t>
  </si>
  <si>
    <t>66.539043617672</t>
  </si>
  <si>
    <t>68.9818159544456</t>
  </si>
  <si>
    <t>72.5056018913081</t>
  </si>
  <si>
    <t>73.8225251696351</t>
  </si>
  <si>
    <t>77.209244523519</t>
  </si>
  <si>
    <t>80.4137150690845</t>
  </si>
  <si>
    <t>82.507229974015</t>
  </si>
  <si>
    <t>80.7649961763289</t>
  </si>
  <si>
    <t>76.9500010263114</t>
  </si>
  <si>
    <t>74.9627072251464</t>
  </si>
  <si>
    <t>74.3977716230744</t>
  </si>
  <si>
    <t>74.8091459731249</t>
  </si>
  <si>
    <t>69.9704144422291</t>
  </si>
  <si>
    <t>67.8957575453688</t>
  </si>
  <si>
    <t>63.8364045470591</t>
  </si>
  <si>
    <t>60.9190181882428</t>
  </si>
  <si>
    <t>58.059464388207</t>
  </si>
  <si>
    <t>55.3139785683923</t>
  </si>
  <si>
    <t>52.9710380370106</t>
  </si>
  <si>
    <t>50.3630321259536</t>
  </si>
  <si>
    <t>49.3593655225347</t>
  </si>
  <si>
    <t>49.3624227381268</t>
  </si>
  <si>
    <t>50.1811961628283</t>
  </si>
  <si>
    <t>52.1997780775631</t>
  </si>
  <si>
    <t>55.7880214968124</t>
  </si>
  <si>
    <t>61.3701363678535</t>
  </si>
  <si>
    <t>70.5278488045853</t>
  </si>
  <si>
    <t>71.1515923377692</t>
  </si>
  <si>
    <t>64.4147791261033</t>
  </si>
  <si>
    <t>61.0303884185565</t>
  </si>
  <si>
    <t>58.125265262436</t>
  </si>
  <si>
    <t>55.8515043616133</t>
  </si>
  <si>
    <t>54.4597732087533</t>
  </si>
  <si>
    <t>53.0715691769129</t>
  </si>
  <si>
    <t>51.7502099802724</t>
  </si>
  <si>
    <t>50.4441212733328</t>
  </si>
  <si>
    <t>49.3111087892483</t>
  </si>
  <si>
    <t>48.3535198540131</t>
  </si>
  <si>
    <t>47.4290838512959</t>
  </si>
  <si>
    <t>46.762572775936</t>
  </si>
  <si>
    <t>46.1994572389465</t>
  </si>
  <si>
    <t>45.3298349534152</t>
  </si>
  <si>
    <t>44.5108161702093</t>
  </si>
  <si>
    <t>43.8426347207393</t>
  </si>
  <si>
    <t>43.4833264254842</t>
  </si>
  <si>
    <t>42.910047030105</t>
  </si>
  <si>
    <t>42.264611164601</t>
  </si>
  <si>
    <t>41.8829403021625</t>
  </si>
  <si>
    <t>41.9877140223612</t>
  </si>
  <si>
    <t>42.5212950450144</t>
  </si>
  <si>
    <t>43.4036966658483</t>
  </si>
  <si>
    <t>44.4171317073196</t>
  </si>
  <si>
    <t>45.2313113761418</t>
  </si>
  <si>
    <t>46.034358762447</t>
  </si>
  <si>
    <t>46.5417107128629</t>
  </si>
  <si>
    <t>46.5582942050608</t>
  </si>
  <si>
    <t>45.6774702833995</t>
  </si>
  <si>
    <t>46.272397706197</t>
  </si>
  <si>
    <t>47.0602384343198</t>
  </si>
  <si>
    <t>47.9682474962135</t>
  </si>
  <si>
    <t>49.1648753814662</t>
  </si>
  <si>
    <t>50.9335419321668</t>
  </si>
  <si>
    <t>52.9225618161276</t>
  </si>
  <si>
    <t>53.7170695449419</t>
  </si>
  <si>
    <t>53.3547991635459</t>
  </si>
  <si>
    <t>56.9973300486014</t>
  </si>
  <si>
    <t>56.5738214985209</t>
  </si>
  <si>
    <t>54.6542181154248</t>
  </si>
  <si>
    <t>55.6805098915184</t>
  </si>
  <si>
    <t>53.7961904116473</t>
  </si>
  <si>
    <t>53.2725003814</t>
  </si>
  <si>
    <t>53.2163517935069</t>
  </si>
  <si>
    <t>52.2188816097297</t>
  </si>
  <si>
    <t>50.957824334934</t>
  </si>
  <si>
    <t>49.7283367494613</t>
  </si>
  <si>
    <t>49.1971033314285</t>
  </si>
  <si>
    <t>49.0962850801335</t>
  </si>
  <si>
    <t>49.2343885358517</t>
  </si>
  <si>
    <t>49.3772743247343</t>
  </si>
  <si>
    <t>49.8639180445301</t>
  </si>
  <si>
    <t>50.251499246062</t>
  </si>
  <si>
    <t>50.635592729135</t>
  </si>
  <si>
    <t>51.0680201710851</t>
  </si>
  <si>
    <t>51.5723753740231</t>
  </si>
  <si>
    <t>51.8991487486092</t>
  </si>
  <si>
    <t>52.4630086486843</t>
  </si>
  <si>
    <t>52.6503160420982</t>
  </si>
  <si>
    <t>52.9227785139354</t>
  </si>
  <si>
    <t>53.2400591288</t>
  </si>
  <si>
    <t>53.6213649464664</t>
  </si>
  <si>
    <t>53.723108116147</t>
  </si>
  <si>
    <t>53.9258297331582</t>
  </si>
  <si>
    <t>53.8125641562555</t>
  </si>
  <si>
    <t>53.974642938757</t>
  </si>
  <si>
    <t>53.7899934642952</t>
  </si>
  <si>
    <t>54.012926896564</t>
  </si>
  <si>
    <t>54.447151631204</t>
  </si>
  <si>
    <t>55.8330538513148</t>
  </si>
  <si>
    <t>58.6004255354222</t>
  </si>
  <si>
    <t>61.2244816942636</t>
  </si>
  <si>
    <t>62.1865476146562</t>
  </si>
  <si>
    <t>61.1708061812902</t>
  </si>
  <si>
    <t>59.6042955570156</t>
  </si>
  <si>
    <t>58.9055626297014</t>
  </si>
  <si>
    <t>59.6270203782884</t>
  </si>
  <si>
    <t>61.8982794194201</t>
  </si>
  <si>
    <t>383.825722083958</t>
  </si>
  <si>
    <t>76.9224663223614</t>
  </si>
  <si>
    <t>77.97142669012</t>
  </si>
  <si>
    <t>71.8397118044093</t>
  </si>
  <si>
    <t>83.3853432080319</t>
  </si>
  <si>
    <t>76.0937477332933</t>
  </si>
  <si>
    <t>77.0845747625942</t>
  </si>
  <si>
    <t>81.8036791665154</t>
  </si>
  <si>
    <t>74.0190602260627</t>
  </si>
  <si>
    <t>71.6836909580672</t>
  </si>
  <si>
    <t>69.6033734796483</t>
  </si>
  <si>
    <t>71.290605309733</t>
  </si>
  <si>
    <t>71.670705784175</t>
  </si>
  <si>
    <t>76.8375538634172</t>
  </si>
  <si>
    <t>73.6744625302118</t>
  </si>
  <si>
    <t>66.021766431432</t>
  </si>
  <si>
    <t>64.0959803445637</t>
  </si>
  <si>
    <t>65.831492656641</t>
  </si>
  <si>
    <t>66.3431192959653</t>
  </si>
  <si>
    <t>65.6932211145205</t>
  </si>
  <si>
    <t>65.8017559214102</t>
  </si>
  <si>
    <t>65.1873544719227</t>
  </si>
  <si>
    <t>65.6818701038169</t>
  </si>
  <si>
    <t>64.8651801199758</t>
  </si>
  <si>
    <t>65.0643659114883</t>
  </si>
  <si>
    <t>64.1867623256163</t>
  </si>
  <si>
    <t>63.0467783746484</t>
  </si>
  <si>
    <t>62.0568940181078</t>
  </si>
  <si>
    <t>60.8637990731112</t>
  </si>
  <si>
    <t>60.4861568475708</t>
  </si>
  <si>
    <t>59.5373189624956</t>
  </si>
  <si>
    <t>58.4890116027273</t>
  </si>
  <si>
    <t>57.4432768295391</t>
  </si>
  <si>
    <t>56.9213500868928</t>
  </si>
  <si>
    <t>55.9996738702744</t>
  </si>
  <si>
    <t>54.8434702634398</t>
  </si>
  <si>
    <t>53.7075039532531</t>
  </si>
  <si>
    <t>52.3886374454393</t>
  </si>
  <si>
    <t>51.3500046349584</t>
  </si>
  <si>
    <t>50.0315404974565</t>
  </si>
  <si>
    <t>49.1900222453182</t>
  </si>
  <si>
    <t>48.0220517480418</t>
  </si>
  <si>
    <t>45.9981760064945</t>
  </si>
  <si>
    <t>44.4948431106798</t>
  </si>
  <si>
    <t>44.0403847085773</t>
  </si>
  <si>
    <t>44.5324992041618</t>
  </si>
  <si>
    <t>45.6780262601425</t>
  </si>
  <si>
    <t>47.0812117257205</t>
  </si>
  <si>
    <t>48.2918108157378</t>
  </si>
  <si>
    <t>49.1978919642126</t>
  </si>
  <si>
    <t>49.7006367769795</t>
  </si>
  <si>
    <t>49.8401351251674</t>
  </si>
  <si>
    <t>49.8604754102258</t>
  </si>
  <si>
    <t>49.7451542728739</t>
  </si>
  <si>
    <t>49.2296757927237</t>
  </si>
  <si>
    <t>48.5366721735386</t>
  </si>
  <si>
    <t>47.9452204601934</t>
  </si>
  <si>
    <t>47.328157556016</t>
  </si>
  <si>
    <t>46.8946682985018</t>
  </si>
  <si>
    <t>46.4413985430415</t>
  </si>
  <si>
    <t>46.2477237481067</t>
  </si>
  <si>
    <t>46.2309033658323</t>
  </si>
  <si>
    <t>46.2409790666102</t>
  </si>
  <si>
    <t>46.1567371837078</t>
  </si>
  <si>
    <t>46.2251610481456</t>
  </si>
  <si>
    <t>46.7014837650007</t>
  </si>
  <si>
    <t>47.7538490401472</t>
  </si>
  <si>
    <t>48.289747188438</t>
  </si>
  <si>
    <t>48.132348115748</t>
  </si>
  <si>
    <t>48.337259976977</t>
  </si>
  <si>
    <t>49.0557910634276</t>
  </si>
  <si>
    <t>50.2031881207889</t>
  </si>
  <si>
    <t>51.1988320574947</t>
  </si>
  <si>
    <t>51.9884604112864</t>
  </si>
  <si>
    <t>52.6876892692936</t>
  </si>
  <si>
    <t>51.9566123700459</t>
  </si>
  <si>
    <t>50.8159930270111</t>
  </si>
  <si>
    <t>49.5569022153827</t>
  </si>
  <si>
    <t>50.9530143756007</t>
  </si>
  <si>
    <t>51.6941897802671</t>
  </si>
  <si>
    <t>52.3407645123279</t>
  </si>
  <si>
    <t>52.6624172252072</t>
  </si>
  <si>
    <t>53.4199691896592</t>
  </si>
  <si>
    <t>54.7737929552435</t>
  </si>
  <si>
    <t>56.88091323308</t>
  </si>
  <si>
    <t>58.4323239265372</t>
  </si>
  <si>
    <t>57.3655127182461</t>
  </si>
  <si>
    <t>61.250208539432</t>
  </si>
  <si>
    <t>63.4468387942331</t>
  </si>
  <si>
    <t>63.3427522882988</t>
  </si>
  <si>
    <t>62.8294350764766</t>
  </si>
  <si>
    <t>59.0370453443243</t>
  </si>
  <si>
    <t>58.8241759824369</t>
  </si>
  <si>
    <t>59.6926955146151</t>
  </si>
  <si>
    <t>61.0000912305513</t>
  </si>
  <si>
    <t>63.3792618234409</t>
  </si>
  <si>
    <t>66.0307309836742</t>
  </si>
  <si>
    <t>68.3151623113547</t>
  </si>
  <si>
    <t>63.4208079141769</t>
  </si>
  <si>
    <t>60.3936668922046</t>
  </si>
  <si>
    <t>59.208302554736</t>
  </si>
  <si>
    <t>58.8131108236858</t>
  </si>
  <si>
    <t>58.8504732693</t>
  </si>
  <si>
    <t>59.0238539044896</t>
  </si>
  <si>
    <t>59.4135469320541</t>
  </si>
  <si>
    <t>59.5944903846143</t>
  </si>
  <si>
    <t>59.5973232672696</t>
  </si>
  <si>
    <t>60.0748086322653</t>
  </si>
  <si>
    <t>60.5013780860512</t>
  </si>
  <si>
    <t>61.3884851531975</t>
  </si>
  <si>
    <t>61.9121167157572</t>
  </si>
  <si>
    <t>62.875078138117</t>
  </si>
  <si>
    <t>63.7333842909954</t>
  </si>
  <si>
    <t>64.8096643976001</t>
  </si>
  <si>
    <t>66.157411643763</t>
  </si>
  <si>
    <t>66.2743014026414</t>
  </si>
  <si>
    <t>67.562363161428</t>
  </si>
  <si>
    <t>68.7739857882857</t>
  </si>
  <si>
    <t>67.8716900533145</t>
  </si>
  <si>
    <t>65.9527104455218</t>
  </si>
  <si>
    <t>65.1204674892649</t>
  </si>
  <si>
    <t>67.1592508118442</t>
  </si>
  <si>
    <t>67.1990722166284</t>
  </si>
  <si>
    <t>65.3290282791739</t>
  </si>
  <si>
    <t>63.1744365348892</t>
  </si>
  <si>
    <t>61.4676754179336</t>
  </si>
  <si>
    <t>59.7692517591827</t>
  </si>
  <si>
    <t>59.7267106628339</t>
  </si>
  <si>
    <t>B70_SH_P6_239_NewFoam_front</t>
  </si>
  <si>
    <t>B70_SH_P6_239_NewFoam_rear</t>
  </si>
  <si>
    <t>375.563699108952</t>
  </si>
  <si>
    <t>91.0748368650648</t>
  </si>
  <si>
    <t>80.805873789686</t>
  </si>
  <si>
    <t>72.0810209526586</t>
  </si>
  <si>
    <t>73.1047562295538</t>
  </si>
  <si>
    <t>74.8195935708472</t>
  </si>
  <si>
    <t>73.957934598293</t>
  </si>
  <si>
    <t>72.9020162693394</t>
  </si>
  <si>
    <t>73.5592583549651</t>
  </si>
  <si>
    <t>71.0665838528636</t>
  </si>
  <si>
    <t>69.9830106378368</t>
  </si>
  <si>
    <t>66.3106891605895</t>
  </si>
  <si>
    <t>65.0583488171092</t>
  </si>
  <si>
    <t>64.629751311081</t>
  </si>
  <si>
    <t>63.7482236171792</t>
  </si>
  <si>
    <t>63.3750681101256</t>
  </si>
  <si>
    <t>62.8515615581832</t>
  </si>
  <si>
    <t>63.3743232861305</t>
  </si>
  <si>
    <t>63.1485845438463</t>
  </si>
  <si>
    <t>62.7257983551141</t>
  </si>
  <si>
    <t>63.12445225435</t>
  </si>
  <si>
    <t>63.5200445001098</t>
  </si>
  <si>
    <t>64.3114180611568</t>
  </si>
  <si>
    <t>64.5002922764489</t>
  </si>
  <si>
    <t>64.2888071496955</t>
  </si>
  <si>
    <t>65.4525539791356</t>
  </si>
  <si>
    <t>64.9074381209625</t>
  </si>
  <si>
    <t>66.374849310858</t>
  </si>
  <si>
    <t>67.0138883110712</t>
  </si>
  <si>
    <t>66.3299210945857</t>
  </si>
  <si>
    <t>66.7803139161767</t>
  </si>
  <si>
    <t>67.0229111555785</t>
  </si>
  <si>
    <t>66.736842511891</t>
  </si>
  <si>
    <t>65.2288286895766</t>
  </si>
  <si>
    <t>63.4854577529654</t>
  </si>
  <si>
    <t>60.584415020726</t>
  </si>
  <si>
    <t>57.1748480995675</t>
  </si>
  <si>
    <t>54.4868236166803</t>
  </si>
  <si>
    <t>55.3374749230325</t>
  </si>
  <si>
    <t>58.433484280821</t>
  </si>
  <si>
    <t>60.4822366033835</t>
  </si>
  <si>
    <t>62.1221028369278</t>
  </si>
  <si>
    <t>63.314274399524</t>
  </si>
  <si>
    <t>64.0560069471363</t>
  </si>
  <si>
    <t>64.4721953549426</t>
  </si>
  <si>
    <t>64.301977869622</t>
  </si>
  <si>
    <t>63.982407575689</t>
  </si>
  <si>
    <t>62.6403073727713</t>
  </si>
  <si>
    <t>61.5922327628439</t>
  </si>
  <si>
    <t>60.421796176064</t>
  </si>
  <si>
    <t>59.4745141070166</t>
  </si>
  <si>
    <t>58.1844939104506</t>
  </si>
  <si>
    <t>57.1408282333632</t>
  </si>
  <si>
    <t>56.129538979303</t>
  </si>
  <si>
    <t>55.427108733582</t>
  </si>
  <si>
    <t>54.6282764656232</t>
  </si>
  <si>
    <t>53.8810509044499</t>
  </si>
  <si>
    <t>53.3874314947519</t>
  </si>
  <si>
    <t>52.9396251196912</t>
  </si>
  <si>
    <t>51.9614328654162</t>
  </si>
  <si>
    <t>51.7026484064553</t>
  </si>
  <si>
    <t>51.3944481956603</t>
  </si>
  <si>
    <t>51.1478934492222</t>
  </si>
  <si>
    <t>50.9417094414398</t>
  </si>
  <si>
    <t>50.73438550656</t>
  </si>
  <si>
    <t>50.4508263113828</t>
  </si>
  <si>
    <t>50.144982312684</t>
  </si>
  <si>
    <t>49.6012164952849</t>
  </si>
  <si>
    <t>49.2164048696233</t>
  </si>
  <si>
    <t>48.7978405948272</t>
  </si>
  <si>
    <t>48.4007691340921</t>
  </si>
  <si>
    <t>47.9379019529738</t>
  </si>
  <si>
    <t>47.3959693551131</t>
  </si>
  <si>
    <t>46.7794929856394</t>
  </si>
  <si>
    <t>46.2755637180553</t>
  </si>
  <si>
    <t>46.7914797047512</t>
  </si>
  <si>
    <t>46.0985369318541</t>
  </si>
  <si>
    <t>45.2321695556817</t>
  </si>
  <si>
    <t>46.7347828072229</t>
  </si>
  <si>
    <t>46.6468257739617</t>
  </si>
  <si>
    <t>47.1389162526208</t>
  </si>
  <si>
    <t>46.2264098368215</t>
  </si>
  <si>
    <t>45.9565096979883</t>
  </si>
  <si>
    <t>46.3695785618565</t>
  </si>
  <si>
    <t>47.0382690588646</t>
  </si>
  <si>
    <t>47.703187436018</t>
  </si>
  <si>
    <t>49.5751594430133</t>
  </si>
  <si>
    <t>52.188243947925</t>
  </si>
  <si>
    <t>51.8197612213389</t>
  </si>
  <si>
    <t>52.0565064243381</t>
  </si>
  <si>
    <t>52.7907227145627</t>
  </si>
  <si>
    <t>52.6653015574832</t>
  </si>
  <si>
    <t>52.8064325731633</t>
  </si>
  <si>
    <t>53.0872079178167</t>
  </si>
  <si>
    <t>53.1210165299182</t>
  </si>
  <si>
    <t>53.3470085276104</t>
  </si>
  <si>
    <t>53.3320545410171</t>
  </si>
  <si>
    <t>53.7296584250988</t>
  </si>
  <si>
    <t>53.9326382178949</t>
  </si>
  <si>
    <t>54.3029687826451</t>
  </si>
  <si>
    <t>54.7197241890274</t>
  </si>
  <si>
    <t>55.015176881906</t>
  </si>
  <si>
    <t>55.6648863917259</t>
  </si>
  <si>
    <t>55.7398123672984</t>
  </si>
  <si>
    <t>56.2836197107289</t>
  </si>
  <si>
    <t>56.3940522340679</t>
  </si>
  <si>
    <t>56.6991580407418</t>
  </si>
  <si>
    <t>56.8992309682641</t>
  </si>
  <si>
    <t>56.761312102937</t>
  </si>
  <si>
    <t>57.0121196587399</t>
  </si>
  <si>
    <t>56.9184352923558</t>
  </si>
  <si>
    <t>57.199942585113</t>
  </si>
  <si>
    <t>57.7707863541193</t>
  </si>
  <si>
    <t>58.861297842216</t>
  </si>
  <si>
    <t>59.6638578416158</t>
  </si>
  <si>
    <t>61.2859449171535</t>
  </si>
  <si>
    <t>62.347217747304</t>
  </si>
  <si>
    <t>63.4136251760158</t>
  </si>
  <si>
    <t>62.9377236203652</t>
  </si>
  <si>
    <t>62.623260641189</t>
  </si>
  <si>
    <t>61.3577392874328</t>
  </si>
  <si>
    <t>59.5901954713843</t>
  </si>
  <si>
    <t>59.2557330403663</t>
  </si>
  <si>
    <t>60.419430235482</t>
  </si>
  <si>
    <t>61.3643394678291</t>
  </si>
  <si>
    <t>60.0687180507648</t>
  </si>
  <si>
    <t>59.4736088543521</t>
  </si>
  <si>
    <t>59.1208638062864</t>
  </si>
  <si>
    <t>379.280846453897</t>
  </si>
  <si>
    <t>83.871342234355</t>
  </si>
  <si>
    <t>90.6947525482927</t>
  </si>
  <si>
    <t>83.2025723466976</t>
  </si>
  <si>
    <t>77.4303500996307</t>
  </si>
  <si>
    <t>94.084818327502</t>
  </si>
  <si>
    <t>93.1479095009639</t>
  </si>
  <si>
    <t>84.3045580548818</t>
  </si>
  <si>
    <t>77.6044716923643</t>
  </si>
  <si>
    <t>72.6329956147462</t>
  </si>
  <si>
    <t>81.7711080871184</t>
  </si>
  <si>
    <t>96.2406513193943</t>
  </si>
  <si>
    <t>84.6350893982505</t>
  </si>
  <si>
    <t>78.6520983889861</t>
  </si>
  <si>
    <t>72.7492653631248</t>
  </si>
  <si>
    <t>70.2025016764752</t>
  </si>
  <si>
    <t>69.6575022707493</t>
  </si>
  <si>
    <t>66.4168699370547</t>
  </si>
  <si>
    <t>66.0796024350302</t>
  </si>
  <si>
    <t>65.4958958120773</t>
  </si>
  <si>
    <t>65.0083910766148</t>
  </si>
  <si>
    <t>63.9829280997005</t>
  </si>
  <si>
    <t>63.5925163456665</t>
  </si>
  <si>
    <t>64.4513496590289</t>
  </si>
  <si>
    <t>63.8464950698903</t>
  </si>
  <si>
    <t>63.6051135580689</t>
  </si>
  <si>
    <t>62.6188878611798</t>
  </si>
  <si>
    <t>62.381939054006</t>
  </si>
  <si>
    <t>61.9772622068813</t>
  </si>
  <si>
    <t>61.2407276547974</t>
  </si>
  <si>
    <t>60.6948724702747</t>
  </si>
  <si>
    <t>60.6036015404625</t>
  </si>
  <si>
    <t>60.4644910711146</t>
  </si>
  <si>
    <t>59.9588104486245</t>
  </si>
  <si>
    <t>59.6151482155852</t>
  </si>
  <si>
    <t>59.032958445645</t>
  </si>
  <si>
    <t>58.7708655884991</t>
  </si>
  <si>
    <t>60.2273351203371</t>
  </si>
  <si>
    <t>59.1332949128488</t>
  </si>
  <si>
    <t>57.22014880452</t>
  </si>
  <si>
    <t>55.547546168364</t>
  </si>
  <si>
    <t>54.5841831111376</t>
  </si>
  <si>
    <t>54.0024767556562</t>
  </si>
  <si>
    <t>53.4961776354254</t>
  </si>
  <si>
    <t>53.4722753215272</t>
  </si>
  <si>
    <t>53.0867408935173</t>
  </si>
  <si>
    <t>52.793414770796</t>
  </si>
  <si>
    <t>52.6144873442379</t>
  </si>
  <si>
    <t>52.4063205744019</t>
  </si>
  <si>
    <t>52.1942642420377</t>
  </si>
  <si>
    <t>51.7467236545761</t>
  </si>
  <si>
    <t>51.3050516347552</t>
  </si>
  <si>
    <t>51.4300118255495</t>
  </si>
  <si>
    <t>51.327896799769</t>
  </si>
  <si>
    <t>51.2265450360067</t>
  </si>
  <si>
    <t>50.9053051675386</t>
  </si>
  <si>
    <t>50.7372002494904</t>
  </si>
  <si>
    <t>50.8558774763737</t>
  </si>
  <si>
    <t>50.2559620290687</t>
  </si>
  <si>
    <t>50.0578089522088</t>
  </si>
  <si>
    <t>50.4633405406366</t>
  </si>
  <si>
    <t>50.5443210714329</t>
  </si>
  <si>
    <t>50.8463868977115</t>
  </si>
  <si>
    <t>50.8581667156816</t>
  </si>
  <si>
    <t>50.7408773981682</t>
  </si>
  <si>
    <t>50.839407344013</t>
  </si>
  <si>
    <t>50.9422655014268</t>
  </si>
  <si>
    <t>51.0053278266656</t>
  </si>
  <si>
    <t>50.9786509842754</t>
  </si>
  <si>
    <t>50.903694983695</t>
  </si>
  <si>
    <t>51.3535760159921</t>
  </si>
  <si>
    <t>50.88876988934</t>
  </si>
  <si>
    <t>50.7440569214019</t>
  </si>
  <si>
    <t>50.7307461601887</t>
  </si>
  <si>
    <t>51.3577055409937</t>
  </si>
  <si>
    <t>54.1303051979641</t>
  </si>
  <si>
    <t>51.7573638437133</t>
  </si>
  <si>
    <t>52.5051287071299</t>
  </si>
  <si>
    <t>56.715576850176</t>
  </si>
  <si>
    <t>54.0344733794198</t>
  </si>
  <si>
    <t>52.7059963333296</t>
  </si>
  <si>
    <t>50.1047893823964</t>
  </si>
  <si>
    <t>49.2377247616547</t>
  </si>
  <si>
    <t>48.6454692176439</t>
  </si>
  <si>
    <t>48.4794306281634</t>
  </si>
  <si>
    <t>48.7940364595479</t>
  </si>
  <si>
    <t>52.3954709366164</t>
  </si>
  <si>
    <t>56.6558558458353</t>
  </si>
  <si>
    <t>53.7089644304566</t>
  </si>
  <si>
    <t>54.8831953237062</t>
  </si>
  <si>
    <t>58.5678799638959</t>
  </si>
  <si>
    <t>57.0348276126438</t>
  </si>
  <si>
    <t>57.438922346619</t>
  </si>
  <si>
    <t>58.43218707224</t>
  </si>
  <si>
    <t>59.29202848915</t>
  </si>
  <si>
    <t>59.0350505682333</t>
  </si>
  <si>
    <t>57.3860260627338</t>
  </si>
  <si>
    <t>57.8193139047259</t>
  </si>
  <si>
    <t>58.126904926788</t>
  </si>
  <si>
    <t>58.1465993516616</t>
  </si>
  <si>
    <t>58.5458014509994</t>
  </si>
  <si>
    <t>58.5623217792388</t>
  </si>
  <si>
    <t>58.819955530739</t>
  </si>
  <si>
    <t>58.7051998252986</t>
  </si>
  <si>
    <t>58.7819067989444</t>
  </si>
  <si>
    <t>58.6400779825147</t>
  </si>
  <si>
    <t>58.724931088005</t>
  </si>
  <si>
    <t>58.3605428730854</t>
  </si>
  <si>
    <t>57.8777605388277</t>
  </si>
  <si>
    <t>57.495636069297</t>
  </si>
  <si>
    <t>57.3183888305497</t>
  </si>
  <si>
    <t>57.0869402304088</t>
  </si>
  <si>
    <t>57.2281694558941</t>
  </si>
  <si>
    <t>58.0841350461743</t>
  </si>
  <si>
    <t>58.9361806165848</t>
  </si>
  <si>
    <t>60.6706136452849</t>
  </si>
  <si>
    <t>62.5526353611068</t>
  </si>
  <si>
    <t>65.274950832161</t>
  </si>
  <si>
    <t>67.26088304679</t>
  </si>
  <si>
    <t>69.8158010646136</t>
  </si>
  <si>
    <t>71.2577480115357</t>
  </si>
  <si>
    <t>69.9836890225104</t>
  </si>
  <si>
    <t>66.5281223716126</t>
  </si>
  <si>
    <t>66.7176322793149</t>
  </si>
  <si>
    <t>67.3139960801087</t>
  </si>
  <si>
    <t>66.5898428788976</t>
  </si>
  <si>
    <t>65.532660262948</t>
  </si>
  <si>
    <t>64.4021707859821</t>
  </si>
  <si>
    <t>B70_SH_P6_239_RECOVER_front</t>
  </si>
  <si>
    <t>B70_SH_P6_239_RECOVER_rear</t>
  </si>
  <si>
    <t>374.169754331731</t>
  </si>
  <si>
    <t>86.3301940942557</t>
  </si>
  <si>
    <t>85.0165498246506</t>
  </si>
  <si>
    <t>76.9420182397853</t>
  </si>
  <si>
    <t>74.9889667037012</t>
  </si>
  <si>
    <t>65.9165340092751</t>
  </si>
  <si>
    <t>68.6401134653115</t>
  </si>
  <si>
    <t>71.0987213759151</t>
  </si>
  <si>
    <t>69.2847049584662</t>
  </si>
  <si>
    <t>69.6394616365178</t>
  </si>
  <si>
    <t>67.4900852357622</t>
  </si>
  <si>
    <t>67.9556774197792</t>
  </si>
  <si>
    <t>66.7148477728217</t>
  </si>
  <si>
    <t>66.8235296658569</t>
  </si>
  <si>
    <t>64.4525931711729</t>
  </si>
  <si>
    <t>62.940061635035</t>
  </si>
  <si>
    <t>62.4000804626261</t>
  </si>
  <si>
    <t>62.8760672703809</t>
  </si>
  <si>
    <t>62.8899682060701</t>
  </si>
  <si>
    <t>63.8825692696225</t>
  </si>
  <si>
    <t>63.9432276148504</t>
  </si>
  <si>
    <t>64.7769178213322</t>
  </si>
  <si>
    <t>64.8912135841729</t>
  </si>
  <si>
    <t>65.9508376356615</t>
  </si>
  <si>
    <t>66.0241297817718</t>
  </si>
  <si>
    <t>67.0242402582919</t>
  </si>
  <si>
    <t>67.6359453290747</t>
  </si>
  <si>
    <t>68.6089786075007</t>
  </si>
  <si>
    <t>71.202188881936</t>
  </si>
  <si>
    <t>70.5319275623878</t>
  </si>
  <si>
    <t>70.166398266971</t>
  </si>
  <si>
    <t>68.346877852488</t>
  </si>
  <si>
    <t>67.9280703271901</t>
  </si>
  <si>
    <t>65.7103025562143</t>
  </si>
  <si>
    <t>63.8307520049816</t>
  </si>
  <si>
    <t>60.9456829000099</t>
  </si>
  <si>
    <t>57.7554633892416</t>
  </si>
  <si>
    <t>55.1731073698396</t>
  </si>
  <si>
    <t>54.3100652696949</t>
  </si>
  <si>
    <t>55.5079590918089</t>
  </si>
  <si>
    <t>56.1826191452153</t>
  </si>
  <si>
    <t>56.7135328813368</t>
  </si>
  <si>
    <t>57.4280525424329</t>
  </si>
  <si>
    <t>58.6892445687776</t>
  </si>
  <si>
    <t>60.0064458759469</t>
  </si>
  <si>
    <t>62.4883837577356</t>
  </si>
  <si>
    <t>65.6342035422485</t>
  </si>
  <si>
    <t>71.2533943482164</t>
  </si>
  <si>
    <t>69.0511427094642</t>
  </si>
  <si>
    <t>65.5240012286223</t>
  </si>
  <si>
    <t>62.8672095162163</t>
  </si>
  <si>
    <t>60.7677495460991</t>
  </si>
  <si>
    <t>58.7701766902743</t>
  </si>
  <si>
    <t>57.0957729650507</t>
  </si>
  <si>
    <t>56.4446708862648</t>
  </si>
  <si>
    <t>55.3525882169073</t>
  </si>
  <si>
    <t>54.5272930246714</t>
  </si>
  <si>
    <t>53.6593475630205</t>
  </si>
  <si>
    <t>53.1744485848517</t>
  </si>
  <si>
    <t>52.5302488109558</t>
  </si>
  <si>
    <t>51.7110093114564</t>
  </si>
  <si>
    <t>50.9451347172723</t>
  </si>
  <si>
    <t>50.2597599219629</t>
  </si>
  <si>
    <t>49.4453200535622</t>
  </si>
  <si>
    <t>49.0069713364731</t>
  </si>
  <si>
    <t>48.4575830875699</t>
  </si>
  <si>
    <t>47.7452917142953</t>
  </si>
  <si>
    <t>46.966831466808</t>
  </si>
  <si>
    <t>46.1922236277796</t>
  </si>
  <si>
    <t>45.5365651017296</t>
  </si>
  <si>
    <t>45.2835119157981</t>
  </si>
  <si>
    <t>45.3170075007414</t>
  </si>
  <si>
    <t>45.7405804127333</t>
  </si>
  <si>
    <t>46.3058048112493</t>
  </si>
  <si>
    <t>46.8733248198664</t>
  </si>
  <si>
    <t>48.0882543284014</t>
  </si>
  <si>
    <t>49.1598490304243</t>
  </si>
  <si>
    <t>49.5412958271165</t>
  </si>
  <si>
    <t>48.641927184345</t>
  </si>
  <si>
    <t>49.7647086393766</t>
  </si>
  <si>
    <t>50.31971178864</t>
  </si>
  <si>
    <t>50.5460180045115</t>
  </si>
  <si>
    <t>50.6134758043857</t>
  </si>
  <si>
    <t>51.41529149294</t>
  </si>
  <si>
    <t>53.3680955869625</t>
  </si>
  <si>
    <t>56.3583669059507</t>
  </si>
  <si>
    <t>58.8586996605998</t>
  </si>
  <si>
    <t>59.6922416978535</t>
  </si>
  <si>
    <t>60.9620564605424</t>
  </si>
  <si>
    <t>58.4413323164468</t>
  </si>
  <si>
    <t>57.4176428384223</t>
  </si>
  <si>
    <t>57.0519869593145</t>
  </si>
  <si>
    <t>56.1376182691337</t>
  </si>
  <si>
    <t>55.9380884373641</t>
  </si>
  <si>
    <t>55.7175213406556</t>
  </si>
  <si>
    <t>56.0266671347052</t>
  </si>
  <si>
    <t>56.7463982142453</t>
  </si>
  <si>
    <t>56.7059690651585</t>
  </si>
  <si>
    <t>56.4234803118494</t>
  </si>
  <si>
    <t>56.484405657561</t>
  </si>
  <si>
    <t>56.8161869662536</t>
  </si>
  <si>
    <t>56.8151462348079</t>
  </si>
  <si>
    <t>56.8519064777891</t>
  </si>
  <si>
    <t>57.1124697535264</t>
  </si>
  <si>
    <t>57.4587343414406</t>
  </si>
  <si>
    <t>57.7074440343474</t>
  </si>
  <si>
    <t>57.7141644471401</t>
  </si>
  <si>
    <t>57.8288906002141</t>
  </si>
  <si>
    <t>57.9857992271394</t>
  </si>
  <si>
    <t>58.2619257564094</t>
  </si>
  <si>
    <t>58.6949857099385</t>
  </si>
  <si>
    <t>59.3452438252887</t>
  </si>
  <si>
    <t>60.1710560811621</t>
  </si>
  <si>
    <t>61.5208108854376</t>
  </si>
  <si>
    <t>62.7158397141166</t>
  </si>
  <si>
    <t>63.5114233885758</t>
  </si>
  <si>
    <t>63.3814174034073</t>
  </si>
  <si>
    <t>62.844781223188</t>
  </si>
  <si>
    <t>61.517157031902</t>
  </si>
  <si>
    <t>60.2578502568612</t>
  </si>
  <si>
    <t>58.6816167446325</t>
  </si>
  <si>
    <t>58.5512622931493</t>
  </si>
  <si>
    <t>58.9187128536658</t>
  </si>
  <si>
    <t>60.1642579650739</t>
  </si>
  <si>
    <t>60.1726311419096</t>
  </si>
  <si>
    <t>60.9122524816534</t>
  </si>
  <si>
    <t>61.2988743241472</t>
  </si>
  <si>
    <t>62.12474728397</t>
  </si>
  <si>
    <t>386.024953696731</t>
  </si>
  <si>
    <t>82.9903748183253</t>
  </si>
  <si>
    <t>78.3596510574415</t>
  </si>
  <si>
    <t>77.7174517589945</t>
  </si>
  <si>
    <t>78.4286780719654</t>
  </si>
  <si>
    <t>84.3755480247879</t>
  </si>
  <si>
    <t>87.9947656819612</t>
  </si>
  <si>
    <t>83.7927658029251</t>
  </si>
  <si>
    <t>84.8403569909119</t>
  </si>
  <si>
    <t>75.6834287105224</t>
  </si>
  <si>
    <t>75.6375405410901</t>
  </si>
  <si>
    <t>72.423642964859</t>
  </si>
  <si>
    <t>74.1852442309985</t>
  </si>
  <si>
    <t>73.8070509795848</t>
  </si>
  <si>
    <t>76.3321151194524</t>
  </si>
  <si>
    <t>77.0574811604591</t>
  </si>
  <si>
    <t>80.7544600568527</t>
  </si>
  <si>
    <t>73.5260295050743</t>
  </si>
  <si>
    <t>71.8218139165826</t>
  </si>
  <si>
    <t>68.5787148102776</t>
  </si>
  <si>
    <t>67.2574906415708</t>
  </si>
  <si>
    <t>67.0484050655081</t>
  </si>
  <si>
    <t>66.8511201196052</t>
  </si>
  <si>
    <t>65.7802177192322</t>
  </si>
  <si>
    <t>64.0500431841924</t>
  </si>
  <si>
    <t>62.9716803672038</t>
  </si>
  <si>
    <t>63.3576299512033</t>
  </si>
  <si>
    <t>62.6371356462629</t>
  </si>
  <si>
    <t>61.830661310998</t>
  </si>
  <si>
    <t>61.6581265945459</t>
  </si>
  <si>
    <t>61.1328000125665</t>
  </si>
  <si>
    <t>60.39153419169</t>
  </si>
  <si>
    <t>60.5031781646453</t>
  </si>
  <si>
    <t>59.7825930927724</t>
  </si>
  <si>
    <t>59.4084079093518</t>
  </si>
  <si>
    <t>59.3568514141079</t>
  </si>
  <si>
    <t>59.643489156411</t>
  </si>
  <si>
    <t>61.4688430424605</t>
  </si>
  <si>
    <t>62.107689684377</t>
  </si>
  <si>
    <t>59.2296064898485</t>
  </si>
  <si>
    <t>56.8766723081391</t>
  </si>
  <si>
    <t>55.3551873092324</t>
  </si>
  <si>
    <t>54.8503584190665</t>
  </si>
  <si>
    <t>54.2384899171731</t>
  </si>
  <si>
    <t>53.7211580347736</t>
  </si>
  <si>
    <t>53.200321675734</t>
  </si>
  <si>
    <t>53.3333627091598</t>
  </si>
  <si>
    <t>53.734876037174</t>
  </si>
  <si>
    <t>53.2970039081759</t>
  </si>
  <si>
    <t>53.5767128513947</t>
  </si>
  <si>
    <t>53.0703468008684</t>
  </si>
  <si>
    <t>52.6224795303743</t>
  </si>
  <si>
    <t>52.2747110122281</t>
  </si>
  <si>
    <t>51.9758619594231</t>
  </si>
  <si>
    <t>51.4634358088154</t>
  </si>
  <si>
    <t>50.9331629644818</t>
  </si>
  <si>
    <t>50.4081684624686</t>
  </si>
  <si>
    <t>50.2234538308159</t>
  </si>
  <si>
    <t>50.0100837464405</t>
  </si>
  <si>
    <t>49.6585049671711</t>
  </si>
  <si>
    <t>49.3812529564872</t>
  </si>
  <si>
    <t>49.2047688885367</t>
  </si>
  <si>
    <t>49.0177636209321</t>
  </si>
  <si>
    <t>48.7962149000236</t>
  </si>
  <si>
    <t>48.8854426515715</t>
  </si>
  <si>
    <t>48.9287927341509</t>
  </si>
  <si>
    <t>48.6180234920183</t>
  </si>
  <si>
    <t>48.1937578152957</t>
  </si>
  <si>
    <t>47.7033880005611</t>
  </si>
  <si>
    <t>47.2868714584684</t>
  </si>
  <si>
    <t>47.2036755005039</t>
  </si>
  <si>
    <t>47.5573690102887</t>
  </si>
  <si>
    <t>48.3755050350279</t>
  </si>
  <si>
    <t>49.4117447012603</t>
  </si>
  <si>
    <t>50.8107888616086</t>
  </si>
  <si>
    <t>53.6997777524611</t>
  </si>
  <si>
    <t>56.0445490341568</t>
  </si>
  <si>
    <t>53.9166419828845</t>
  </si>
  <si>
    <t>54.6424989429758</t>
  </si>
  <si>
    <t>56.6830803390473</t>
  </si>
  <si>
    <t>55.8116549512393</t>
  </si>
  <si>
    <t>53.9842437373884</t>
  </si>
  <si>
    <t>52.3826824305266</t>
  </si>
  <si>
    <t>52.0593156757151</t>
  </si>
  <si>
    <t>52.7920085344128</t>
  </si>
  <si>
    <t>54.3797760884721</t>
  </si>
  <si>
    <t>56.1344851826498</t>
  </si>
  <si>
    <t>58.4543017094251</t>
  </si>
  <si>
    <t>64.7268737958256</t>
  </si>
  <si>
    <t>70.5236063945792</t>
  </si>
  <si>
    <t>69.335260077006</t>
  </si>
  <si>
    <t>66.276802440692</t>
  </si>
  <si>
    <t>64.4092003907115</t>
  </si>
  <si>
    <t>63.5078404559678</t>
  </si>
  <si>
    <t>62.8891762311354</t>
  </si>
  <si>
    <t>64.3584181235694</t>
  </si>
  <si>
    <t>64.4222761649147</t>
  </si>
  <si>
    <t>61.8872801810716</t>
  </si>
  <si>
    <t>60.5287600358345</t>
  </si>
  <si>
    <t>59.600150117889</t>
  </si>
  <si>
    <t>60.034854367745</t>
  </si>
  <si>
    <t>60.6504566070155</t>
  </si>
  <si>
    <t>61.1383063129249</t>
  </si>
  <si>
    <t>60.6067656716599</t>
  </si>
  <si>
    <t>60.3377996473387</t>
  </si>
  <si>
    <t>60.0948398183626</t>
  </si>
  <si>
    <t>59.8835828891869</t>
  </si>
  <si>
    <t>59.4086758107109</t>
  </si>
  <si>
    <t>59.1183085016635</t>
  </si>
  <si>
    <t>58.5967353715989</t>
  </si>
  <si>
    <t>58.4845765490219</t>
  </si>
  <si>
    <t>58.8653685365921</t>
  </si>
  <si>
    <t>59.6327684250589</t>
  </si>
  <si>
    <t>60.2201080779065</t>
  </si>
  <si>
    <t>61.1403926765029</t>
  </si>
  <si>
    <t>62.5965943309835</t>
  </si>
  <si>
    <t>64.0546498348253</t>
  </si>
  <si>
    <t>66.5260906270553</t>
  </si>
  <si>
    <t>69.0462717461363</t>
  </si>
  <si>
    <t>73.1569220795939</t>
  </si>
  <si>
    <t>74.0641335231404</t>
  </si>
  <si>
    <t>72.0250054011893</t>
  </si>
  <si>
    <t>70.0097301228356</t>
  </si>
  <si>
    <t>68.2786414192496</t>
  </si>
  <si>
    <t>69.5311738144618</t>
  </si>
  <si>
    <t>71.897233655167</t>
  </si>
  <si>
    <t>69.5510202198795</t>
  </si>
  <si>
    <t>67.5400076107206</t>
  </si>
  <si>
    <t>include the calibration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</si>
</sst>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2" xfId="0" applyFill="1" applyBorder="1"/>
    <xf numFmtId="0" fontId="1" fillId="2" borderId="4" xfId="0" applyFont="1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3" xfId="0" applyFill="1" applyBorder="1"/>
    <xf numFmtId="0" fontId="1" fillId="2" borderId="8" xfId="0" applyFont="1" applyFill="1" applyBorder="1" applyAlignment="1">
      <alignment vertical="center"/>
    </xf>
    <xf numFmtId="0" fontId="0" fillId="2" borderId="6" xfId="0" applyFill="1" applyBorder="1"/>
    <xf numFmtId="0" fontId="0" fillId="2" borderId="7" xfId="0" applyFill="1" applyBorder="1"/>
    <xf numFmtId="0" fontId="1" fillId="2" borderId="1" xfId="0" applyFont="1" applyFill="1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6" fillId="0" borderId="0" xfId="0" applyFont="1"/>
    <xf numFmtId="0" fontId="5" fillId="2" borderId="11" xfId="0" applyFont="1" applyFill="1" applyBorder="1"/>
    <xf numFmtId="0" fontId="5" fillId="3" borderId="1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3" borderId="6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7" fillId="5" borderId="11" xfId="0" applyFont="1" applyFill="1" applyBorder="1"/>
    <xf numFmtId="0" fontId="8" fillId="0" borderId="12" xfId="0" applyFont="1" applyFill="1" applyBorder="1" applyAlignment="1">
      <alignment horizontal="center"/>
    </xf>
    <xf numFmtId="0" fontId="9" fillId="0" borderId="0" xfId="0" applyFont="1"/>
    <xf numFmtId="0" fontId="1" fillId="5" borderId="11" xfId="0" applyFont="1" applyFill="1" applyBorder="1" applyAlignment="1">
      <alignment horizontal="right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MSG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data!$A$32</c:f>
              <c:strCache>
                <c:ptCount val="1"/>
                <c:pt idx="0">
                  <c:v>B70_BT_P5_005_front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data!$B$31:$DY$31</c:f>
              <c:numCache>
                <c:formatCode>General</c:formatCode>
                <c:ptCount val="128"/>
                <c:pt idx="0">
                  <c:v>1</c:v>
                </c:pt>
                <c:pt idx="1">
                  <c:v>62.03125</c:v>
                </c:pt>
                <c:pt idx="2">
                  <c:v>123.0625</c:v>
                </c:pt>
                <c:pt idx="3">
                  <c:v>184.09375</c:v>
                </c:pt>
                <c:pt idx="4">
                  <c:v>245.125</c:v>
                </c:pt>
                <c:pt idx="5">
                  <c:v>306.15625</c:v>
                </c:pt>
                <c:pt idx="6">
                  <c:v>367.1875</c:v>
                </c:pt>
                <c:pt idx="7">
                  <c:v>428.21875</c:v>
                </c:pt>
                <c:pt idx="8">
                  <c:v>489.25</c:v>
                </c:pt>
                <c:pt idx="9">
                  <c:v>550.28125</c:v>
                </c:pt>
                <c:pt idx="10">
                  <c:v>611.3125</c:v>
                </c:pt>
                <c:pt idx="11">
                  <c:v>672.34375</c:v>
                </c:pt>
                <c:pt idx="12">
                  <c:v>733.375</c:v>
                </c:pt>
                <c:pt idx="13">
                  <c:v>794.40625</c:v>
                </c:pt>
                <c:pt idx="14">
                  <c:v>855.4375</c:v>
                </c:pt>
                <c:pt idx="15">
                  <c:v>916.46875</c:v>
                </c:pt>
                <c:pt idx="16">
                  <c:v>977.5</c:v>
                </c:pt>
                <c:pt idx="17">
                  <c:v>1038.53125</c:v>
                </c:pt>
                <c:pt idx="18">
                  <c:v>1099.5625</c:v>
                </c:pt>
                <c:pt idx="19">
                  <c:v>1160.59375</c:v>
                </c:pt>
                <c:pt idx="20">
                  <c:v>1221.625</c:v>
                </c:pt>
                <c:pt idx="21">
                  <c:v>1282.65625</c:v>
                </c:pt>
                <c:pt idx="22">
                  <c:v>1343.6875</c:v>
                </c:pt>
                <c:pt idx="23">
                  <c:v>1404.71875</c:v>
                </c:pt>
                <c:pt idx="24">
                  <c:v>1465.75</c:v>
                </c:pt>
                <c:pt idx="25">
                  <c:v>1526.78125</c:v>
                </c:pt>
                <c:pt idx="26">
                  <c:v>1587.8125</c:v>
                </c:pt>
                <c:pt idx="27">
                  <c:v>1648.84375</c:v>
                </c:pt>
                <c:pt idx="28">
                  <c:v>1709.875</c:v>
                </c:pt>
                <c:pt idx="29">
                  <c:v>1770.90625</c:v>
                </c:pt>
                <c:pt idx="30">
                  <c:v>1831.9375</c:v>
                </c:pt>
                <c:pt idx="31">
                  <c:v>1892.96875</c:v>
                </c:pt>
                <c:pt idx="32">
                  <c:v>1954</c:v>
                </c:pt>
                <c:pt idx="33">
                  <c:v>2015.03125</c:v>
                </c:pt>
                <c:pt idx="34">
                  <c:v>2076.0625</c:v>
                </c:pt>
                <c:pt idx="35">
                  <c:v>2137.09375</c:v>
                </c:pt>
                <c:pt idx="36">
                  <c:v>2198.125</c:v>
                </c:pt>
                <c:pt idx="37">
                  <c:v>2259.15625</c:v>
                </c:pt>
                <c:pt idx="38">
                  <c:v>2320.1875</c:v>
                </c:pt>
                <c:pt idx="39">
                  <c:v>2381.21875</c:v>
                </c:pt>
                <c:pt idx="40">
                  <c:v>2442.25</c:v>
                </c:pt>
                <c:pt idx="41">
                  <c:v>2503.28125</c:v>
                </c:pt>
                <c:pt idx="42">
                  <c:v>2564.3125</c:v>
                </c:pt>
                <c:pt idx="43">
                  <c:v>2625.34375</c:v>
                </c:pt>
                <c:pt idx="44">
                  <c:v>2686.375</c:v>
                </c:pt>
                <c:pt idx="45">
                  <c:v>2747.40625</c:v>
                </c:pt>
                <c:pt idx="46">
                  <c:v>2808.4375</c:v>
                </c:pt>
                <c:pt idx="47">
                  <c:v>2869.46875</c:v>
                </c:pt>
                <c:pt idx="48">
                  <c:v>2930.5</c:v>
                </c:pt>
                <c:pt idx="49">
                  <c:v>2991.53125</c:v>
                </c:pt>
                <c:pt idx="50">
                  <c:v>3052.5625</c:v>
                </c:pt>
                <c:pt idx="51">
                  <c:v>3113.59375</c:v>
                </c:pt>
                <c:pt idx="52">
                  <c:v>3174.625</c:v>
                </c:pt>
                <c:pt idx="53">
                  <c:v>3235.65625</c:v>
                </c:pt>
                <c:pt idx="54">
                  <c:v>3296.6875</c:v>
                </c:pt>
                <c:pt idx="55">
                  <c:v>3357.71875</c:v>
                </c:pt>
                <c:pt idx="56">
                  <c:v>3418.75</c:v>
                </c:pt>
                <c:pt idx="57">
                  <c:v>3479.78125</c:v>
                </c:pt>
                <c:pt idx="58">
                  <c:v>3540.8125</c:v>
                </c:pt>
                <c:pt idx="59">
                  <c:v>3601.84375</c:v>
                </c:pt>
                <c:pt idx="60">
                  <c:v>3662.875</c:v>
                </c:pt>
                <c:pt idx="61">
                  <c:v>3723.90625</c:v>
                </c:pt>
                <c:pt idx="62">
                  <c:v>3784.9375</c:v>
                </c:pt>
                <c:pt idx="63">
                  <c:v>3845.96875</c:v>
                </c:pt>
                <c:pt idx="64">
                  <c:v>3907</c:v>
                </c:pt>
                <c:pt idx="65">
                  <c:v>3968.03125</c:v>
                </c:pt>
                <c:pt idx="66">
                  <c:v>4029.0625</c:v>
                </c:pt>
                <c:pt idx="67">
                  <c:v>4090.09375</c:v>
                </c:pt>
                <c:pt idx="68">
                  <c:v>4151.125</c:v>
                </c:pt>
                <c:pt idx="69">
                  <c:v>4212.15625</c:v>
                </c:pt>
                <c:pt idx="70">
                  <c:v>4273.1875</c:v>
                </c:pt>
                <c:pt idx="71">
                  <c:v>4334.21875</c:v>
                </c:pt>
                <c:pt idx="72">
                  <c:v>4395.25</c:v>
                </c:pt>
                <c:pt idx="73">
                  <c:v>4456.28125</c:v>
                </c:pt>
                <c:pt idx="74">
                  <c:v>4517.3125</c:v>
                </c:pt>
                <c:pt idx="75">
                  <c:v>4578.34375</c:v>
                </c:pt>
                <c:pt idx="76">
                  <c:v>4639.375</c:v>
                </c:pt>
                <c:pt idx="77">
                  <c:v>4700.40625</c:v>
                </c:pt>
                <c:pt idx="78">
                  <c:v>4761.4375</c:v>
                </c:pt>
                <c:pt idx="79">
                  <c:v>4822.46875</c:v>
                </c:pt>
                <c:pt idx="80">
                  <c:v>4883.5</c:v>
                </c:pt>
                <c:pt idx="81">
                  <c:v>4944.53125</c:v>
                </c:pt>
                <c:pt idx="82">
                  <c:v>5005.5625</c:v>
                </c:pt>
                <c:pt idx="83">
                  <c:v>5066.59375</c:v>
                </c:pt>
                <c:pt idx="84">
                  <c:v>5127.625</c:v>
                </c:pt>
                <c:pt idx="85">
                  <c:v>5188.65625</c:v>
                </c:pt>
                <c:pt idx="86">
                  <c:v>5249.6875</c:v>
                </c:pt>
                <c:pt idx="87">
                  <c:v>5310.71875</c:v>
                </c:pt>
                <c:pt idx="88">
                  <c:v>5371.75</c:v>
                </c:pt>
                <c:pt idx="89">
                  <c:v>5432.78125</c:v>
                </c:pt>
                <c:pt idx="90">
                  <c:v>5493.8125</c:v>
                </c:pt>
                <c:pt idx="91">
                  <c:v>5554.84375</c:v>
                </c:pt>
                <c:pt idx="92">
                  <c:v>5615.875</c:v>
                </c:pt>
                <c:pt idx="93">
                  <c:v>5676.90625</c:v>
                </c:pt>
                <c:pt idx="94">
                  <c:v>5737.9375</c:v>
                </c:pt>
                <c:pt idx="95">
                  <c:v>5798.96875</c:v>
                </c:pt>
                <c:pt idx="96">
                  <c:v>5860</c:v>
                </c:pt>
                <c:pt idx="97">
                  <c:v>5921.03125</c:v>
                </c:pt>
                <c:pt idx="98">
                  <c:v>5982.0625</c:v>
                </c:pt>
                <c:pt idx="99">
                  <c:v>6043.09375</c:v>
                </c:pt>
                <c:pt idx="100">
                  <c:v>6104.125</c:v>
                </c:pt>
                <c:pt idx="101">
                  <c:v>6165.15625</c:v>
                </c:pt>
                <c:pt idx="102">
                  <c:v>6226.1875</c:v>
                </c:pt>
                <c:pt idx="103">
                  <c:v>6287.21875</c:v>
                </c:pt>
                <c:pt idx="104">
                  <c:v>6348.25</c:v>
                </c:pt>
                <c:pt idx="105">
                  <c:v>6409.28125</c:v>
                </c:pt>
                <c:pt idx="106">
                  <c:v>6470.3125</c:v>
                </c:pt>
                <c:pt idx="107">
                  <c:v>6531.34375</c:v>
                </c:pt>
                <c:pt idx="108">
                  <c:v>6592.375</c:v>
                </c:pt>
                <c:pt idx="109">
                  <c:v>6653.40625</c:v>
                </c:pt>
                <c:pt idx="110">
                  <c:v>6714.4375</c:v>
                </c:pt>
                <c:pt idx="111">
                  <c:v>6775.46875</c:v>
                </c:pt>
                <c:pt idx="112">
                  <c:v>6836.5</c:v>
                </c:pt>
                <c:pt idx="113">
                  <c:v>6897.53125</c:v>
                </c:pt>
                <c:pt idx="114">
                  <c:v>6958.5625</c:v>
                </c:pt>
                <c:pt idx="115">
                  <c:v>7019.59375</c:v>
                </c:pt>
                <c:pt idx="116">
                  <c:v>7080.625</c:v>
                </c:pt>
                <c:pt idx="117">
                  <c:v>7141.65625</c:v>
                </c:pt>
                <c:pt idx="118">
                  <c:v>7202.6875</c:v>
                </c:pt>
                <c:pt idx="119">
                  <c:v>7263.71875</c:v>
                </c:pt>
                <c:pt idx="120">
                  <c:v>7324.75</c:v>
                </c:pt>
                <c:pt idx="121">
                  <c:v>7385.78125</c:v>
                </c:pt>
                <c:pt idx="122">
                  <c:v>7446.8125</c:v>
                </c:pt>
                <c:pt idx="123">
                  <c:v>7507.84375</c:v>
                </c:pt>
                <c:pt idx="124">
                  <c:v>7568.875</c:v>
                </c:pt>
                <c:pt idx="125">
                  <c:v>7629.90625</c:v>
                </c:pt>
                <c:pt idx="126">
                  <c:v>7690.9375</c:v>
                </c:pt>
                <c:pt idx="127">
                  <c:v>7751.96875</c:v>
                </c:pt>
              </c:numCache>
            </c:numRef>
          </c:xVal>
          <c:yVal>
            <c:numRef>
              <c:f>data!$B$32:$DY$32</c:f>
              <c:numCache>
                <c:formatCode>General</c:formatCode>
                <c:ptCount val="128"/>
                <c:pt idx="0">
                  <c:v>391.04006830116703</c:v>
                </c:pt>
                <c:pt idx="1">
                  <c:v>104.8998844845805</c:v>
                </c:pt>
                <c:pt idx="2">
                  <c:v>91.580436442488903</c:v>
                </c:pt>
                <c:pt idx="3">
                  <c:v>91.890488486230893</c:v>
                </c:pt>
                <c:pt idx="4">
                  <c:v>80.657743156546104</c:v>
                </c:pt>
                <c:pt idx="5">
                  <c:v>80.469998673130107</c:v>
                </c:pt>
                <c:pt idx="6">
                  <c:v>81.239832457041999</c:v>
                </c:pt>
                <c:pt idx="7">
                  <c:v>82.814828358907405</c:v>
                </c:pt>
                <c:pt idx="8">
                  <c:v>81.112768794565596</c:v>
                </c:pt>
                <c:pt idx="9">
                  <c:v>81.647755383627185</c:v>
                </c:pt>
                <c:pt idx="10">
                  <c:v>79.820528428038159</c:v>
                </c:pt>
                <c:pt idx="11">
                  <c:v>78.907716890940605</c:v>
                </c:pt>
                <c:pt idx="12">
                  <c:v>78.514443192035841</c:v>
                </c:pt>
                <c:pt idx="13">
                  <c:v>76.320715924061091</c:v>
                </c:pt>
                <c:pt idx="14">
                  <c:v>74.806510225403443</c:v>
                </c:pt>
                <c:pt idx="15">
                  <c:v>73.612916689958851</c:v>
                </c:pt>
                <c:pt idx="16">
                  <c:v>73.85883809772568</c:v>
                </c:pt>
                <c:pt idx="17">
                  <c:v>74.918958926467226</c:v>
                </c:pt>
                <c:pt idx="18">
                  <c:v>75.48850559160411</c:v>
                </c:pt>
                <c:pt idx="19">
                  <c:v>75.2123884452147</c:v>
                </c:pt>
                <c:pt idx="20">
                  <c:v>75.980220607727006</c:v>
                </c:pt>
                <c:pt idx="21">
                  <c:v>75.764882196396997</c:v>
                </c:pt>
                <c:pt idx="22">
                  <c:v>76.567937411280013</c:v>
                </c:pt>
                <c:pt idx="23">
                  <c:v>75.665289137731548</c:v>
                </c:pt>
                <c:pt idx="24">
                  <c:v>76.328826589334881</c:v>
                </c:pt>
                <c:pt idx="25">
                  <c:v>76.069726845151905</c:v>
                </c:pt>
                <c:pt idx="26">
                  <c:v>76.065445283270435</c:v>
                </c:pt>
                <c:pt idx="27">
                  <c:v>76.904061426820547</c:v>
                </c:pt>
                <c:pt idx="28">
                  <c:v>77.359938509755182</c:v>
                </c:pt>
                <c:pt idx="29">
                  <c:v>77.18377125734122</c:v>
                </c:pt>
                <c:pt idx="30">
                  <c:v>77.112748753151365</c:v>
                </c:pt>
                <c:pt idx="31">
                  <c:v>77.485548185510709</c:v>
                </c:pt>
                <c:pt idx="32">
                  <c:v>77.604806825914551</c:v>
                </c:pt>
                <c:pt idx="33">
                  <c:v>79.976780281287361</c:v>
                </c:pt>
                <c:pt idx="34">
                  <c:v>84.347152720645937</c:v>
                </c:pt>
                <c:pt idx="35">
                  <c:v>79.827268492150338</c:v>
                </c:pt>
                <c:pt idx="36">
                  <c:v>77.898311856168533</c:v>
                </c:pt>
                <c:pt idx="37">
                  <c:v>77.160619392513937</c:v>
                </c:pt>
                <c:pt idx="38">
                  <c:v>74.967771924728353</c:v>
                </c:pt>
                <c:pt idx="39">
                  <c:v>72.788322823336955</c:v>
                </c:pt>
                <c:pt idx="40">
                  <c:v>70.322251185646579</c:v>
                </c:pt>
                <c:pt idx="41">
                  <c:v>68.919187947562079</c:v>
                </c:pt>
                <c:pt idx="42">
                  <c:v>69.213228388107694</c:v>
                </c:pt>
                <c:pt idx="43">
                  <c:v>70.918564168808402</c:v>
                </c:pt>
                <c:pt idx="44">
                  <c:v>72.518650182725622</c:v>
                </c:pt>
                <c:pt idx="45">
                  <c:v>74.560606587790829</c:v>
                </c:pt>
                <c:pt idx="46">
                  <c:v>74.230377741315635</c:v>
                </c:pt>
                <c:pt idx="47">
                  <c:v>73.502683046581197</c:v>
                </c:pt>
                <c:pt idx="48">
                  <c:v>72.13522165437486</c:v>
                </c:pt>
                <c:pt idx="49">
                  <c:v>70.009431361765124</c:v>
                </c:pt>
                <c:pt idx="50">
                  <c:v>67.929983215284395</c:v>
                </c:pt>
                <c:pt idx="51">
                  <c:v>65.35659336605255</c:v>
                </c:pt>
                <c:pt idx="52">
                  <c:v>63.376252670852018</c:v>
                </c:pt>
                <c:pt idx="53">
                  <c:v>61.514069958419782</c:v>
                </c:pt>
                <c:pt idx="54">
                  <c:v>59.830674039841441</c:v>
                </c:pt>
                <c:pt idx="55">
                  <c:v>58.678827638130905</c:v>
                </c:pt>
                <c:pt idx="56">
                  <c:v>57.886874153813821</c:v>
                </c:pt>
                <c:pt idx="57">
                  <c:v>57.098823310454897</c:v>
                </c:pt>
                <c:pt idx="58">
                  <c:v>56.307192655412472</c:v>
                </c:pt>
                <c:pt idx="59">
                  <c:v>55.275347415407637</c:v>
                </c:pt>
                <c:pt idx="60">
                  <c:v>54.323065924961817</c:v>
                </c:pt>
                <c:pt idx="61">
                  <c:v>53.382791828184388</c:v>
                </c:pt>
                <c:pt idx="62">
                  <c:v>52.583480557495761</c:v>
                </c:pt>
                <c:pt idx="63">
                  <c:v>51.958833234376932</c:v>
                </c:pt>
                <c:pt idx="64">
                  <c:v>51.450483180103504</c:v>
                </c:pt>
                <c:pt idx="65">
                  <c:v>50.944606749022583</c:v>
                </c:pt>
                <c:pt idx="66">
                  <c:v>50.305962372060549</c:v>
                </c:pt>
                <c:pt idx="67">
                  <c:v>49.60898790727682</c:v>
                </c:pt>
                <c:pt idx="68">
                  <c:v>48.89533774848298</c:v>
                </c:pt>
                <c:pt idx="69">
                  <c:v>48.387223822756539</c:v>
                </c:pt>
                <c:pt idx="70">
                  <c:v>48.131409365144194</c:v>
                </c:pt>
                <c:pt idx="71">
                  <c:v>48.061554910116861</c:v>
                </c:pt>
                <c:pt idx="72">
                  <c:v>48.489292681123722</c:v>
                </c:pt>
                <c:pt idx="73">
                  <c:v>48.825467125889986</c:v>
                </c:pt>
                <c:pt idx="74">
                  <c:v>49.760054280562535</c:v>
                </c:pt>
                <c:pt idx="75">
                  <c:v>51.138460190233502</c:v>
                </c:pt>
                <c:pt idx="76">
                  <c:v>52.394285623925363</c:v>
                </c:pt>
                <c:pt idx="77">
                  <c:v>51.660814632860024</c:v>
                </c:pt>
                <c:pt idx="78">
                  <c:v>52.257543904809879</c:v>
                </c:pt>
                <c:pt idx="79">
                  <c:v>52.984631418939138</c:v>
                </c:pt>
                <c:pt idx="80">
                  <c:v>53.152537351534207</c:v>
                </c:pt>
                <c:pt idx="81">
                  <c:v>52.963650113626059</c:v>
                </c:pt>
                <c:pt idx="82">
                  <c:v>52.76229054329032</c:v>
                </c:pt>
                <c:pt idx="83">
                  <c:v>52.887170991891679</c:v>
                </c:pt>
                <c:pt idx="84">
                  <c:v>53.918574695446246</c:v>
                </c:pt>
                <c:pt idx="85">
                  <c:v>56.039072588739259</c:v>
                </c:pt>
                <c:pt idx="86">
                  <c:v>58.69372099144028</c:v>
                </c:pt>
                <c:pt idx="87">
                  <c:v>62.4530114314895</c:v>
                </c:pt>
                <c:pt idx="88">
                  <c:v>67.710236576245521</c:v>
                </c:pt>
                <c:pt idx="89">
                  <c:v>72.76345148700905</c:v>
                </c:pt>
                <c:pt idx="90">
                  <c:v>71.62105097819547</c:v>
                </c:pt>
                <c:pt idx="91">
                  <c:v>68.472473451481079</c:v>
                </c:pt>
                <c:pt idx="92">
                  <c:v>65.962911710408704</c:v>
                </c:pt>
                <c:pt idx="93">
                  <c:v>64.537612999182215</c:v>
                </c:pt>
                <c:pt idx="94">
                  <c:v>63.437908259295341</c:v>
                </c:pt>
                <c:pt idx="95">
                  <c:v>63.287414593676559</c:v>
                </c:pt>
                <c:pt idx="96">
                  <c:v>63.154387921649075</c:v>
                </c:pt>
                <c:pt idx="97">
                  <c:v>62.672142830054</c:v>
                </c:pt>
                <c:pt idx="98">
                  <c:v>61.848304960658119</c:v>
                </c:pt>
                <c:pt idx="99">
                  <c:v>61.372539586959633</c:v>
                </c:pt>
                <c:pt idx="100">
                  <c:v>61.41540160981755</c:v>
                </c:pt>
                <c:pt idx="101">
                  <c:v>61.68927367989297</c:v>
                </c:pt>
                <c:pt idx="102">
                  <c:v>61.96908427748869</c:v>
                </c:pt>
                <c:pt idx="103">
                  <c:v>62.409206289401411</c:v>
                </c:pt>
                <c:pt idx="104">
                  <c:v>62.78901850570093</c:v>
                </c:pt>
                <c:pt idx="105">
                  <c:v>63.325296763452897</c:v>
                </c:pt>
                <c:pt idx="106">
                  <c:v>63.626829862362399</c:v>
                </c:pt>
                <c:pt idx="107">
                  <c:v>63.357885797810702</c:v>
                </c:pt>
                <c:pt idx="108">
                  <c:v>63.081796265822902</c:v>
                </c:pt>
                <c:pt idx="109">
                  <c:v>63.2660699449833</c:v>
                </c:pt>
                <c:pt idx="110">
                  <c:v>63.632248452978999</c:v>
                </c:pt>
                <c:pt idx="111">
                  <c:v>64.226531421947897</c:v>
                </c:pt>
                <c:pt idx="112">
                  <c:v>64.302555274958991</c:v>
                </c:pt>
                <c:pt idx="113">
                  <c:v>64.540927494721103</c:v>
                </c:pt>
                <c:pt idx="114">
                  <c:v>64.585000946356701</c:v>
                </c:pt>
                <c:pt idx="115">
                  <c:v>65.242330393016601</c:v>
                </c:pt>
                <c:pt idx="116">
                  <c:v>65.837426927790503</c:v>
                </c:pt>
                <c:pt idx="117">
                  <c:v>66.944863513930201</c:v>
                </c:pt>
                <c:pt idx="118">
                  <c:v>67.941080611101299</c:v>
                </c:pt>
                <c:pt idx="119">
                  <c:v>69.029696070711992</c:v>
                </c:pt>
                <c:pt idx="120">
                  <c:v>69.99304582325351</c:v>
                </c:pt>
                <c:pt idx="121">
                  <c:v>71.312542445594204</c:v>
                </c:pt>
                <c:pt idx="122">
                  <c:v>71.531093977505094</c:v>
                </c:pt>
                <c:pt idx="123">
                  <c:v>72.532477653452503</c:v>
                </c:pt>
                <c:pt idx="124">
                  <c:v>73.054660756028198</c:v>
                </c:pt>
                <c:pt idx="125">
                  <c:v>74.825523038430006</c:v>
                </c:pt>
                <c:pt idx="126">
                  <c:v>75.744743134429896</c:v>
                </c:pt>
                <c:pt idx="127">
                  <c:v>78.744634629233403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data!$A$33</c:f>
              <c:strCache>
                <c:ptCount val="1"/>
                <c:pt idx="0">
                  <c:v>B70_BT_P5_005_rear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data!$B$31:$DY$31</c:f>
              <c:numCache>
                <c:formatCode>General</c:formatCode>
                <c:ptCount val="128"/>
                <c:pt idx="0">
                  <c:v>1</c:v>
                </c:pt>
                <c:pt idx="1">
                  <c:v>62.03125</c:v>
                </c:pt>
                <c:pt idx="2">
                  <c:v>123.0625</c:v>
                </c:pt>
                <c:pt idx="3">
                  <c:v>184.09375</c:v>
                </c:pt>
                <c:pt idx="4">
                  <c:v>245.125</c:v>
                </c:pt>
                <c:pt idx="5">
                  <c:v>306.15625</c:v>
                </c:pt>
                <c:pt idx="6">
                  <c:v>367.1875</c:v>
                </c:pt>
                <c:pt idx="7">
                  <c:v>428.21875</c:v>
                </c:pt>
                <c:pt idx="8">
                  <c:v>489.25</c:v>
                </c:pt>
                <c:pt idx="9">
                  <c:v>550.28125</c:v>
                </c:pt>
                <c:pt idx="10">
                  <c:v>611.3125</c:v>
                </c:pt>
                <c:pt idx="11">
                  <c:v>672.34375</c:v>
                </c:pt>
                <c:pt idx="12">
                  <c:v>733.375</c:v>
                </c:pt>
                <c:pt idx="13">
                  <c:v>794.40625</c:v>
                </c:pt>
                <c:pt idx="14">
                  <c:v>855.4375</c:v>
                </c:pt>
                <c:pt idx="15">
                  <c:v>916.46875</c:v>
                </c:pt>
                <c:pt idx="16">
                  <c:v>977.5</c:v>
                </c:pt>
                <c:pt idx="17">
                  <c:v>1038.53125</c:v>
                </c:pt>
                <c:pt idx="18">
                  <c:v>1099.5625</c:v>
                </c:pt>
                <c:pt idx="19">
                  <c:v>1160.59375</c:v>
                </c:pt>
                <c:pt idx="20">
                  <c:v>1221.625</c:v>
                </c:pt>
                <c:pt idx="21">
                  <c:v>1282.65625</c:v>
                </c:pt>
                <c:pt idx="22">
                  <c:v>1343.6875</c:v>
                </c:pt>
                <c:pt idx="23">
                  <c:v>1404.71875</c:v>
                </c:pt>
                <c:pt idx="24">
                  <c:v>1465.75</c:v>
                </c:pt>
                <c:pt idx="25">
                  <c:v>1526.78125</c:v>
                </c:pt>
                <c:pt idx="26">
                  <c:v>1587.8125</c:v>
                </c:pt>
                <c:pt idx="27">
                  <c:v>1648.84375</c:v>
                </c:pt>
                <c:pt idx="28">
                  <c:v>1709.875</c:v>
                </c:pt>
                <c:pt idx="29">
                  <c:v>1770.90625</c:v>
                </c:pt>
                <c:pt idx="30">
                  <c:v>1831.9375</c:v>
                </c:pt>
                <c:pt idx="31">
                  <c:v>1892.96875</c:v>
                </c:pt>
                <c:pt idx="32">
                  <c:v>1954</c:v>
                </c:pt>
                <c:pt idx="33">
                  <c:v>2015.03125</c:v>
                </c:pt>
                <c:pt idx="34">
                  <c:v>2076.0625</c:v>
                </c:pt>
                <c:pt idx="35">
                  <c:v>2137.09375</c:v>
                </c:pt>
                <c:pt idx="36">
                  <c:v>2198.125</c:v>
                </c:pt>
                <c:pt idx="37">
                  <c:v>2259.15625</c:v>
                </c:pt>
                <c:pt idx="38">
                  <c:v>2320.1875</c:v>
                </c:pt>
                <c:pt idx="39">
                  <c:v>2381.21875</c:v>
                </c:pt>
                <c:pt idx="40">
                  <c:v>2442.25</c:v>
                </c:pt>
                <c:pt idx="41">
                  <c:v>2503.28125</c:v>
                </c:pt>
                <c:pt idx="42">
                  <c:v>2564.3125</c:v>
                </c:pt>
                <c:pt idx="43">
                  <c:v>2625.34375</c:v>
                </c:pt>
                <c:pt idx="44">
                  <c:v>2686.375</c:v>
                </c:pt>
                <c:pt idx="45">
                  <c:v>2747.40625</c:v>
                </c:pt>
                <c:pt idx="46">
                  <c:v>2808.4375</c:v>
                </c:pt>
                <c:pt idx="47">
                  <c:v>2869.46875</c:v>
                </c:pt>
                <c:pt idx="48">
                  <c:v>2930.5</c:v>
                </c:pt>
                <c:pt idx="49">
                  <c:v>2991.53125</c:v>
                </c:pt>
                <c:pt idx="50">
                  <c:v>3052.5625</c:v>
                </c:pt>
                <c:pt idx="51">
                  <c:v>3113.59375</c:v>
                </c:pt>
                <c:pt idx="52">
                  <c:v>3174.625</c:v>
                </c:pt>
                <c:pt idx="53">
                  <c:v>3235.65625</c:v>
                </c:pt>
                <c:pt idx="54">
                  <c:v>3296.6875</c:v>
                </c:pt>
                <c:pt idx="55">
                  <c:v>3357.71875</c:v>
                </c:pt>
                <c:pt idx="56">
                  <c:v>3418.75</c:v>
                </c:pt>
                <c:pt idx="57">
                  <c:v>3479.78125</c:v>
                </c:pt>
                <c:pt idx="58">
                  <c:v>3540.8125</c:v>
                </c:pt>
                <c:pt idx="59">
                  <c:v>3601.84375</c:v>
                </c:pt>
                <c:pt idx="60">
                  <c:v>3662.875</c:v>
                </c:pt>
                <c:pt idx="61">
                  <c:v>3723.90625</c:v>
                </c:pt>
                <c:pt idx="62">
                  <c:v>3784.9375</c:v>
                </c:pt>
                <c:pt idx="63">
                  <c:v>3845.96875</c:v>
                </c:pt>
                <c:pt idx="64">
                  <c:v>3907</c:v>
                </c:pt>
                <c:pt idx="65">
                  <c:v>3968.03125</c:v>
                </c:pt>
                <c:pt idx="66">
                  <c:v>4029.0625</c:v>
                </c:pt>
                <c:pt idx="67">
                  <c:v>4090.09375</c:v>
                </c:pt>
                <c:pt idx="68">
                  <c:v>4151.125</c:v>
                </c:pt>
                <c:pt idx="69">
                  <c:v>4212.15625</c:v>
                </c:pt>
                <c:pt idx="70">
                  <c:v>4273.1875</c:v>
                </c:pt>
                <c:pt idx="71">
                  <c:v>4334.21875</c:v>
                </c:pt>
                <c:pt idx="72">
                  <c:v>4395.25</c:v>
                </c:pt>
                <c:pt idx="73">
                  <c:v>4456.28125</c:v>
                </c:pt>
                <c:pt idx="74">
                  <c:v>4517.3125</c:v>
                </c:pt>
                <c:pt idx="75">
                  <c:v>4578.34375</c:v>
                </c:pt>
                <c:pt idx="76">
                  <c:v>4639.375</c:v>
                </c:pt>
                <c:pt idx="77">
                  <c:v>4700.40625</c:v>
                </c:pt>
                <c:pt idx="78">
                  <c:v>4761.4375</c:v>
                </c:pt>
                <c:pt idx="79">
                  <c:v>4822.46875</c:v>
                </c:pt>
                <c:pt idx="80">
                  <c:v>4883.5</c:v>
                </c:pt>
                <c:pt idx="81">
                  <c:v>4944.53125</c:v>
                </c:pt>
                <c:pt idx="82">
                  <c:v>5005.5625</c:v>
                </c:pt>
                <c:pt idx="83">
                  <c:v>5066.59375</c:v>
                </c:pt>
                <c:pt idx="84">
                  <c:v>5127.625</c:v>
                </c:pt>
                <c:pt idx="85">
                  <c:v>5188.65625</c:v>
                </c:pt>
                <c:pt idx="86">
                  <c:v>5249.6875</c:v>
                </c:pt>
                <c:pt idx="87">
                  <c:v>5310.71875</c:v>
                </c:pt>
                <c:pt idx="88">
                  <c:v>5371.75</c:v>
                </c:pt>
                <c:pt idx="89">
                  <c:v>5432.78125</c:v>
                </c:pt>
                <c:pt idx="90">
                  <c:v>5493.8125</c:v>
                </c:pt>
                <c:pt idx="91">
                  <c:v>5554.84375</c:v>
                </c:pt>
                <c:pt idx="92">
                  <c:v>5615.875</c:v>
                </c:pt>
                <c:pt idx="93">
                  <c:v>5676.90625</c:v>
                </c:pt>
                <c:pt idx="94">
                  <c:v>5737.9375</c:v>
                </c:pt>
                <c:pt idx="95">
                  <c:v>5798.96875</c:v>
                </c:pt>
                <c:pt idx="96">
                  <c:v>5860</c:v>
                </c:pt>
                <c:pt idx="97">
                  <c:v>5921.03125</c:v>
                </c:pt>
                <c:pt idx="98">
                  <c:v>5982.0625</c:v>
                </c:pt>
                <c:pt idx="99">
                  <c:v>6043.09375</c:v>
                </c:pt>
                <c:pt idx="100">
                  <c:v>6104.125</c:v>
                </c:pt>
                <c:pt idx="101">
                  <c:v>6165.15625</c:v>
                </c:pt>
                <c:pt idx="102">
                  <c:v>6226.1875</c:v>
                </c:pt>
                <c:pt idx="103">
                  <c:v>6287.21875</c:v>
                </c:pt>
                <c:pt idx="104">
                  <c:v>6348.25</c:v>
                </c:pt>
                <c:pt idx="105">
                  <c:v>6409.28125</c:v>
                </c:pt>
                <c:pt idx="106">
                  <c:v>6470.3125</c:v>
                </c:pt>
                <c:pt idx="107">
                  <c:v>6531.34375</c:v>
                </c:pt>
                <c:pt idx="108">
                  <c:v>6592.375</c:v>
                </c:pt>
                <c:pt idx="109">
                  <c:v>6653.40625</c:v>
                </c:pt>
                <c:pt idx="110">
                  <c:v>6714.4375</c:v>
                </c:pt>
                <c:pt idx="111">
                  <c:v>6775.46875</c:v>
                </c:pt>
                <c:pt idx="112">
                  <c:v>6836.5</c:v>
                </c:pt>
                <c:pt idx="113">
                  <c:v>6897.53125</c:v>
                </c:pt>
                <c:pt idx="114">
                  <c:v>6958.5625</c:v>
                </c:pt>
                <c:pt idx="115">
                  <c:v>7019.59375</c:v>
                </c:pt>
                <c:pt idx="116">
                  <c:v>7080.625</c:v>
                </c:pt>
                <c:pt idx="117">
                  <c:v>7141.65625</c:v>
                </c:pt>
                <c:pt idx="118">
                  <c:v>7202.6875</c:v>
                </c:pt>
                <c:pt idx="119">
                  <c:v>7263.71875</c:v>
                </c:pt>
                <c:pt idx="120">
                  <c:v>7324.75</c:v>
                </c:pt>
                <c:pt idx="121">
                  <c:v>7385.78125</c:v>
                </c:pt>
                <c:pt idx="122">
                  <c:v>7446.8125</c:v>
                </c:pt>
                <c:pt idx="123">
                  <c:v>7507.84375</c:v>
                </c:pt>
                <c:pt idx="124">
                  <c:v>7568.875</c:v>
                </c:pt>
                <c:pt idx="125">
                  <c:v>7629.90625</c:v>
                </c:pt>
                <c:pt idx="126">
                  <c:v>7690.9375</c:v>
                </c:pt>
                <c:pt idx="127">
                  <c:v>7751.96875</c:v>
                </c:pt>
              </c:numCache>
            </c:numRef>
          </c:xVal>
          <c:yVal>
            <c:numRef>
              <c:f>data!$B$33:$DY$33</c:f>
              <c:numCache>
                <c:formatCode>General</c:formatCode>
                <c:ptCount val="128"/>
                <c:pt idx="0">
                  <c:v>394.73261453184</c:v>
                </c:pt>
                <c:pt idx="1">
                  <c:v>96.193654579973796</c:v>
                </c:pt>
                <c:pt idx="2">
                  <c:v>95.181250190182197</c:v>
                </c:pt>
                <c:pt idx="3">
                  <c:v>98.243704737615303</c:v>
                </c:pt>
                <c:pt idx="4">
                  <c:v>99.049749487598206</c:v>
                </c:pt>
                <c:pt idx="5">
                  <c:v>98.273807117052201</c:v>
                </c:pt>
                <c:pt idx="6">
                  <c:v>99.672044879921401</c:v>
                </c:pt>
                <c:pt idx="7">
                  <c:v>98.831224128626502</c:v>
                </c:pt>
                <c:pt idx="8">
                  <c:v>94.376679000002198</c:v>
                </c:pt>
                <c:pt idx="9">
                  <c:v>91.405939007957784</c:v>
                </c:pt>
                <c:pt idx="10">
                  <c:v>94.823420111454155</c:v>
                </c:pt>
                <c:pt idx="11">
                  <c:v>86.891379967964212</c:v>
                </c:pt>
                <c:pt idx="12">
                  <c:v>87.085407585543237</c:v>
                </c:pt>
                <c:pt idx="13">
                  <c:v>86.363707757512884</c:v>
                </c:pt>
                <c:pt idx="14">
                  <c:v>87.147982889075038</c:v>
                </c:pt>
                <c:pt idx="15">
                  <c:v>86.816265976713751</c:v>
                </c:pt>
                <c:pt idx="16">
                  <c:v>87.805544577099781</c:v>
                </c:pt>
                <c:pt idx="17">
                  <c:v>87.125010684930828</c:v>
                </c:pt>
                <c:pt idx="18">
                  <c:v>87.817907288176102</c:v>
                </c:pt>
                <c:pt idx="19">
                  <c:v>88.172990697101696</c:v>
                </c:pt>
                <c:pt idx="20">
                  <c:v>86.807197480697397</c:v>
                </c:pt>
                <c:pt idx="21">
                  <c:v>85.770693049730895</c:v>
                </c:pt>
                <c:pt idx="22">
                  <c:v>86.497852278014321</c:v>
                </c:pt>
                <c:pt idx="23">
                  <c:v>85.328815860800859</c:v>
                </c:pt>
                <c:pt idx="24">
                  <c:v>83.95514709175518</c:v>
                </c:pt>
                <c:pt idx="25">
                  <c:v>84.001628658800811</c:v>
                </c:pt>
                <c:pt idx="26">
                  <c:v>84.02091288982173</c:v>
                </c:pt>
                <c:pt idx="27">
                  <c:v>83.110625759049938</c:v>
                </c:pt>
                <c:pt idx="28">
                  <c:v>82.44140191339369</c:v>
                </c:pt>
                <c:pt idx="29">
                  <c:v>80.981288537195724</c:v>
                </c:pt>
                <c:pt idx="30">
                  <c:v>80.819861483581761</c:v>
                </c:pt>
                <c:pt idx="31">
                  <c:v>80.865682472718902</c:v>
                </c:pt>
                <c:pt idx="32">
                  <c:v>79.84159848559986</c:v>
                </c:pt>
                <c:pt idx="33">
                  <c:v>78.565869049517161</c:v>
                </c:pt>
                <c:pt idx="34">
                  <c:v>74.425915628224942</c:v>
                </c:pt>
                <c:pt idx="35">
                  <c:v>71.919529203108439</c:v>
                </c:pt>
                <c:pt idx="36">
                  <c:v>70.27991449878634</c:v>
                </c:pt>
                <c:pt idx="37">
                  <c:v>68.283419846179441</c:v>
                </c:pt>
                <c:pt idx="38">
                  <c:v>66.187917851102753</c:v>
                </c:pt>
                <c:pt idx="39">
                  <c:v>65.223121352984364</c:v>
                </c:pt>
                <c:pt idx="40">
                  <c:v>65.031556908638578</c:v>
                </c:pt>
                <c:pt idx="41">
                  <c:v>66.252968518838088</c:v>
                </c:pt>
                <c:pt idx="42">
                  <c:v>68.312625664590001</c:v>
                </c:pt>
                <c:pt idx="43">
                  <c:v>69.07865319067291</c:v>
                </c:pt>
                <c:pt idx="44">
                  <c:v>66.645573939247413</c:v>
                </c:pt>
                <c:pt idx="45">
                  <c:v>66.495557588925635</c:v>
                </c:pt>
                <c:pt idx="46">
                  <c:v>66.257808630475537</c:v>
                </c:pt>
                <c:pt idx="47">
                  <c:v>65.828529835473702</c:v>
                </c:pt>
                <c:pt idx="48">
                  <c:v>65.605548561937468</c:v>
                </c:pt>
                <c:pt idx="49">
                  <c:v>65.852408647161326</c:v>
                </c:pt>
                <c:pt idx="50">
                  <c:v>65.269954338093996</c:v>
                </c:pt>
                <c:pt idx="51">
                  <c:v>64.88752152418266</c:v>
                </c:pt>
                <c:pt idx="52">
                  <c:v>64.31350619863511</c:v>
                </c:pt>
                <c:pt idx="53">
                  <c:v>64.777254991861781</c:v>
                </c:pt>
                <c:pt idx="54">
                  <c:v>65.079720471964634</c:v>
                </c:pt>
                <c:pt idx="55">
                  <c:v>63.135100554760406</c:v>
                </c:pt>
                <c:pt idx="56">
                  <c:v>60.862188106332624</c:v>
                </c:pt>
                <c:pt idx="57">
                  <c:v>59.194107324144696</c:v>
                </c:pt>
                <c:pt idx="58">
                  <c:v>58.07392014997977</c:v>
                </c:pt>
                <c:pt idx="59">
                  <c:v>56.93083636580144</c:v>
                </c:pt>
                <c:pt idx="60">
                  <c:v>56.283559516611511</c:v>
                </c:pt>
                <c:pt idx="61">
                  <c:v>55.668073059099889</c:v>
                </c:pt>
                <c:pt idx="62">
                  <c:v>55.154057150929162</c:v>
                </c:pt>
                <c:pt idx="63">
                  <c:v>54.88974311384073</c:v>
                </c:pt>
                <c:pt idx="64">
                  <c:v>54.649369778576009</c:v>
                </c:pt>
                <c:pt idx="65">
                  <c:v>54.350505147985281</c:v>
                </c:pt>
                <c:pt idx="66">
                  <c:v>54.033981567713347</c:v>
                </c:pt>
                <c:pt idx="67">
                  <c:v>53.732481798477323</c:v>
                </c:pt>
                <c:pt idx="68">
                  <c:v>53.373079904501878</c:v>
                </c:pt>
                <c:pt idx="69">
                  <c:v>53.23201107100224</c:v>
                </c:pt>
                <c:pt idx="70">
                  <c:v>52.650496898325798</c:v>
                </c:pt>
                <c:pt idx="71">
                  <c:v>52.801188809119758</c:v>
                </c:pt>
                <c:pt idx="72">
                  <c:v>53.783453310775919</c:v>
                </c:pt>
                <c:pt idx="73">
                  <c:v>54.86895963482948</c:v>
                </c:pt>
                <c:pt idx="74">
                  <c:v>56.210066843557136</c:v>
                </c:pt>
                <c:pt idx="75">
                  <c:v>58.765641249739801</c:v>
                </c:pt>
                <c:pt idx="76">
                  <c:v>62.297725352557563</c:v>
                </c:pt>
                <c:pt idx="77">
                  <c:v>61.880724201964014</c:v>
                </c:pt>
                <c:pt idx="78">
                  <c:v>64.03037870157948</c:v>
                </c:pt>
                <c:pt idx="79">
                  <c:v>72.130373895878137</c:v>
                </c:pt>
                <c:pt idx="80">
                  <c:v>73.019911418789903</c:v>
                </c:pt>
                <c:pt idx="81">
                  <c:v>65.051656651665269</c:v>
                </c:pt>
                <c:pt idx="82">
                  <c:v>61.083614179883824</c:v>
                </c:pt>
                <c:pt idx="83">
                  <c:v>58.572925493417586</c:v>
                </c:pt>
                <c:pt idx="84">
                  <c:v>57.575219933568242</c:v>
                </c:pt>
                <c:pt idx="85">
                  <c:v>59.539496356804165</c:v>
                </c:pt>
                <c:pt idx="86">
                  <c:v>60.633864485974179</c:v>
                </c:pt>
                <c:pt idx="87">
                  <c:v>61.385918972453801</c:v>
                </c:pt>
                <c:pt idx="88">
                  <c:v>64.328331985947926</c:v>
                </c:pt>
                <c:pt idx="89">
                  <c:v>66.956509706369147</c:v>
                </c:pt>
                <c:pt idx="90">
                  <c:v>68.440760121510763</c:v>
                </c:pt>
                <c:pt idx="91">
                  <c:v>70.174353373791575</c:v>
                </c:pt>
                <c:pt idx="92">
                  <c:v>70.837806291416797</c:v>
                </c:pt>
                <c:pt idx="93">
                  <c:v>71.73307898861502</c:v>
                </c:pt>
                <c:pt idx="94">
                  <c:v>72.945059824951642</c:v>
                </c:pt>
                <c:pt idx="95">
                  <c:v>76.700309972175759</c:v>
                </c:pt>
                <c:pt idx="96">
                  <c:v>73.299616823118583</c:v>
                </c:pt>
                <c:pt idx="97">
                  <c:v>71.410883730195494</c:v>
                </c:pt>
                <c:pt idx="98">
                  <c:v>70.179406350660614</c:v>
                </c:pt>
                <c:pt idx="99">
                  <c:v>70.480634066362128</c:v>
                </c:pt>
                <c:pt idx="100">
                  <c:v>70.758433706732148</c:v>
                </c:pt>
                <c:pt idx="101">
                  <c:v>71.802901810521774</c:v>
                </c:pt>
                <c:pt idx="102">
                  <c:v>71.967727418463994</c:v>
                </c:pt>
                <c:pt idx="103">
                  <c:v>73.371899843045412</c:v>
                </c:pt>
                <c:pt idx="104">
                  <c:v>74.011084745614724</c:v>
                </c:pt>
                <c:pt idx="105">
                  <c:v>74.377694362868894</c:v>
                </c:pt>
                <c:pt idx="106">
                  <c:v>73.657151642463404</c:v>
                </c:pt>
                <c:pt idx="107">
                  <c:v>71.816681335490401</c:v>
                </c:pt>
                <c:pt idx="108">
                  <c:v>70.2912887705548</c:v>
                </c:pt>
                <c:pt idx="109">
                  <c:v>70.352733257470902</c:v>
                </c:pt>
                <c:pt idx="110">
                  <c:v>70.739245014621204</c:v>
                </c:pt>
                <c:pt idx="111">
                  <c:v>69.431409359142208</c:v>
                </c:pt>
                <c:pt idx="112">
                  <c:v>67.8658090335515</c:v>
                </c:pt>
                <c:pt idx="113">
                  <c:v>66.689358802552803</c:v>
                </c:pt>
                <c:pt idx="114">
                  <c:v>65.898156643240398</c:v>
                </c:pt>
                <c:pt idx="115">
                  <c:v>66.494077599369803</c:v>
                </c:pt>
                <c:pt idx="116">
                  <c:v>66.843156648123994</c:v>
                </c:pt>
                <c:pt idx="117">
                  <c:v>68.15802957650169</c:v>
                </c:pt>
                <c:pt idx="118">
                  <c:v>68.79448024703359</c:v>
                </c:pt>
                <c:pt idx="119">
                  <c:v>70.331528254494103</c:v>
                </c:pt>
                <c:pt idx="120">
                  <c:v>71.507692189047503</c:v>
                </c:pt>
                <c:pt idx="121">
                  <c:v>73.3635564102714</c:v>
                </c:pt>
                <c:pt idx="122">
                  <c:v>74.610860018121102</c:v>
                </c:pt>
                <c:pt idx="123">
                  <c:v>76.326365759780003</c:v>
                </c:pt>
                <c:pt idx="124">
                  <c:v>77.163978861861594</c:v>
                </c:pt>
                <c:pt idx="125">
                  <c:v>81.719497846817802</c:v>
                </c:pt>
                <c:pt idx="126">
                  <c:v>82.202180903474101</c:v>
                </c:pt>
                <c:pt idx="127">
                  <c:v>80.821978899979101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data!$A$34</c:f>
              <c:strCache>
                <c:ptCount val="1"/>
                <c:pt idx="0">
                  <c:v>B70_BT_P5_005_NewFoam_front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data!$B$31:$DY$31</c:f>
              <c:numCache>
                <c:formatCode>General</c:formatCode>
                <c:ptCount val="128"/>
                <c:pt idx="0">
                  <c:v>1</c:v>
                </c:pt>
                <c:pt idx="1">
                  <c:v>62.03125</c:v>
                </c:pt>
                <c:pt idx="2">
                  <c:v>123.0625</c:v>
                </c:pt>
                <c:pt idx="3">
                  <c:v>184.09375</c:v>
                </c:pt>
                <c:pt idx="4">
                  <c:v>245.125</c:v>
                </c:pt>
                <c:pt idx="5">
                  <c:v>306.15625</c:v>
                </c:pt>
                <c:pt idx="6">
                  <c:v>367.1875</c:v>
                </c:pt>
                <c:pt idx="7">
                  <c:v>428.21875</c:v>
                </c:pt>
                <c:pt idx="8">
                  <c:v>489.25</c:v>
                </c:pt>
                <c:pt idx="9">
                  <c:v>550.28125</c:v>
                </c:pt>
                <c:pt idx="10">
                  <c:v>611.3125</c:v>
                </c:pt>
                <c:pt idx="11">
                  <c:v>672.34375</c:v>
                </c:pt>
                <c:pt idx="12">
                  <c:v>733.375</c:v>
                </c:pt>
                <c:pt idx="13">
                  <c:v>794.40625</c:v>
                </c:pt>
                <c:pt idx="14">
                  <c:v>855.4375</c:v>
                </c:pt>
                <c:pt idx="15">
                  <c:v>916.46875</c:v>
                </c:pt>
                <c:pt idx="16">
                  <c:v>977.5</c:v>
                </c:pt>
                <c:pt idx="17">
                  <c:v>1038.53125</c:v>
                </c:pt>
                <c:pt idx="18">
                  <c:v>1099.5625</c:v>
                </c:pt>
                <c:pt idx="19">
                  <c:v>1160.59375</c:v>
                </c:pt>
                <c:pt idx="20">
                  <c:v>1221.625</c:v>
                </c:pt>
                <c:pt idx="21">
                  <c:v>1282.65625</c:v>
                </c:pt>
                <c:pt idx="22">
                  <c:v>1343.6875</c:v>
                </c:pt>
                <c:pt idx="23">
                  <c:v>1404.71875</c:v>
                </c:pt>
                <c:pt idx="24">
                  <c:v>1465.75</c:v>
                </c:pt>
                <c:pt idx="25">
                  <c:v>1526.78125</c:v>
                </c:pt>
                <c:pt idx="26">
                  <c:v>1587.8125</c:v>
                </c:pt>
                <c:pt idx="27">
                  <c:v>1648.84375</c:v>
                </c:pt>
                <c:pt idx="28">
                  <c:v>1709.875</c:v>
                </c:pt>
                <c:pt idx="29">
                  <c:v>1770.90625</c:v>
                </c:pt>
                <c:pt idx="30">
                  <c:v>1831.9375</c:v>
                </c:pt>
                <c:pt idx="31">
                  <c:v>1892.96875</c:v>
                </c:pt>
                <c:pt idx="32">
                  <c:v>1954</c:v>
                </c:pt>
                <c:pt idx="33">
                  <c:v>2015.03125</c:v>
                </c:pt>
                <c:pt idx="34">
                  <c:v>2076.0625</c:v>
                </c:pt>
                <c:pt idx="35">
                  <c:v>2137.09375</c:v>
                </c:pt>
                <c:pt idx="36">
                  <c:v>2198.125</c:v>
                </c:pt>
                <c:pt idx="37">
                  <c:v>2259.15625</c:v>
                </c:pt>
                <c:pt idx="38">
                  <c:v>2320.1875</c:v>
                </c:pt>
                <c:pt idx="39">
                  <c:v>2381.21875</c:v>
                </c:pt>
                <c:pt idx="40">
                  <c:v>2442.25</c:v>
                </c:pt>
                <c:pt idx="41">
                  <c:v>2503.28125</c:v>
                </c:pt>
                <c:pt idx="42">
                  <c:v>2564.3125</c:v>
                </c:pt>
                <c:pt idx="43">
                  <c:v>2625.34375</c:v>
                </c:pt>
                <c:pt idx="44">
                  <c:v>2686.375</c:v>
                </c:pt>
                <c:pt idx="45">
                  <c:v>2747.40625</c:v>
                </c:pt>
                <c:pt idx="46">
                  <c:v>2808.4375</c:v>
                </c:pt>
                <c:pt idx="47">
                  <c:v>2869.46875</c:v>
                </c:pt>
                <c:pt idx="48">
                  <c:v>2930.5</c:v>
                </c:pt>
                <c:pt idx="49">
                  <c:v>2991.53125</c:v>
                </c:pt>
                <c:pt idx="50">
                  <c:v>3052.5625</c:v>
                </c:pt>
                <c:pt idx="51">
                  <c:v>3113.59375</c:v>
                </c:pt>
                <c:pt idx="52">
                  <c:v>3174.625</c:v>
                </c:pt>
                <c:pt idx="53">
                  <c:v>3235.65625</c:v>
                </c:pt>
                <c:pt idx="54">
                  <c:v>3296.6875</c:v>
                </c:pt>
                <c:pt idx="55">
                  <c:v>3357.71875</c:v>
                </c:pt>
                <c:pt idx="56">
                  <c:v>3418.75</c:v>
                </c:pt>
                <c:pt idx="57">
                  <c:v>3479.78125</c:v>
                </c:pt>
                <c:pt idx="58">
                  <c:v>3540.8125</c:v>
                </c:pt>
                <c:pt idx="59">
                  <c:v>3601.84375</c:v>
                </c:pt>
                <c:pt idx="60">
                  <c:v>3662.875</c:v>
                </c:pt>
                <c:pt idx="61">
                  <c:v>3723.90625</c:v>
                </c:pt>
                <c:pt idx="62">
                  <c:v>3784.9375</c:v>
                </c:pt>
                <c:pt idx="63">
                  <c:v>3845.96875</c:v>
                </c:pt>
                <c:pt idx="64">
                  <c:v>3907</c:v>
                </c:pt>
                <c:pt idx="65">
                  <c:v>3968.03125</c:v>
                </c:pt>
                <c:pt idx="66">
                  <c:v>4029.0625</c:v>
                </c:pt>
                <c:pt idx="67">
                  <c:v>4090.09375</c:v>
                </c:pt>
                <c:pt idx="68">
                  <c:v>4151.125</c:v>
                </c:pt>
                <c:pt idx="69">
                  <c:v>4212.15625</c:v>
                </c:pt>
                <c:pt idx="70">
                  <c:v>4273.1875</c:v>
                </c:pt>
                <c:pt idx="71">
                  <c:v>4334.21875</c:v>
                </c:pt>
                <c:pt idx="72">
                  <c:v>4395.25</c:v>
                </c:pt>
                <c:pt idx="73">
                  <c:v>4456.28125</c:v>
                </c:pt>
                <c:pt idx="74">
                  <c:v>4517.3125</c:v>
                </c:pt>
                <c:pt idx="75">
                  <c:v>4578.34375</c:v>
                </c:pt>
                <c:pt idx="76">
                  <c:v>4639.375</c:v>
                </c:pt>
                <c:pt idx="77">
                  <c:v>4700.40625</c:v>
                </c:pt>
                <c:pt idx="78">
                  <c:v>4761.4375</c:v>
                </c:pt>
                <c:pt idx="79">
                  <c:v>4822.46875</c:v>
                </c:pt>
                <c:pt idx="80">
                  <c:v>4883.5</c:v>
                </c:pt>
                <c:pt idx="81">
                  <c:v>4944.53125</c:v>
                </c:pt>
                <c:pt idx="82">
                  <c:v>5005.5625</c:v>
                </c:pt>
                <c:pt idx="83">
                  <c:v>5066.59375</c:v>
                </c:pt>
                <c:pt idx="84">
                  <c:v>5127.625</c:v>
                </c:pt>
                <c:pt idx="85">
                  <c:v>5188.65625</c:v>
                </c:pt>
                <c:pt idx="86">
                  <c:v>5249.6875</c:v>
                </c:pt>
                <c:pt idx="87">
                  <c:v>5310.71875</c:v>
                </c:pt>
                <c:pt idx="88">
                  <c:v>5371.75</c:v>
                </c:pt>
                <c:pt idx="89">
                  <c:v>5432.78125</c:v>
                </c:pt>
                <c:pt idx="90">
                  <c:v>5493.8125</c:v>
                </c:pt>
                <c:pt idx="91">
                  <c:v>5554.84375</c:v>
                </c:pt>
                <c:pt idx="92">
                  <c:v>5615.875</c:v>
                </c:pt>
                <c:pt idx="93">
                  <c:v>5676.90625</c:v>
                </c:pt>
                <c:pt idx="94">
                  <c:v>5737.9375</c:v>
                </c:pt>
                <c:pt idx="95">
                  <c:v>5798.96875</c:v>
                </c:pt>
                <c:pt idx="96">
                  <c:v>5860</c:v>
                </c:pt>
                <c:pt idx="97">
                  <c:v>5921.03125</c:v>
                </c:pt>
                <c:pt idx="98">
                  <c:v>5982.0625</c:v>
                </c:pt>
                <c:pt idx="99">
                  <c:v>6043.09375</c:v>
                </c:pt>
                <c:pt idx="100">
                  <c:v>6104.125</c:v>
                </c:pt>
                <c:pt idx="101">
                  <c:v>6165.15625</c:v>
                </c:pt>
                <c:pt idx="102">
                  <c:v>6226.1875</c:v>
                </c:pt>
                <c:pt idx="103">
                  <c:v>6287.21875</c:v>
                </c:pt>
                <c:pt idx="104">
                  <c:v>6348.25</c:v>
                </c:pt>
                <c:pt idx="105">
                  <c:v>6409.28125</c:v>
                </c:pt>
                <c:pt idx="106">
                  <c:v>6470.3125</c:v>
                </c:pt>
                <c:pt idx="107">
                  <c:v>6531.34375</c:v>
                </c:pt>
                <c:pt idx="108">
                  <c:v>6592.375</c:v>
                </c:pt>
                <c:pt idx="109">
                  <c:v>6653.40625</c:v>
                </c:pt>
                <c:pt idx="110">
                  <c:v>6714.4375</c:v>
                </c:pt>
                <c:pt idx="111">
                  <c:v>6775.46875</c:v>
                </c:pt>
                <c:pt idx="112">
                  <c:v>6836.5</c:v>
                </c:pt>
                <c:pt idx="113">
                  <c:v>6897.53125</c:v>
                </c:pt>
                <c:pt idx="114">
                  <c:v>6958.5625</c:v>
                </c:pt>
                <c:pt idx="115">
                  <c:v>7019.59375</c:v>
                </c:pt>
                <c:pt idx="116">
                  <c:v>7080.625</c:v>
                </c:pt>
                <c:pt idx="117">
                  <c:v>7141.65625</c:v>
                </c:pt>
                <c:pt idx="118">
                  <c:v>7202.6875</c:v>
                </c:pt>
                <c:pt idx="119">
                  <c:v>7263.71875</c:v>
                </c:pt>
                <c:pt idx="120">
                  <c:v>7324.75</c:v>
                </c:pt>
                <c:pt idx="121">
                  <c:v>7385.78125</c:v>
                </c:pt>
                <c:pt idx="122">
                  <c:v>7446.8125</c:v>
                </c:pt>
                <c:pt idx="123">
                  <c:v>7507.84375</c:v>
                </c:pt>
                <c:pt idx="124">
                  <c:v>7568.875</c:v>
                </c:pt>
                <c:pt idx="125">
                  <c:v>7629.90625</c:v>
                </c:pt>
                <c:pt idx="126">
                  <c:v>7690.9375</c:v>
                </c:pt>
                <c:pt idx="127">
                  <c:v>7751.96875</c:v>
                </c:pt>
              </c:numCache>
            </c:numRef>
          </c:xVal>
          <c:yVal>
            <c:numRef>
              <c:f>data!$B$34:$DY$34</c:f>
              <c:numCache>
                <c:formatCode>General</c:formatCode>
                <c:ptCount val="128"/>
                <c:pt idx="0">
                  <c:v>396.18524943546998</c:v>
                </c:pt>
                <c:pt idx="1">
                  <c:v>88.506205309513902</c:v>
                </c:pt>
                <c:pt idx="2">
                  <c:v>95.846470107383198</c:v>
                </c:pt>
                <c:pt idx="3">
                  <c:v>103.11028498896729</c:v>
                </c:pt>
                <c:pt idx="4">
                  <c:v>95.796498211648895</c:v>
                </c:pt>
                <c:pt idx="5">
                  <c:v>94.883955328184499</c:v>
                </c:pt>
                <c:pt idx="6">
                  <c:v>98.036489326627702</c:v>
                </c:pt>
                <c:pt idx="7">
                  <c:v>90.377427964399999</c:v>
                </c:pt>
                <c:pt idx="8">
                  <c:v>87.009115226772806</c:v>
                </c:pt>
                <c:pt idx="9">
                  <c:v>84.159789113876585</c:v>
                </c:pt>
                <c:pt idx="10">
                  <c:v>84.264589750661358</c:v>
                </c:pt>
                <c:pt idx="11">
                  <c:v>80.990348857383012</c:v>
                </c:pt>
                <c:pt idx="12">
                  <c:v>78.831181953636531</c:v>
                </c:pt>
                <c:pt idx="13">
                  <c:v>78.996773895144386</c:v>
                </c:pt>
                <c:pt idx="14">
                  <c:v>76.505848552646242</c:v>
                </c:pt>
                <c:pt idx="15">
                  <c:v>75.540038747593641</c:v>
                </c:pt>
                <c:pt idx="16">
                  <c:v>75.840405660888777</c:v>
                </c:pt>
                <c:pt idx="17">
                  <c:v>76.798851182865022</c:v>
                </c:pt>
                <c:pt idx="18">
                  <c:v>76.9070287744469</c:v>
                </c:pt>
                <c:pt idx="19">
                  <c:v>76.7598074465906</c:v>
                </c:pt>
                <c:pt idx="20">
                  <c:v>76.24986301209259</c:v>
                </c:pt>
                <c:pt idx="21">
                  <c:v>76.976705892706491</c:v>
                </c:pt>
                <c:pt idx="22">
                  <c:v>76.628180740095118</c:v>
                </c:pt>
                <c:pt idx="23">
                  <c:v>76.845356397414946</c:v>
                </c:pt>
                <c:pt idx="24">
                  <c:v>76.814682619311881</c:v>
                </c:pt>
                <c:pt idx="25">
                  <c:v>77.500874457482709</c:v>
                </c:pt>
                <c:pt idx="26">
                  <c:v>77.329780117232431</c:v>
                </c:pt>
                <c:pt idx="27">
                  <c:v>77.364221445479046</c:v>
                </c:pt>
                <c:pt idx="28">
                  <c:v>78.399062935334982</c:v>
                </c:pt>
                <c:pt idx="29">
                  <c:v>78.491808315472312</c:v>
                </c:pt>
                <c:pt idx="30">
                  <c:v>78.125283717032659</c:v>
                </c:pt>
                <c:pt idx="31">
                  <c:v>79.4200185065055</c:v>
                </c:pt>
                <c:pt idx="32">
                  <c:v>78.78316590424285</c:v>
                </c:pt>
                <c:pt idx="33">
                  <c:v>78.246655705203253</c:v>
                </c:pt>
                <c:pt idx="34">
                  <c:v>76.63932272607795</c:v>
                </c:pt>
                <c:pt idx="35">
                  <c:v>73.247427976712544</c:v>
                </c:pt>
                <c:pt idx="36">
                  <c:v>69.188734405691434</c:v>
                </c:pt>
                <c:pt idx="37">
                  <c:v>68.913438587053335</c:v>
                </c:pt>
                <c:pt idx="38">
                  <c:v>69.373570777889952</c:v>
                </c:pt>
                <c:pt idx="39">
                  <c:v>69.824977127651565</c:v>
                </c:pt>
                <c:pt idx="40">
                  <c:v>69.360320335792679</c:v>
                </c:pt>
                <c:pt idx="41">
                  <c:v>68.728964642239788</c:v>
                </c:pt>
                <c:pt idx="42">
                  <c:v>68.662454183844005</c:v>
                </c:pt>
                <c:pt idx="43">
                  <c:v>68.828664445791006</c:v>
                </c:pt>
                <c:pt idx="44">
                  <c:v>69.310692977024615</c:v>
                </c:pt>
                <c:pt idx="45">
                  <c:v>69.772868949794031</c:v>
                </c:pt>
                <c:pt idx="46">
                  <c:v>70.218301902243141</c:v>
                </c:pt>
                <c:pt idx="47">
                  <c:v>70.425305374658407</c:v>
                </c:pt>
                <c:pt idx="48">
                  <c:v>70.218692455115772</c:v>
                </c:pt>
                <c:pt idx="49">
                  <c:v>69.459396927798522</c:v>
                </c:pt>
                <c:pt idx="50">
                  <c:v>68.230870165247595</c:v>
                </c:pt>
                <c:pt idx="51">
                  <c:v>66.882404142825749</c:v>
                </c:pt>
                <c:pt idx="52">
                  <c:v>65.222915353917912</c:v>
                </c:pt>
                <c:pt idx="53">
                  <c:v>63.299657194695783</c:v>
                </c:pt>
                <c:pt idx="54">
                  <c:v>61.470862336496843</c:v>
                </c:pt>
                <c:pt idx="55">
                  <c:v>60.014475468043408</c:v>
                </c:pt>
                <c:pt idx="56">
                  <c:v>59.338118111705121</c:v>
                </c:pt>
                <c:pt idx="57">
                  <c:v>58.949019401034796</c:v>
                </c:pt>
                <c:pt idx="58">
                  <c:v>58.414339302619474</c:v>
                </c:pt>
                <c:pt idx="59">
                  <c:v>57.733427275285237</c:v>
                </c:pt>
                <c:pt idx="60">
                  <c:v>56.916209783282817</c:v>
                </c:pt>
                <c:pt idx="61">
                  <c:v>56.055270270323192</c:v>
                </c:pt>
                <c:pt idx="62">
                  <c:v>55.402795010910054</c:v>
                </c:pt>
                <c:pt idx="63">
                  <c:v>54.767794555463333</c:v>
                </c:pt>
                <c:pt idx="64">
                  <c:v>54.204036458997706</c:v>
                </c:pt>
                <c:pt idx="65">
                  <c:v>54.246868596263283</c:v>
                </c:pt>
                <c:pt idx="66">
                  <c:v>54.335801686454246</c:v>
                </c:pt>
                <c:pt idx="67">
                  <c:v>54.198406562691524</c:v>
                </c:pt>
                <c:pt idx="68">
                  <c:v>53.725235171203579</c:v>
                </c:pt>
                <c:pt idx="69">
                  <c:v>53.571558257121644</c:v>
                </c:pt>
                <c:pt idx="70">
                  <c:v>53.329585618221898</c:v>
                </c:pt>
                <c:pt idx="71">
                  <c:v>53.089531515715755</c:v>
                </c:pt>
                <c:pt idx="72">
                  <c:v>52.919349604767518</c:v>
                </c:pt>
                <c:pt idx="73">
                  <c:v>52.269175805980282</c:v>
                </c:pt>
                <c:pt idx="74">
                  <c:v>51.614026515590837</c:v>
                </c:pt>
                <c:pt idx="75">
                  <c:v>51.893787224435201</c:v>
                </c:pt>
                <c:pt idx="76">
                  <c:v>52.622770747587865</c:v>
                </c:pt>
                <c:pt idx="77">
                  <c:v>52.058087190565914</c:v>
                </c:pt>
                <c:pt idx="78">
                  <c:v>51.579828154246876</c:v>
                </c:pt>
                <c:pt idx="79">
                  <c:v>51.88785817230724</c:v>
                </c:pt>
                <c:pt idx="80">
                  <c:v>52.3112425956921</c:v>
                </c:pt>
                <c:pt idx="81">
                  <c:v>52.016613620581161</c:v>
                </c:pt>
                <c:pt idx="82">
                  <c:v>51.703762328721822</c:v>
                </c:pt>
                <c:pt idx="83">
                  <c:v>52.128929234273485</c:v>
                </c:pt>
                <c:pt idx="84">
                  <c:v>53.230158972104945</c:v>
                </c:pt>
                <c:pt idx="85">
                  <c:v>54.663196998285258</c:v>
                </c:pt>
                <c:pt idx="86">
                  <c:v>56.762319992498981</c:v>
                </c:pt>
                <c:pt idx="87">
                  <c:v>60.5063686073781</c:v>
                </c:pt>
                <c:pt idx="88">
                  <c:v>64.661555787310817</c:v>
                </c:pt>
                <c:pt idx="89">
                  <c:v>67.567469387287346</c:v>
                </c:pt>
                <c:pt idx="90">
                  <c:v>70.163044131967666</c:v>
                </c:pt>
                <c:pt idx="91">
                  <c:v>68.563247620417584</c:v>
                </c:pt>
                <c:pt idx="92">
                  <c:v>66.464274380598695</c:v>
                </c:pt>
                <c:pt idx="93">
                  <c:v>64.966337452519312</c:v>
                </c:pt>
                <c:pt idx="94">
                  <c:v>63.803292741262041</c:v>
                </c:pt>
                <c:pt idx="95">
                  <c:v>63.34347647831396</c:v>
                </c:pt>
                <c:pt idx="96">
                  <c:v>62.591125156383775</c:v>
                </c:pt>
                <c:pt idx="97">
                  <c:v>62.116666343250898</c:v>
                </c:pt>
                <c:pt idx="98">
                  <c:v>62.148307623169217</c:v>
                </c:pt>
                <c:pt idx="99">
                  <c:v>61.988675122361336</c:v>
                </c:pt>
                <c:pt idx="100">
                  <c:v>62.382051443549351</c:v>
                </c:pt>
                <c:pt idx="101">
                  <c:v>62.662574920763873</c:v>
                </c:pt>
                <c:pt idx="102">
                  <c:v>62.915347569857495</c:v>
                </c:pt>
                <c:pt idx="103">
                  <c:v>63.316257199503809</c:v>
                </c:pt>
                <c:pt idx="104">
                  <c:v>63.588653576863031</c:v>
                </c:pt>
                <c:pt idx="105">
                  <c:v>64.06985076276419</c:v>
                </c:pt>
                <c:pt idx="106">
                  <c:v>64.617075518003901</c:v>
                </c:pt>
                <c:pt idx="107">
                  <c:v>65.210140850566006</c:v>
                </c:pt>
                <c:pt idx="108">
                  <c:v>65.246761991454903</c:v>
                </c:pt>
                <c:pt idx="109">
                  <c:v>65.472066124965892</c:v>
                </c:pt>
                <c:pt idx="110">
                  <c:v>65.714814036714898</c:v>
                </c:pt>
                <c:pt idx="111">
                  <c:v>65.79658969516521</c:v>
                </c:pt>
                <c:pt idx="112">
                  <c:v>65.68115285608971</c:v>
                </c:pt>
                <c:pt idx="113">
                  <c:v>65.30301344833029</c:v>
                </c:pt>
                <c:pt idx="114">
                  <c:v>65.185749550596697</c:v>
                </c:pt>
                <c:pt idx="115">
                  <c:v>65.472094735298498</c:v>
                </c:pt>
                <c:pt idx="116">
                  <c:v>65.868046398780194</c:v>
                </c:pt>
                <c:pt idx="117">
                  <c:v>67.123892896137789</c:v>
                </c:pt>
                <c:pt idx="118">
                  <c:v>67.879750744408909</c:v>
                </c:pt>
                <c:pt idx="119">
                  <c:v>69.410619724965898</c:v>
                </c:pt>
                <c:pt idx="120">
                  <c:v>70.816135642059706</c:v>
                </c:pt>
                <c:pt idx="121">
                  <c:v>72.431113866012794</c:v>
                </c:pt>
                <c:pt idx="122">
                  <c:v>74.433183601401893</c:v>
                </c:pt>
                <c:pt idx="123">
                  <c:v>74.939440460233897</c:v>
                </c:pt>
                <c:pt idx="124">
                  <c:v>77.341299343781003</c:v>
                </c:pt>
                <c:pt idx="125">
                  <c:v>76.653343997630401</c:v>
                </c:pt>
                <c:pt idx="126">
                  <c:v>74.584153466937295</c:v>
                </c:pt>
                <c:pt idx="127">
                  <c:v>71.563382205983501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data!$A$35</c:f>
              <c:strCache>
                <c:ptCount val="1"/>
                <c:pt idx="0">
                  <c:v>B70_BT_P5_005_NewFoam_rear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data!$B$31:$DY$31</c:f>
              <c:numCache>
                <c:formatCode>General</c:formatCode>
                <c:ptCount val="128"/>
                <c:pt idx="0">
                  <c:v>1</c:v>
                </c:pt>
                <c:pt idx="1">
                  <c:v>62.03125</c:v>
                </c:pt>
                <c:pt idx="2">
                  <c:v>123.0625</c:v>
                </c:pt>
                <c:pt idx="3">
                  <c:v>184.09375</c:v>
                </c:pt>
                <c:pt idx="4">
                  <c:v>245.125</c:v>
                </c:pt>
                <c:pt idx="5">
                  <c:v>306.15625</c:v>
                </c:pt>
                <c:pt idx="6">
                  <c:v>367.1875</c:v>
                </c:pt>
                <c:pt idx="7">
                  <c:v>428.21875</c:v>
                </c:pt>
                <c:pt idx="8">
                  <c:v>489.25</c:v>
                </c:pt>
                <c:pt idx="9">
                  <c:v>550.28125</c:v>
                </c:pt>
                <c:pt idx="10">
                  <c:v>611.3125</c:v>
                </c:pt>
                <c:pt idx="11">
                  <c:v>672.34375</c:v>
                </c:pt>
                <c:pt idx="12">
                  <c:v>733.375</c:v>
                </c:pt>
                <c:pt idx="13">
                  <c:v>794.40625</c:v>
                </c:pt>
                <c:pt idx="14">
                  <c:v>855.4375</c:v>
                </c:pt>
                <c:pt idx="15">
                  <c:v>916.46875</c:v>
                </c:pt>
                <c:pt idx="16">
                  <c:v>977.5</c:v>
                </c:pt>
                <c:pt idx="17">
                  <c:v>1038.53125</c:v>
                </c:pt>
                <c:pt idx="18">
                  <c:v>1099.5625</c:v>
                </c:pt>
                <c:pt idx="19">
                  <c:v>1160.59375</c:v>
                </c:pt>
                <c:pt idx="20">
                  <c:v>1221.625</c:v>
                </c:pt>
                <c:pt idx="21">
                  <c:v>1282.65625</c:v>
                </c:pt>
                <c:pt idx="22">
                  <c:v>1343.6875</c:v>
                </c:pt>
                <c:pt idx="23">
                  <c:v>1404.71875</c:v>
                </c:pt>
                <c:pt idx="24">
                  <c:v>1465.75</c:v>
                </c:pt>
                <c:pt idx="25">
                  <c:v>1526.78125</c:v>
                </c:pt>
                <c:pt idx="26">
                  <c:v>1587.8125</c:v>
                </c:pt>
                <c:pt idx="27">
                  <c:v>1648.84375</c:v>
                </c:pt>
                <c:pt idx="28">
                  <c:v>1709.875</c:v>
                </c:pt>
                <c:pt idx="29">
                  <c:v>1770.90625</c:v>
                </c:pt>
                <c:pt idx="30">
                  <c:v>1831.9375</c:v>
                </c:pt>
                <c:pt idx="31">
                  <c:v>1892.96875</c:v>
                </c:pt>
                <c:pt idx="32">
                  <c:v>1954</c:v>
                </c:pt>
                <c:pt idx="33">
                  <c:v>2015.03125</c:v>
                </c:pt>
                <c:pt idx="34">
                  <c:v>2076.0625</c:v>
                </c:pt>
                <c:pt idx="35">
                  <c:v>2137.09375</c:v>
                </c:pt>
                <c:pt idx="36">
                  <c:v>2198.125</c:v>
                </c:pt>
                <c:pt idx="37">
                  <c:v>2259.15625</c:v>
                </c:pt>
                <c:pt idx="38">
                  <c:v>2320.1875</c:v>
                </c:pt>
                <c:pt idx="39">
                  <c:v>2381.21875</c:v>
                </c:pt>
                <c:pt idx="40">
                  <c:v>2442.25</c:v>
                </c:pt>
                <c:pt idx="41">
                  <c:v>2503.28125</c:v>
                </c:pt>
                <c:pt idx="42">
                  <c:v>2564.3125</c:v>
                </c:pt>
                <c:pt idx="43">
                  <c:v>2625.34375</c:v>
                </c:pt>
                <c:pt idx="44">
                  <c:v>2686.375</c:v>
                </c:pt>
                <c:pt idx="45">
                  <c:v>2747.40625</c:v>
                </c:pt>
                <c:pt idx="46">
                  <c:v>2808.4375</c:v>
                </c:pt>
                <c:pt idx="47">
                  <c:v>2869.46875</c:v>
                </c:pt>
                <c:pt idx="48">
                  <c:v>2930.5</c:v>
                </c:pt>
                <c:pt idx="49">
                  <c:v>2991.53125</c:v>
                </c:pt>
                <c:pt idx="50">
                  <c:v>3052.5625</c:v>
                </c:pt>
                <c:pt idx="51">
                  <c:v>3113.59375</c:v>
                </c:pt>
                <c:pt idx="52">
                  <c:v>3174.625</c:v>
                </c:pt>
                <c:pt idx="53">
                  <c:v>3235.65625</c:v>
                </c:pt>
                <c:pt idx="54">
                  <c:v>3296.6875</c:v>
                </c:pt>
                <c:pt idx="55">
                  <c:v>3357.71875</c:v>
                </c:pt>
                <c:pt idx="56">
                  <c:v>3418.75</c:v>
                </c:pt>
                <c:pt idx="57">
                  <c:v>3479.78125</c:v>
                </c:pt>
                <c:pt idx="58">
                  <c:v>3540.8125</c:v>
                </c:pt>
                <c:pt idx="59">
                  <c:v>3601.84375</c:v>
                </c:pt>
                <c:pt idx="60">
                  <c:v>3662.875</c:v>
                </c:pt>
                <c:pt idx="61">
                  <c:v>3723.90625</c:v>
                </c:pt>
                <c:pt idx="62">
                  <c:v>3784.9375</c:v>
                </c:pt>
                <c:pt idx="63">
                  <c:v>3845.96875</c:v>
                </c:pt>
                <c:pt idx="64">
                  <c:v>3907</c:v>
                </c:pt>
                <c:pt idx="65">
                  <c:v>3968.03125</c:v>
                </c:pt>
                <c:pt idx="66">
                  <c:v>4029.0625</c:v>
                </c:pt>
                <c:pt idx="67">
                  <c:v>4090.09375</c:v>
                </c:pt>
                <c:pt idx="68">
                  <c:v>4151.125</c:v>
                </c:pt>
                <c:pt idx="69">
                  <c:v>4212.15625</c:v>
                </c:pt>
                <c:pt idx="70">
                  <c:v>4273.1875</c:v>
                </c:pt>
                <c:pt idx="71">
                  <c:v>4334.21875</c:v>
                </c:pt>
                <c:pt idx="72">
                  <c:v>4395.25</c:v>
                </c:pt>
                <c:pt idx="73">
                  <c:v>4456.28125</c:v>
                </c:pt>
                <c:pt idx="74">
                  <c:v>4517.3125</c:v>
                </c:pt>
                <c:pt idx="75">
                  <c:v>4578.34375</c:v>
                </c:pt>
                <c:pt idx="76">
                  <c:v>4639.375</c:v>
                </c:pt>
                <c:pt idx="77">
                  <c:v>4700.40625</c:v>
                </c:pt>
                <c:pt idx="78">
                  <c:v>4761.4375</c:v>
                </c:pt>
                <c:pt idx="79">
                  <c:v>4822.46875</c:v>
                </c:pt>
                <c:pt idx="80">
                  <c:v>4883.5</c:v>
                </c:pt>
                <c:pt idx="81">
                  <c:v>4944.53125</c:v>
                </c:pt>
                <c:pt idx="82">
                  <c:v>5005.5625</c:v>
                </c:pt>
                <c:pt idx="83">
                  <c:v>5066.59375</c:v>
                </c:pt>
                <c:pt idx="84">
                  <c:v>5127.625</c:v>
                </c:pt>
                <c:pt idx="85">
                  <c:v>5188.65625</c:v>
                </c:pt>
                <c:pt idx="86">
                  <c:v>5249.6875</c:v>
                </c:pt>
                <c:pt idx="87">
                  <c:v>5310.71875</c:v>
                </c:pt>
                <c:pt idx="88">
                  <c:v>5371.75</c:v>
                </c:pt>
                <c:pt idx="89">
                  <c:v>5432.78125</c:v>
                </c:pt>
                <c:pt idx="90">
                  <c:v>5493.8125</c:v>
                </c:pt>
                <c:pt idx="91">
                  <c:v>5554.84375</c:v>
                </c:pt>
                <c:pt idx="92">
                  <c:v>5615.875</c:v>
                </c:pt>
                <c:pt idx="93">
                  <c:v>5676.90625</c:v>
                </c:pt>
                <c:pt idx="94">
                  <c:v>5737.9375</c:v>
                </c:pt>
                <c:pt idx="95">
                  <c:v>5798.96875</c:v>
                </c:pt>
                <c:pt idx="96">
                  <c:v>5860</c:v>
                </c:pt>
                <c:pt idx="97">
                  <c:v>5921.03125</c:v>
                </c:pt>
                <c:pt idx="98">
                  <c:v>5982.0625</c:v>
                </c:pt>
                <c:pt idx="99">
                  <c:v>6043.09375</c:v>
                </c:pt>
                <c:pt idx="100">
                  <c:v>6104.125</c:v>
                </c:pt>
                <c:pt idx="101">
                  <c:v>6165.15625</c:v>
                </c:pt>
                <c:pt idx="102">
                  <c:v>6226.1875</c:v>
                </c:pt>
                <c:pt idx="103">
                  <c:v>6287.21875</c:v>
                </c:pt>
                <c:pt idx="104">
                  <c:v>6348.25</c:v>
                </c:pt>
                <c:pt idx="105">
                  <c:v>6409.28125</c:v>
                </c:pt>
                <c:pt idx="106">
                  <c:v>6470.3125</c:v>
                </c:pt>
                <c:pt idx="107">
                  <c:v>6531.34375</c:v>
                </c:pt>
                <c:pt idx="108">
                  <c:v>6592.375</c:v>
                </c:pt>
                <c:pt idx="109">
                  <c:v>6653.40625</c:v>
                </c:pt>
                <c:pt idx="110">
                  <c:v>6714.4375</c:v>
                </c:pt>
                <c:pt idx="111">
                  <c:v>6775.46875</c:v>
                </c:pt>
                <c:pt idx="112">
                  <c:v>6836.5</c:v>
                </c:pt>
                <c:pt idx="113">
                  <c:v>6897.53125</c:v>
                </c:pt>
                <c:pt idx="114">
                  <c:v>6958.5625</c:v>
                </c:pt>
                <c:pt idx="115">
                  <c:v>7019.59375</c:v>
                </c:pt>
                <c:pt idx="116">
                  <c:v>7080.625</c:v>
                </c:pt>
                <c:pt idx="117">
                  <c:v>7141.65625</c:v>
                </c:pt>
                <c:pt idx="118">
                  <c:v>7202.6875</c:v>
                </c:pt>
                <c:pt idx="119">
                  <c:v>7263.71875</c:v>
                </c:pt>
                <c:pt idx="120">
                  <c:v>7324.75</c:v>
                </c:pt>
                <c:pt idx="121">
                  <c:v>7385.78125</c:v>
                </c:pt>
                <c:pt idx="122">
                  <c:v>7446.8125</c:v>
                </c:pt>
                <c:pt idx="123">
                  <c:v>7507.84375</c:v>
                </c:pt>
                <c:pt idx="124">
                  <c:v>7568.875</c:v>
                </c:pt>
                <c:pt idx="125">
                  <c:v>7629.90625</c:v>
                </c:pt>
                <c:pt idx="126">
                  <c:v>7690.9375</c:v>
                </c:pt>
                <c:pt idx="127">
                  <c:v>7751.96875</c:v>
                </c:pt>
              </c:numCache>
            </c:numRef>
          </c:xVal>
          <c:yVal>
            <c:numRef>
              <c:f>data!$B$35:$DY$35</c:f>
              <c:numCache>
                <c:formatCode>General</c:formatCode>
                <c:ptCount val="128"/>
                <c:pt idx="0">
                  <c:v>408.65867224228299</c:v>
                </c:pt>
                <c:pt idx="1">
                  <c:v>97.0819761616889</c:v>
                </c:pt>
                <c:pt idx="2">
                  <c:v>91.794076461145806</c:v>
                </c:pt>
                <c:pt idx="3">
                  <c:v>100.7398029424478</c:v>
                </c:pt>
                <c:pt idx="4">
                  <c:v>100.8377638793113</c:v>
                </c:pt>
                <c:pt idx="5">
                  <c:v>95.5633762823757</c:v>
                </c:pt>
                <c:pt idx="6">
                  <c:v>102.8965404425833</c:v>
                </c:pt>
                <c:pt idx="7">
                  <c:v>98.814267929275502</c:v>
                </c:pt>
                <c:pt idx="8">
                  <c:v>95.926942975008302</c:v>
                </c:pt>
                <c:pt idx="9">
                  <c:v>103.46781089837098</c:v>
                </c:pt>
                <c:pt idx="10">
                  <c:v>95.498689980620355</c:v>
                </c:pt>
                <c:pt idx="11">
                  <c:v>91.577910871196906</c:v>
                </c:pt>
                <c:pt idx="12">
                  <c:v>86.856447191018233</c:v>
                </c:pt>
                <c:pt idx="13">
                  <c:v>85.000220712844083</c:v>
                </c:pt>
                <c:pt idx="14">
                  <c:v>81.199110907515831</c:v>
                </c:pt>
                <c:pt idx="15">
                  <c:v>80.755491882021545</c:v>
                </c:pt>
                <c:pt idx="16">
                  <c:v>80.105749317554384</c:v>
                </c:pt>
                <c:pt idx="17">
                  <c:v>79.748679936416522</c:v>
                </c:pt>
                <c:pt idx="18">
                  <c:v>80.456241501490496</c:v>
                </c:pt>
                <c:pt idx="19">
                  <c:v>80.482770568215599</c:v>
                </c:pt>
                <c:pt idx="20">
                  <c:v>81.818655188927707</c:v>
                </c:pt>
                <c:pt idx="21">
                  <c:v>81.607506484721597</c:v>
                </c:pt>
                <c:pt idx="22">
                  <c:v>81.533776847893421</c:v>
                </c:pt>
                <c:pt idx="23">
                  <c:v>80.982343474865345</c:v>
                </c:pt>
                <c:pt idx="24">
                  <c:v>80.18199005698348</c:v>
                </c:pt>
                <c:pt idx="25">
                  <c:v>79.985820048074416</c:v>
                </c:pt>
                <c:pt idx="26">
                  <c:v>79.099970055138627</c:v>
                </c:pt>
                <c:pt idx="27">
                  <c:v>78.638546042325245</c:v>
                </c:pt>
                <c:pt idx="28">
                  <c:v>77.348532237243987</c:v>
                </c:pt>
                <c:pt idx="29">
                  <c:v>76.791090065965122</c:v>
                </c:pt>
                <c:pt idx="30">
                  <c:v>75.794540855658269</c:v>
                </c:pt>
                <c:pt idx="31">
                  <c:v>75.302053111822403</c:v>
                </c:pt>
                <c:pt idx="32">
                  <c:v>75.159123185786854</c:v>
                </c:pt>
                <c:pt idx="33">
                  <c:v>74.087890857259453</c:v>
                </c:pt>
                <c:pt idx="34">
                  <c:v>73.917752945108646</c:v>
                </c:pt>
                <c:pt idx="35">
                  <c:v>73.494071399008746</c:v>
                </c:pt>
                <c:pt idx="36">
                  <c:v>72.268792137840336</c:v>
                </c:pt>
                <c:pt idx="37">
                  <c:v>69.672861206789037</c:v>
                </c:pt>
                <c:pt idx="38">
                  <c:v>69.169874373118844</c:v>
                </c:pt>
                <c:pt idx="39">
                  <c:v>69.369167432055562</c:v>
                </c:pt>
                <c:pt idx="40">
                  <c:v>69.076369619872366</c:v>
                </c:pt>
                <c:pt idx="41">
                  <c:v>69.122775175890879</c:v>
                </c:pt>
                <c:pt idx="42">
                  <c:v>69.167367603261695</c:v>
                </c:pt>
                <c:pt idx="43">
                  <c:v>68.259195495835201</c:v>
                </c:pt>
                <c:pt idx="44">
                  <c:v>67.63323121174372</c:v>
                </c:pt>
                <c:pt idx="45">
                  <c:v>66.980547442881829</c:v>
                </c:pt>
                <c:pt idx="46">
                  <c:v>66.308765662630947</c:v>
                </c:pt>
                <c:pt idx="47">
                  <c:v>65.599298229275206</c:v>
                </c:pt>
                <c:pt idx="48">
                  <c:v>64.588488372439272</c:v>
                </c:pt>
                <c:pt idx="49">
                  <c:v>64.232249853885733</c:v>
                </c:pt>
                <c:pt idx="50">
                  <c:v>63.590262845958989</c:v>
                </c:pt>
                <c:pt idx="51">
                  <c:v>63.259070376265754</c:v>
                </c:pt>
                <c:pt idx="52">
                  <c:v>63.051753731863421</c:v>
                </c:pt>
                <c:pt idx="53">
                  <c:v>63.554184424165882</c:v>
                </c:pt>
                <c:pt idx="54">
                  <c:v>64.721633469185846</c:v>
                </c:pt>
                <c:pt idx="55">
                  <c:v>65.466641693069008</c:v>
                </c:pt>
                <c:pt idx="56">
                  <c:v>63.976996786326723</c:v>
                </c:pt>
                <c:pt idx="57">
                  <c:v>61.539340917138496</c:v>
                </c:pt>
                <c:pt idx="58">
                  <c:v>60.064481647819974</c:v>
                </c:pt>
                <c:pt idx="59">
                  <c:v>59.058216961438042</c:v>
                </c:pt>
                <c:pt idx="60">
                  <c:v>58.411685662046011</c:v>
                </c:pt>
                <c:pt idx="61">
                  <c:v>58.039950170560488</c:v>
                </c:pt>
                <c:pt idx="62">
                  <c:v>58.147003465087366</c:v>
                </c:pt>
                <c:pt idx="63">
                  <c:v>58.058879367496729</c:v>
                </c:pt>
                <c:pt idx="64">
                  <c:v>58.348269473094703</c:v>
                </c:pt>
                <c:pt idx="65">
                  <c:v>58.965452086278482</c:v>
                </c:pt>
                <c:pt idx="66">
                  <c:v>60.153964068788646</c:v>
                </c:pt>
                <c:pt idx="67">
                  <c:v>61.235534727272423</c:v>
                </c:pt>
                <c:pt idx="68">
                  <c:v>61.882128047091179</c:v>
                </c:pt>
                <c:pt idx="69">
                  <c:v>62.499415838916342</c:v>
                </c:pt>
                <c:pt idx="70">
                  <c:v>62.825824977545395</c:v>
                </c:pt>
                <c:pt idx="71">
                  <c:v>62.141936306086357</c:v>
                </c:pt>
                <c:pt idx="72">
                  <c:v>61.30315332719502</c:v>
                </c:pt>
                <c:pt idx="73">
                  <c:v>60.238375331113076</c:v>
                </c:pt>
                <c:pt idx="74">
                  <c:v>59.906977632880441</c:v>
                </c:pt>
                <c:pt idx="75">
                  <c:v>61.307232335724898</c:v>
                </c:pt>
                <c:pt idx="76">
                  <c:v>61.703956509903065</c:v>
                </c:pt>
                <c:pt idx="77">
                  <c:v>59.568362468527624</c:v>
                </c:pt>
                <c:pt idx="78">
                  <c:v>59.472636623142577</c:v>
                </c:pt>
                <c:pt idx="79">
                  <c:v>60.409382358036943</c:v>
                </c:pt>
                <c:pt idx="80">
                  <c:v>62.512163937060905</c:v>
                </c:pt>
                <c:pt idx="81">
                  <c:v>61.638998219158061</c:v>
                </c:pt>
                <c:pt idx="82">
                  <c:v>61.581892158517221</c:v>
                </c:pt>
                <c:pt idx="83">
                  <c:v>62.734288401021381</c:v>
                </c:pt>
                <c:pt idx="84">
                  <c:v>63.603054032962447</c:v>
                </c:pt>
                <c:pt idx="85">
                  <c:v>63.803811948996561</c:v>
                </c:pt>
                <c:pt idx="86">
                  <c:v>63.918222516504983</c:v>
                </c:pt>
                <c:pt idx="87">
                  <c:v>71.826544821719509</c:v>
                </c:pt>
                <c:pt idx="88">
                  <c:v>83.217618452187324</c:v>
                </c:pt>
                <c:pt idx="89">
                  <c:v>76.499661986049745</c:v>
                </c:pt>
                <c:pt idx="90">
                  <c:v>72.934144147217268</c:v>
                </c:pt>
                <c:pt idx="91">
                  <c:v>73.548824743966478</c:v>
                </c:pt>
                <c:pt idx="92">
                  <c:v>73.221739816891301</c:v>
                </c:pt>
                <c:pt idx="93">
                  <c:v>73.700269600091218</c:v>
                </c:pt>
                <c:pt idx="94">
                  <c:v>74.91277900756134</c:v>
                </c:pt>
                <c:pt idx="95">
                  <c:v>71.550933412855457</c:v>
                </c:pt>
                <c:pt idx="96">
                  <c:v>69.204676409671976</c:v>
                </c:pt>
                <c:pt idx="97">
                  <c:v>68.952716796655892</c:v>
                </c:pt>
                <c:pt idx="98">
                  <c:v>69.224606547806417</c:v>
                </c:pt>
                <c:pt idx="99">
                  <c:v>68.819725919837737</c:v>
                </c:pt>
                <c:pt idx="100">
                  <c:v>69.56142199805376</c:v>
                </c:pt>
                <c:pt idx="101">
                  <c:v>70.460366250818268</c:v>
                </c:pt>
                <c:pt idx="102">
                  <c:v>69.870360740897894</c:v>
                </c:pt>
                <c:pt idx="103">
                  <c:v>70.418233738981513</c:v>
                </c:pt>
                <c:pt idx="104">
                  <c:v>70.75802304730243</c:v>
                </c:pt>
                <c:pt idx="105">
                  <c:v>70.940193365351703</c:v>
                </c:pt>
                <c:pt idx="106">
                  <c:v>72.023014110057801</c:v>
                </c:pt>
                <c:pt idx="107">
                  <c:v>71.595853102185899</c:v>
                </c:pt>
                <c:pt idx="108">
                  <c:v>71.509038348378795</c:v>
                </c:pt>
                <c:pt idx="109">
                  <c:v>71.498405470658199</c:v>
                </c:pt>
                <c:pt idx="110">
                  <c:v>70.6494305932099</c:v>
                </c:pt>
                <c:pt idx="111">
                  <c:v>70.060724106788896</c:v>
                </c:pt>
                <c:pt idx="112">
                  <c:v>69.45721597318709</c:v>
                </c:pt>
                <c:pt idx="113">
                  <c:v>67.942332194527609</c:v>
                </c:pt>
                <c:pt idx="114">
                  <c:v>67.374903406097701</c:v>
                </c:pt>
                <c:pt idx="115">
                  <c:v>66.925009006686906</c:v>
                </c:pt>
                <c:pt idx="116">
                  <c:v>66.812844144112603</c:v>
                </c:pt>
                <c:pt idx="117">
                  <c:v>67.101274892815297</c:v>
                </c:pt>
                <c:pt idx="118">
                  <c:v>67.6491150921821</c:v>
                </c:pt>
                <c:pt idx="119">
                  <c:v>69.197337622060701</c:v>
                </c:pt>
                <c:pt idx="120">
                  <c:v>70.570168293974305</c:v>
                </c:pt>
                <c:pt idx="121">
                  <c:v>72.157131040677001</c:v>
                </c:pt>
                <c:pt idx="122">
                  <c:v>73.791862321859</c:v>
                </c:pt>
                <c:pt idx="123">
                  <c:v>74.7445784171599</c:v>
                </c:pt>
                <c:pt idx="124">
                  <c:v>75.960122286928296</c:v>
                </c:pt>
                <c:pt idx="125">
                  <c:v>78.242589379455495</c:v>
                </c:pt>
                <c:pt idx="126">
                  <c:v>78.404956736371801</c:v>
                </c:pt>
                <c:pt idx="127">
                  <c:v>78.002965506189398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data!$A$36</c:f>
              <c:strCache>
                <c:ptCount val="1"/>
                <c:pt idx="0">
                  <c:v>B70_BT_P6_337_front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data!$B$31:$DY$31</c:f>
              <c:numCache>
                <c:formatCode>General</c:formatCode>
                <c:ptCount val="128"/>
                <c:pt idx="0">
                  <c:v>1</c:v>
                </c:pt>
                <c:pt idx="1">
                  <c:v>62.03125</c:v>
                </c:pt>
                <c:pt idx="2">
                  <c:v>123.0625</c:v>
                </c:pt>
                <c:pt idx="3">
                  <c:v>184.09375</c:v>
                </c:pt>
                <c:pt idx="4">
                  <c:v>245.125</c:v>
                </c:pt>
                <c:pt idx="5">
                  <c:v>306.15625</c:v>
                </c:pt>
                <c:pt idx="6">
                  <c:v>367.1875</c:v>
                </c:pt>
                <c:pt idx="7">
                  <c:v>428.21875</c:v>
                </c:pt>
                <c:pt idx="8">
                  <c:v>489.25</c:v>
                </c:pt>
                <c:pt idx="9">
                  <c:v>550.28125</c:v>
                </c:pt>
                <c:pt idx="10">
                  <c:v>611.3125</c:v>
                </c:pt>
                <c:pt idx="11">
                  <c:v>672.34375</c:v>
                </c:pt>
                <c:pt idx="12">
                  <c:v>733.375</c:v>
                </c:pt>
                <c:pt idx="13">
                  <c:v>794.40625</c:v>
                </c:pt>
                <c:pt idx="14">
                  <c:v>855.4375</c:v>
                </c:pt>
                <c:pt idx="15">
                  <c:v>916.46875</c:v>
                </c:pt>
                <c:pt idx="16">
                  <c:v>977.5</c:v>
                </c:pt>
                <c:pt idx="17">
                  <c:v>1038.53125</c:v>
                </c:pt>
                <c:pt idx="18">
                  <c:v>1099.5625</c:v>
                </c:pt>
                <c:pt idx="19">
                  <c:v>1160.59375</c:v>
                </c:pt>
                <c:pt idx="20">
                  <c:v>1221.625</c:v>
                </c:pt>
                <c:pt idx="21">
                  <c:v>1282.65625</c:v>
                </c:pt>
                <c:pt idx="22">
                  <c:v>1343.6875</c:v>
                </c:pt>
                <c:pt idx="23">
                  <c:v>1404.71875</c:v>
                </c:pt>
                <c:pt idx="24">
                  <c:v>1465.75</c:v>
                </c:pt>
                <c:pt idx="25">
                  <c:v>1526.78125</c:v>
                </c:pt>
                <c:pt idx="26">
                  <c:v>1587.8125</c:v>
                </c:pt>
                <c:pt idx="27">
                  <c:v>1648.84375</c:v>
                </c:pt>
                <c:pt idx="28">
                  <c:v>1709.875</c:v>
                </c:pt>
                <c:pt idx="29">
                  <c:v>1770.90625</c:v>
                </c:pt>
                <c:pt idx="30">
                  <c:v>1831.9375</c:v>
                </c:pt>
                <c:pt idx="31">
                  <c:v>1892.96875</c:v>
                </c:pt>
                <c:pt idx="32">
                  <c:v>1954</c:v>
                </c:pt>
                <c:pt idx="33">
                  <c:v>2015.03125</c:v>
                </c:pt>
                <c:pt idx="34">
                  <c:v>2076.0625</c:v>
                </c:pt>
                <c:pt idx="35">
                  <c:v>2137.09375</c:v>
                </c:pt>
                <c:pt idx="36">
                  <c:v>2198.125</c:v>
                </c:pt>
                <c:pt idx="37">
                  <c:v>2259.15625</c:v>
                </c:pt>
                <c:pt idx="38">
                  <c:v>2320.1875</c:v>
                </c:pt>
                <c:pt idx="39">
                  <c:v>2381.21875</c:v>
                </c:pt>
                <c:pt idx="40">
                  <c:v>2442.25</c:v>
                </c:pt>
                <c:pt idx="41">
                  <c:v>2503.28125</c:v>
                </c:pt>
                <c:pt idx="42">
                  <c:v>2564.3125</c:v>
                </c:pt>
                <c:pt idx="43">
                  <c:v>2625.34375</c:v>
                </c:pt>
                <c:pt idx="44">
                  <c:v>2686.375</c:v>
                </c:pt>
                <c:pt idx="45">
                  <c:v>2747.40625</c:v>
                </c:pt>
                <c:pt idx="46">
                  <c:v>2808.4375</c:v>
                </c:pt>
                <c:pt idx="47">
                  <c:v>2869.46875</c:v>
                </c:pt>
                <c:pt idx="48">
                  <c:v>2930.5</c:v>
                </c:pt>
                <c:pt idx="49">
                  <c:v>2991.53125</c:v>
                </c:pt>
                <c:pt idx="50">
                  <c:v>3052.5625</c:v>
                </c:pt>
                <c:pt idx="51">
                  <c:v>3113.59375</c:v>
                </c:pt>
                <c:pt idx="52">
                  <c:v>3174.625</c:v>
                </c:pt>
                <c:pt idx="53">
                  <c:v>3235.65625</c:v>
                </c:pt>
                <c:pt idx="54">
                  <c:v>3296.6875</c:v>
                </c:pt>
                <c:pt idx="55">
                  <c:v>3357.71875</c:v>
                </c:pt>
                <c:pt idx="56">
                  <c:v>3418.75</c:v>
                </c:pt>
                <c:pt idx="57">
                  <c:v>3479.78125</c:v>
                </c:pt>
                <c:pt idx="58">
                  <c:v>3540.8125</c:v>
                </c:pt>
                <c:pt idx="59">
                  <c:v>3601.84375</c:v>
                </c:pt>
                <c:pt idx="60">
                  <c:v>3662.875</c:v>
                </c:pt>
                <c:pt idx="61">
                  <c:v>3723.90625</c:v>
                </c:pt>
                <c:pt idx="62">
                  <c:v>3784.9375</c:v>
                </c:pt>
                <c:pt idx="63">
                  <c:v>3845.96875</c:v>
                </c:pt>
                <c:pt idx="64">
                  <c:v>3907</c:v>
                </c:pt>
                <c:pt idx="65">
                  <c:v>3968.03125</c:v>
                </c:pt>
                <c:pt idx="66">
                  <c:v>4029.0625</c:v>
                </c:pt>
                <c:pt idx="67">
                  <c:v>4090.09375</c:v>
                </c:pt>
                <c:pt idx="68">
                  <c:v>4151.125</c:v>
                </c:pt>
                <c:pt idx="69">
                  <c:v>4212.15625</c:v>
                </c:pt>
                <c:pt idx="70">
                  <c:v>4273.1875</c:v>
                </c:pt>
                <c:pt idx="71">
                  <c:v>4334.21875</c:v>
                </c:pt>
                <c:pt idx="72">
                  <c:v>4395.25</c:v>
                </c:pt>
                <c:pt idx="73">
                  <c:v>4456.28125</c:v>
                </c:pt>
                <c:pt idx="74">
                  <c:v>4517.3125</c:v>
                </c:pt>
                <c:pt idx="75">
                  <c:v>4578.34375</c:v>
                </c:pt>
                <c:pt idx="76">
                  <c:v>4639.375</c:v>
                </c:pt>
                <c:pt idx="77">
                  <c:v>4700.40625</c:v>
                </c:pt>
                <c:pt idx="78">
                  <c:v>4761.4375</c:v>
                </c:pt>
                <c:pt idx="79">
                  <c:v>4822.46875</c:v>
                </c:pt>
                <c:pt idx="80">
                  <c:v>4883.5</c:v>
                </c:pt>
                <c:pt idx="81">
                  <c:v>4944.53125</c:v>
                </c:pt>
                <c:pt idx="82">
                  <c:v>5005.5625</c:v>
                </c:pt>
                <c:pt idx="83">
                  <c:v>5066.59375</c:v>
                </c:pt>
                <c:pt idx="84">
                  <c:v>5127.625</c:v>
                </c:pt>
                <c:pt idx="85">
                  <c:v>5188.65625</c:v>
                </c:pt>
                <c:pt idx="86">
                  <c:v>5249.6875</c:v>
                </c:pt>
                <c:pt idx="87">
                  <c:v>5310.71875</c:v>
                </c:pt>
                <c:pt idx="88">
                  <c:v>5371.75</c:v>
                </c:pt>
                <c:pt idx="89">
                  <c:v>5432.78125</c:v>
                </c:pt>
                <c:pt idx="90">
                  <c:v>5493.8125</c:v>
                </c:pt>
                <c:pt idx="91">
                  <c:v>5554.84375</c:v>
                </c:pt>
                <c:pt idx="92">
                  <c:v>5615.875</c:v>
                </c:pt>
                <c:pt idx="93">
                  <c:v>5676.90625</c:v>
                </c:pt>
                <c:pt idx="94">
                  <c:v>5737.9375</c:v>
                </c:pt>
                <c:pt idx="95">
                  <c:v>5798.96875</c:v>
                </c:pt>
                <c:pt idx="96">
                  <c:v>5860</c:v>
                </c:pt>
                <c:pt idx="97">
                  <c:v>5921.03125</c:v>
                </c:pt>
                <c:pt idx="98">
                  <c:v>5982.0625</c:v>
                </c:pt>
                <c:pt idx="99">
                  <c:v>6043.09375</c:v>
                </c:pt>
                <c:pt idx="100">
                  <c:v>6104.125</c:v>
                </c:pt>
                <c:pt idx="101">
                  <c:v>6165.15625</c:v>
                </c:pt>
                <c:pt idx="102">
                  <c:v>6226.1875</c:v>
                </c:pt>
                <c:pt idx="103">
                  <c:v>6287.21875</c:v>
                </c:pt>
                <c:pt idx="104">
                  <c:v>6348.25</c:v>
                </c:pt>
                <c:pt idx="105">
                  <c:v>6409.28125</c:v>
                </c:pt>
                <c:pt idx="106">
                  <c:v>6470.3125</c:v>
                </c:pt>
                <c:pt idx="107">
                  <c:v>6531.34375</c:v>
                </c:pt>
                <c:pt idx="108">
                  <c:v>6592.375</c:v>
                </c:pt>
                <c:pt idx="109">
                  <c:v>6653.40625</c:v>
                </c:pt>
                <c:pt idx="110">
                  <c:v>6714.4375</c:v>
                </c:pt>
                <c:pt idx="111">
                  <c:v>6775.46875</c:v>
                </c:pt>
                <c:pt idx="112">
                  <c:v>6836.5</c:v>
                </c:pt>
                <c:pt idx="113">
                  <c:v>6897.53125</c:v>
                </c:pt>
                <c:pt idx="114">
                  <c:v>6958.5625</c:v>
                </c:pt>
                <c:pt idx="115">
                  <c:v>7019.59375</c:v>
                </c:pt>
                <c:pt idx="116">
                  <c:v>7080.625</c:v>
                </c:pt>
                <c:pt idx="117">
                  <c:v>7141.65625</c:v>
                </c:pt>
                <c:pt idx="118">
                  <c:v>7202.6875</c:v>
                </c:pt>
                <c:pt idx="119">
                  <c:v>7263.71875</c:v>
                </c:pt>
                <c:pt idx="120">
                  <c:v>7324.75</c:v>
                </c:pt>
                <c:pt idx="121">
                  <c:v>7385.78125</c:v>
                </c:pt>
                <c:pt idx="122">
                  <c:v>7446.8125</c:v>
                </c:pt>
                <c:pt idx="123">
                  <c:v>7507.84375</c:v>
                </c:pt>
                <c:pt idx="124">
                  <c:v>7568.875</c:v>
                </c:pt>
                <c:pt idx="125">
                  <c:v>7629.90625</c:v>
                </c:pt>
                <c:pt idx="126">
                  <c:v>7690.9375</c:v>
                </c:pt>
                <c:pt idx="127">
                  <c:v>7751.96875</c:v>
                </c:pt>
              </c:numCache>
            </c:numRef>
          </c:xVal>
          <c:yVal>
            <c:numRef>
              <c:f>data!$B$36:$DY$36</c:f>
              <c:numCache>
                <c:formatCode>General</c:formatCode>
                <c:ptCount val="128"/>
                <c:pt idx="0">
                  <c:v>397.80267163500997</c:v>
                </c:pt>
                <c:pt idx="1">
                  <c:v>98.619547253485507</c:v>
                </c:pt>
                <c:pt idx="2">
                  <c:v>101.37126120338399</c:v>
                </c:pt>
                <c:pt idx="3">
                  <c:v>94.538670155615506</c:v>
                </c:pt>
                <c:pt idx="4">
                  <c:v>91.982932521721807</c:v>
                </c:pt>
                <c:pt idx="5">
                  <c:v>95.043216335493597</c:v>
                </c:pt>
                <c:pt idx="6">
                  <c:v>90.086658490803202</c:v>
                </c:pt>
                <c:pt idx="7">
                  <c:v>90.866486242736698</c:v>
                </c:pt>
                <c:pt idx="8">
                  <c:v>86.629915001069705</c:v>
                </c:pt>
                <c:pt idx="9">
                  <c:v>83.791106358625385</c:v>
                </c:pt>
                <c:pt idx="10">
                  <c:v>85.232038123046152</c:v>
                </c:pt>
                <c:pt idx="11">
                  <c:v>82.57523162194741</c:v>
                </c:pt>
                <c:pt idx="12">
                  <c:v>82.493043241281441</c:v>
                </c:pt>
                <c:pt idx="13">
                  <c:v>80.334325892824978</c:v>
                </c:pt>
                <c:pt idx="14">
                  <c:v>79.844128548953435</c:v>
                </c:pt>
                <c:pt idx="15">
                  <c:v>79.626616544818546</c:v>
                </c:pt>
                <c:pt idx="16">
                  <c:v>78.736553918849083</c:v>
                </c:pt>
                <c:pt idx="17">
                  <c:v>80.65392305067833</c:v>
                </c:pt>
                <c:pt idx="18">
                  <c:v>80.983228924064406</c:v>
                </c:pt>
                <c:pt idx="19">
                  <c:v>80.553604984087997</c:v>
                </c:pt>
                <c:pt idx="20">
                  <c:v>81.791375169776202</c:v>
                </c:pt>
                <c:pt idx="21">
                  <c:v>81.202813934059193</c:v>
                </c:pt>
                <c:pt idx="22">
                  <c:v>82.259331755186821</c:v>
                </c:pt>
                <c:pt idx="23">
                  <c:v>82.193862449429957</c:v>
                </c:pt>
                <c:pt idx="24">
                  <c:v>83.085597637434375</c:v>
                </c:pt>
                <c:pt idx="25">
                  <c:v>82.582250123095307</c:v>
                </c:pt>
                <c:pt idx="26">
                  <c:v>83.911551288740625</c:v>
                </c:pt>
                <c:pt idx="27">
                  <c:v>82.984941205118446</c:v>
                </c:pt>
                <c:pt idx="28">
                  <c:v>83.931510272895792</c:v>
                </c:pt>
                <c:pt idx="29">
                  <c:v>83.131904309674312</c:v>
                </c:pt>
                <c:pt idx="30">
                  <c:v>82.487294271747558</c:v>
                </c:pt>
                <c:pt idx="31">
                  <c:v>80.1991035140572</c:v>
                </c:pt>
                <c:pt idx="32">
                  <c:v>77.744665340603049</c:v>
                </c:pt>
                <c:pt idx="33">
                  <c:v>75.091768294924847</c:v>
                </c:pt>
                <c:pt idx="34">
                  <c:v>72.590872531106143</c:v>
                </c:pt>
                <c:pt idx="35">
                  <c:v>70.079816783033635</c:v>
                </c:pt>
                <c:pt idx="36">
                  <c:v>68.049170406264835</c:v>
                </c:pt>
                <c:pt idx="37">
                  <c:v>66.81037170174973</c:v>
                </c:pt>
                <c:pt idx="38">
                  <c:v>66.985686565975953</c:v>
                </c:pt>
                <c:pt idx="39">
                  <c:v>67.416489916434557</c:v>
                </c:pt>
                <c:pt idx="40">
                  <c:v>67.125114307096879</c:v>
                </c:pt>
                <c:pt idx="41">
                  <c:v>66.219411165027992</c:v>
                </c:pt>
                <c:pt idx="42">
                  <c:v>64.840806561809998</c:v>
                </c:pt>
                <c:pt idx="43">
                  <c:v>63.140585096865607</c:v>
                </c:pt>
                <c:pt idx="44">
                  <c:v>61.75446210782372</c:v>
                </c:pt>
                <c:pt idx="45">
                  <c:v>61.438658542536331</c:v>
                </c:pt>
                <c:pt idx="46">
                  <c:v>62.910866575915136</c:v>
                </c:pt>
                <c:pt idx="47">
                  <c:v>65.436617374520807</c:v>
                </c:pt>
                <c:pt idx="48">
                  <c:v>67.916072364528461</c:v>
                </c:pt>
                <c:pt idx="49">
                  <c:v>68.97922820510253</c:v>
                </c:pt>
                <c:pt idx="50">
                  <c:v>68.066739207917692</c:v>
                </c:pt>
                <c:pt idx="51">
                  <c:v>66.289900898243459</c:v>
                </c:pt>
                <c:pt idx="52">
                  <c:v>64.754513557285719</c:v>
                </c:pt>
                <c:pt idx="53">
                  <c:v>62.92606646885978</c:v>
                </c:pt>
                <c:pt idx="54">
                  <c:v>61.720349938000446</c:v>
                </c:pt>
                <c:pt idx="55">
                  <c:v>60.581528464685803</c:v>
                </c:pt>
                <c:pt idx="56">
                  <c:v>59.833031494251422</c:v>
                </c:pt>
                <c:pt idx="57">
                  <c:v>59.153991338108</c:v>
                </c:pt>
                <c:pt idx="58">
                  <c:v>58.093564452805275</c:v>
                </c:pt>
                <c:pt idx="59">
                  <c:v>57.02019164636134</c:v>
                </c:pt>
                <c:pt idx="60">
                  <c:v>56.100323729810114</c:v>
                </c:pt>
                <c:pt idx="61">
                  <c:v>55.10412003023179</c:v>
                </c:pt>
                <c:pt idx="62">
                  <c:v>54.204627871277253</c:v>
                </c:pt>
                <c:pt idx="63">
                  <c:v>53.381847235711533</c:v>
                </c:pt>
                <c:pt idx="64">
                  <c:v>52.513467222956209</c:v>
                </c:pt>
                <c:pt idx="65">
                  <c:v>51.82219892246718</c:v>
                </c:pt>
                <c:pt idx="66">
                  <c:v>51.275196568095147</c:v>
                </c:pt>
                <c:pt idx="67">
                  <c:v>51.09081806417322</c:v>
                </c:pt>
                <c:pt idx="68">
                  <c:v>50.836852506271278</c:v>
                </c:pt>
                <c:pt idx="69">
                  <c:v>50.607753201314445</c:v>
                </c:pt>
                <c:pt idx="70">
                  <c:v>50.078872676565595</c:v>
                </c:pt>
                <c:pt idx="71">
                  <c:v>49.774108998355061</c:v>
                </c:pt>
                <c:pt idx="72">
                  <c:v>49.389119205064318</c:v>
                </c:pt>
                <c:pt idx="73">
                  <c:v>49.108969130659077</c:v>
                </c:pt>
                <c:pt idx="74">
                  <c:v>48.919857009454141</c:v>
                </c:pt>
                <c:pt idx="75">
                  <c:v>49.175351400492403</c:v>
                </c:pt>
                <c:pt idx="76">
                  <c:v>50.173484192830863</c:v>
                </c:pt>
                <c:pt idx="77">
                  <c:v>51.033258072475221</c:v>
                </c:pt>
                <c:pt idx="78">
                  <c:v>50.833750735887577</c:v>
                </c:pt>
                <c:pt idx="79">
                  <c:v>50.828580571918543</c:v>
                </c:pt>
                <c:pt idx="80">
                  <c:v>51.4240429776574</c:v>
                </c:pt>
                <c:pt idx="81">
                  <c:v>52.385384001589756</c:v>
                </c:pt>
                <c:pt idx="82">
                  <c:v>52.100970705971818</c:v>
                </c:pt>
                <c:pt idx="83">
                  <c:v>51.668581232720079</c:v>
                </c:pt>
                <c:pt idx="84">
                  <c:v>51.973134447787146</c:v>
                </c:pt>
                <c:pt idx="85">
                  <c:v>52.785312757602163</c:v>
                </c:pt>
                <c:pt idx="86">
                  <c:v>53.972799335900582</c:v>
                </c:pt>
                <c:pt idx="87">
                  <c:v>54.734793528599901</c:v>
                </c:pt>
                <c:pt idx="88">
                  <c:v>55.16823233741632</c:v>
                </c:pt>
                <c:pt idx="89">
                  <c:v>55.279622676581539</c:v>
                </c:pt>
                <c:pt idx="90">
                  <c:v>55.106509924425765</c:v>
                </c:pt>
                <c:pt idx="91">
                  <c:v>54.902572455103183</c:v>
                </c:pt>
                <c:pt idx="92">
                  <c:v>54.570402195841901</c:v>
                </c:pt>
                <c:pt idx="93">
                  <c:v>54.167539233195718</c:v>
                </c:pt>
                <c:pt idx="94">
                  <c:v>53.485098103947038</c:v>
                </c:pt>
                <c:pt idx="95">
                  <c:v>53.943450216768561</c:v>
                </c:pt>
                <c:pt idx="96">
                  <c:v>54.361978457390578</c:v>
                </c:pt>
                <c:pt idx="97">
                  <c:v>54.808869274389195</c:v>
                </c:pt>
                <c:pt idx="98">
                  <c:v>54.877692119948719</c:v>
                </c:pt>
                <c:pt idx="99">
                  <c:v>55.002931541323932</c:v>
                </c:pt>
                <c:pt idx="100">
                  <c:v>55.129950572998652</c:v>
                </c:pt>
                <c:pt idx="101">
                  <c:v>55.207688746476471</c:v>
                </c:pt>
                <c:pt idx="102">
                  <c:v>55.430798477647095</c:v>
                </c:pt>
                <c:pt idx="103">
                  <c:v>55.72163712200571</c:v>
                </c:pt>
                <c:pt idx="104">
                  <c:v>56.262307900652232</c:v>
                </c:pt>
                <c:pt idx="105">
                  <c:v>56.836560899259901</c:v>
                </c:pt>
                <c:pt idx="106">
                  <c:v>57.486182203489697</c:v>
                </c:pt>
                <c:pt idx="107">
                  <c:v>57.828953396031601</c:v>
                </c:pt>
                <c:pt idx="108">
                  <c:v>57.919076107215197</c:v>
                </c:pt>
                <c:pt idx="109">
                  <c:v>57.973368275567999</c:v>
                </c:pt>
                <c:pt idx="110">
                  <c:v>58.194848198292199</c:v>
                </c:pt>
                <c:pt idx="111">
                  <c:v>58.405438581621503</c:v>
                </c:pt>
                <c:pt idx="112">
                  <c:v>58.807054975979099</c:v>
                </c:pt>
                <c:pt idx="113">
                  <c:v>59.054750273235399</c:v>
                </c:pt>
                <c:pt idx="114">
                  <c:v>59.513666260345801</c:v>
                </c:pt>
                <c:pt idx="115">
                  <c:v>60.001152684862603</c:v>
                </c:pt>
                <c:pt idx="116">
                  <c:v>60.247422647646196</c:v>
                </c:pt>
                <c:pt idx="117">
                  <c:v>60.443329816634801</c:v>
                </c:pt>
                <c:pt idx="118">
                  <c:v>60.657166076110101</c:v>
                </c:pt>
                <c:pt idx="119">
                  <c:v>61.028518313294299</c:v>
                </c:pt>
                <c:pt idx="120">
                  <c:v>61.444789871723501</c:v>
                </c:pt>
                <c:pt idx="121">
                  <c:v>62.523079710992697</c:v>
                </c:pt>
                <c:pt idx="122">
                  <c:v>63.604031250773602</c:v>
                </c:pt>
                <c:pt idx="123">
                  <c:v>65.059424174237591</c:v>
                </c:pt>
                <c:pt idx="124">
                  <c:v>66.417080544931707</c:v>
                </c:pt>
                <c:pt idx="125">
                  <c:v>67.9704567651128</c:v>
                </c:pt>
                <c:pt idx="126">
                  <c:v>69.221428537132098</c:v>
                </c:pt>
                <c:pt idx="127">
                  <c:v>71.857890248119503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data!$A$37</c:f>
              <c:strCache>
                <c:ptCount val="1"/>
                <c:pt idx="0">
                  <c:v>B70_BT_P6_337_rear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data!$B$31:$DY$31</c:f>
              <c:numCache>
                <c:formatCode>General</c:formatCode>
                <c:ptCount val="128"/>
                <c:pt idx="0">
                  <c:v>1</c:v>
                </c:pt>
                <c:pt idx="1">
                  <c:v>62.03125</c:v>
                </c:pt>
                <c:pt idx="2">
                  <c:v>123.0625</c:v>
                </c:pt>
                <c:pt idx="3">
                  <c:v>184.09375</c:v>
                </c:pt>
                <c:pt idx="4">
                  <c:v>245.125</c:v>
                </c:pt>
                <c:pt idx="5">
                  <c:v>306.15625</c:v>
                </c:pt>
                <c:pt idx="6">
                  <c:v>367.1875</c:v>
                </c:pt>
                <c:pt idx="7">
                  <c:v>428.21875</c:v>
                </c:pt>
                <c:pt idx="8">
                  <c:v>489.25</c:v>
                </c:pt>
                <c:pt idx="9">
                  <c:v>550.28125</c:v>
                </c:pt>
                <c:pt idx="10">
                  <c:v>611.3125</c:v>
                </c:pt>
                <c:pt idx="11">
                  <c:v>672.34375</c:v>
                </c:pt>
                <c:pt idx="12">
                  <c:v>733.375</c:v>
                </c:pt>
                <c:pt idx="13">
                  <c:v>794.40625</c:v>
                </c:pt>
                <c:pt idx="14">
                  <c:v>855.4375</c:v>
                </c:pt>
                <c:pt idx="15">
                  <c:v>916.46875</c:v>
                </c:pt>
                <c:pt idx="16">
                  <c:v>977.5</c:v>
                </c:pt>
                <c:pt idx="17">
                  <c:v>1038.53125</c:v>
                </c:pt>
                <c:pt idx="18">
                  <c:v>1099.5625</c:v>
                </c:pt>
                <c:pt idx="19">
                  <c:v>1160.59375</c:v>
                </c:pt>
                <c:pt idx="20">
                  <c:v>1221.625</c:v>
                </c:pt>
                <c:pt idx="21">
                  <c:v>1282.65625</c:v>
                </c:pt>
                <c:pt idx="22">
                  <c:v>1343.6875</c:v>
                </c:pt>
                <c:pt idx="23">
                  <c:v>1404.71875</c:v>
                </c:pt>
                <c:pt idx="24">
                  <c:v>1465.75</c:v>
                </c:pt>
                <c:pt idx="25">
                  <c:v>1526.78125</c:v>
                </c:pt>
                <c:pt idx="26">
                  <c:v>1587.8125</c:v>
                </c:pt>
                <c:pt idx="27">
                  <c:v>1648.84375</c:v>
                </c:pt>
                <c:pt idx="28">
                  <c:v>1709.875</c:v>
                </c:pt>
                <c:pt idx="29">
                  <c:v>1770.90625</c:v>
                </c:pt>
                <c:pt idx="30">
                  <c:v>1831.9375</c:v>
                </c:pt>
                <c:pt idx="31">
                  <c:v>1892.96875</c:v>
                </c:pt>
                <c:pt idx="32">
                  <c:v>1954</c:v>
                </c:pt>
                <c:pt idx="33">
                  <c:v>2015.03125</c:v>
                </c:pt>
                <c:pt idx="34">
                  <c:v>2076.0625</c:v>
                </c:pt>
                <c:pt idx="35">
                  <c:v>2137.09375</c:v>
                </c:pt>
                <c:pt idx="36">
                  <c:v>2198.125</c:v>
                </c:pt>
                <c:pt idx="37">
                  <c:v>2259.15625</c:v>
                </c:pt>
                <c:pt idx="38">
                  <c:v>2320.1875</c:v>
                </c:pt>
                <c:pt idx="39">
                  <c:v>2381.21875</c:v>
                </c:pt>
                <c:pt idx="40">
                  <c:v>2442.25</c:v>
                </c:pt>
                <c:pt idx="41">
                  <c:v>2503.28125</c:v>
                </c:pt>
                <c:pt idx="42">
                  <c:v>2564.3125</c:v>
                </c:pt>
                <c:pt idx="43">
                  <c:v>2625.34375</c:v>
                </c:pt>
                <c:pt idx="44">
                  <c:v>2686.375</c:v>
                </c:pt>
                <c:pt idx="45">
                  <c:v>2747.40625</c:v>
                </c:pt>
                <c:pt idx="46">
                  <c:v>2808.4375</c:v>
                </c:pt>
                <c:pt idx="47">
                  <c:v>2869.46875</c:v>
                </c:pt>
                <c:pt idx="48">
                  <c:v>2930.5</c:v>
                </c:pt>
                <c:pt idx="49">
                  <c:v>2991.53125</c:v>
                </c:pt>
                <c:pt idx="50">
                  <c:v>3052.5625</c:v>
                </c:pt>
                <c:pt idx="51">
                  <c:v>3113.59375</c:v>
                </c:pt>
                <c:pt idx="52">
                  <c:v>3174.625</c:v>
                </c:pt>
                <c:pt idx="53">
                  <c:v>3235.65625</c:v>
                </c:pt>
                <c:pt idx="54">
                  <c:v>3296.6875</c:v>
                </c:pt>
                <c:pt idx="55">
                  <c:v>3357.71875</c:v>
                </c:pt>
                <c:pt idx="56">
                  <c:v>3418.75</c:v>
                </c:pt>
                <c:pt idx="57">
                  <c:v>3479.78125</c:v>
                </c:pt>
                <c:pt idx="58">
                  <c:v>3540.8125</c:v>
                </c:pt>
                <c:pt idx="59">
                  <c:v>3601.84375</c:v>
                </c:pt>
                <c:pt idx="60">
                  <c:v>3662.875</c:v>
                </c:pt>
                <c:pt idx="61">
                  <c:v>3723.90625</c:v>
                </c:pt>
                <c:pt idx="62">
                  <c:v>3784.9375</c:v>
                </c:pt>
                <c:pt idx="63">
                  <c:v>3845.96875</c:v>
                </c:pt>
                <c:pt idx="64">
                  <c:v>3907</c:v>
                </c:pt>
                <c:pt idx="65">
                  <c:v>3968.03125</c:v>
                </c:pt>
                <c:pt idx="66">
                  <c:v>4029.0625</c:v>
                </c:pt>
                <c:pt idx="67">
                  <c:v>4090.09375</c:v>
                </c:pt>
                <c:pt idx="68">
                  <c:v>4151.125</c:v>
                </c:pt>
                <c:pt idx="69">
                  <c:v>4212.15625</c:v>
                </c:pt>
                <c:pt idx="70">
                  <c:v>4273.1875</c:v>
                </c:pt>
                <c:pt idx="71">
                  <c:v>4334.21875</c:v>
                </c:pt>
                <c:pt idx="72">
                  <c:v>4395.25</c:v>
                </c:pt>
                <c:pt idx="73">
                  <c:v>4456.28125</c:v>
                </c:pt>
                <c:pt idx="74">
                  <c:v>4517.3125</c:v>
                </c:pt>
                <c:pt idx="75">
                  <c:v>4578.34375</c:v>
                </c:pt>
                <c:pt idx="76">
                  <c:v>4639.375</c:v>
                </c:pt>
                <c:pt idx="77">
                  <c:v>4700.40625</c:v>
                </c:pt>
                <c:pt idx="78">
                  <c:v>4761.4375</c:v>
                </c:pt>
                <c:pt idx="79">
                  <c:v>4822.46875</c:v>
                </c:pt>
                <c:pt idx="80">
                  <c:v>4883.5</c:v>
                </c:pt>
                <c:pt idx="81">
                  <c:v>4944.53125</c:v>
                </c:pt>
                <c:pt idx="82">
                  <c:v>5005.5625</c:v>
                </c:pt>
                <c:pt idx="83">
                  <c:v>5066.59375</c:v>
                </c:pt>
                <c:pt idx="84">
                  <c:v>5127.625</c:v>
                </c:pt>
                <c:pt idx="85">
                  <c:v>5188.65625</c:v>
                </c:pt>
                <c:pt idx="86">
                  <c:v>5249.6875</c:v>
                </c:pt>
                <c:pt idx="87">
                  <c:v>5310.71875</c:v>
                </c:pt>
                <c:pt idx="88">
                  <c:v>5371.75</c:v>
                </c:pt>
                <c:pt idx="89">
                  <c:v>5432.78125</c:v>
                </c:pt>
                <c:pt idx="90">
                  <c:v>5493.8125</c:v>
                </c:pt>
                <c:pt idx="91">
                  <c:v>5554.84375</c:v>
                </c:pt>
                <c:pt idx="92">
                  <c:v>5615.875</c:v>
                </c:pt>
                <c:pt idx="93">
                  <c:v>5676.90625</c:v>
                </c:pt>
                <c:pt idx="94">
                  <c:v>5737.9375</c:v>
                </c:pt>
                <c:pt idx="95">
                  <c:v>5798.96875</c:v>
                </c:pt>
                <c:pt idx="96">
                  <c:v>5860</c:v>
                </c:pt>
                <c:pt idx="97">
                  <c:v>5921.03125</c:v>
                </c:pt>
                <c:pt idx="98">
                  <c:v>5982.0625</c:v>
                </c:pt>
                <c:pt idx="99">
                  <c:v>6043.09375</c:v>
                </c:pt>
                <c:pt idx="100">
                  <c:v>6104.125</c:v>
                </c:pt>
                <c:pt idx="101">
                  <c:v>6165.15625</c:v>
                </c:pt>
                <c:pt idx="102">
                  <c:v>6226.1875</c:v>
                </c:pt>
                <c:pt idx="103">
                  <c:v>6287.21875</c:v>
                </c:pt>
                <c:pt idx="104">
                  <c:v>6348.25</c:v>
                </c:pt>
                <c:pt idx="105">
                  <c:v>6409.28125</c:v>
                </c:pt>
                <c:pt idx="106">
                  <c:v>6470.3125</c:v>
                </c:pt>
                <c:pt idx="107">
                  <c:v>6531.34375</c:v>
                </c:pt>
                <c:pt idx="108">
                  <c:v>6592.375</c:v>
                </c:pt>
                <c:pt idx="109">
                  <c:v>6653.40625</c:v>
                </c:pt>
                <c:pt idx="110">
                  <c:v>6714.4375</c:v>
                </c:pt>
                <c:pt idx="111">
                  <c:v>6775.46875</c:v>
                </c:pt>
                <c:pt idx="112">
                  <c:v>6836.5</c:v>
                </c:pt>
                <c:pt idx="113">
                  <c:v>6897.53125</c:v>
                </c:pt>
                <c:pt idx="114">
                  <c:v>6958.5625</c:v>
                </c:pt>
                <c:pt idx="115">
                  <c:v>7019.59375</c:v>
                </c:pt>
                <c:pt idx="116">
                  <c:v>7080.625</c:v>
                </c:pt>
                <c:pt idx="117">
                  <c:v>7141.65625</c:v>
                </c:pt>
                <c:pt idx="118">
                  <c:v>7202.6875</c:v>
                </c:pt>
                <c:pt idx="119">
                  <c:v>7263.71875</c:v>
                </c:pt>
                <c:pt idx="120">
                  <c:v>7324.75</c:v>
                </c:pt>
                <c:pt idx="121">
                  <c:v>7385.78125</c:v>
                </c:pt>
                <c:pt idx="122">
                  <c:v>7446.8125</c:v>
                </c:pt>
                <c:pt idx="123">
                  <c:v>7507.84375</c:v>
                </c:pt>
                <c:pt idx="124">
                  <c:v>7568.875</c:v>
                </c:pt>
                <c:pt idx="125">
                  <c:v>7629.90625</c:v>
                </c:pt>
                <c:pt idx="126">
                  <c:v>7690.9375</c:v>
                </c:pt>
                <c:pt idx="127">
                  <c:v>7751.96875</c:v>
                </c:pt>
              </c:numCache>
            </c:numRef>
          </c:xVal>
          <c:yVal>
            <c:numRef>
              <c:f>data!$B$37:$DY$37</c:f>
              <c:numCache>
                <c:formatCode>General</c:formatCode>
                <c:ptCount val="128"/>
                <c:pt idx="0">
                  <c:v>407.814718646394</c:v>
                </c:pt>
                <c:pt idx="1">
                  <c:v>99.673586660046695</c:v>
                </c:pt>
                <c:pt idx="2">
                  <c:v>96.626168833940397</c:v>
                </c:pt>
                <c:pt idx="3">
                  <c:v>104.17014043442521</c:v>
                </c:pt>
                <c:pt idx="4">
                  <c:v>95.982782831132596</c:v>
                </c:pt>
                <c:pt idx="5">
                  <c:v>90.521837416971394</c:v>
                </c:pt>
                <c:pt idx="6">
                  <c:v>98.675237230752501</c:v>
                </c:pt>
                <c:pt idx="7">
                  <c:v>98.581672298557393</c:v>
                </c:pt>
                <c:pt idx="8">
                  <c:v>96.934526268110901</c:v>
                </c:pt>
                <c:pt idx="9">
                  <c:v>99.343402035780286</c:v>
                </c:pt>
                <c:pt idx="10">
                  <c:v>91.781052433483651</c:v>
                </c:pt>
                <c:pt idx="11">
                  <c:v>91.515445606360004</c:v>
                </c:pt>
                <c:pt idx="12">
                  <c:v>92.47140041061833</c:v>
                </c:pt>
                <c:pt idx="13">
                  <c:v>89.324210032079378</c:v>
                </c:pt>
                <c:pt idx="14">
                  <c:v>86.609051664102239</c:v>
                </c:pt>
                <c:pt idx="15">
                  <c:v>87.489252774715254</c:v>
                </c:pt>
                <c:pt idx="16">
                  <c:v>90.741886049672985</c:v>
                </c:pt>
                <c:pt idx="17">
                  <c:v>88.891613949724729</c:v>
                </c:pt>
                <c:pt idx="18">
                  <c:v>87.485472224428804</c:v>
                </c:pt>
                <c:pt idx="19">
                  <c:v>86.836161436274594</c:v>
                </c:pt>
                <c:pt idx="20">
                  <c:v>87.3571750904038</c:v>
                </c:pt>
                <c:pt idx="21">
                  <c:v>85.177585825276594</c:v>
                </c:pt>
                <c:pt idx="22">
                  <c:v>85.063133556182521</c:v>
                </c:pt>
                <c:pt idx="23">
                  <c:v>82.920522758179757</c:v>
                </c:pt>
                <c:pt idx="24">
                  <c:v>81.664991164157968</c:v>
                </c:pt>
                <c:pt idx="25">
                  <c:v>80.400672839583606</c:v>
                </c:pt>
                <c:pt idx="26">
                  <c:v>78.883249910815238</c:v>
                </c:pt>
                <c:pt idx="27">
                  <c:v>77.640598888867146</c:v>
                </c:pt>
                <c:pt idx="28">
                  <c:v>76.817873003615489</c:v>
                </c:pt>
                <c:pt idx="29">
                  <c:v>75.400684575637527</c:v>
                </c:pt>
                <c:pt idx="30">
                  <c:v>74.160728661241762</c:v>
                </c:pt>
                <c:pt idx="31">
                  <c:v>72.835837032879098</c:v>
                </c:pt>
                <c:pt idx="32">
                  <c:v>71.038813889671047</c:v>
                </c:pt>
                <c:pt idx="33">
                  <c:v>69.439725954936051</c:v>
                </c:pt>
                <c:pt idx="34">
                  <c:v>68.165553193461051</c:v>
                </c:pt>
                <c:pt idx="35">
                  <c:v>66.704666533487639</c:v>
                </c:pt>
                <c:pt idx="36">
                  <c:v>65.399770633163442</c:v>
                </c:pt>
                <c:pt idx="37">
                  <c:v>64.657435514763037</c:v>
                </c:pt>
                <c:pt idx="38">
                  <c:v>64.350000202794249</c:v>
                </c:pt>
                <c:pt idx="39">
                  <c:v>64.216991692803859</c:v>
                </c:pt>
                <c:pt idx="40">
                  <c:v>63.54473081030217</c:v>
                </c:pt>
                <c:pt idx="41">
                  <c:v>62.933867192706884</c:v>
                </c:pt>
                <c:pt idx="42">
                  <c:v>62.441613381003194</c:v>
                </c:pt>
                <c:pt idx="43">
                  <c:v>62.320080614295108</c:v>
                </c:pt>
                <c:pt idx="44">
                  <c:v>62.492319193360622</c:v>
                </c:pt>
                <c:pt idx="45">
                  <c:v>63.227286824259934</c:v>
                </c:pt>
                <c:pt idx="46">
                  <c:v>63.717212128306137</c:v>
                </c:pt>
                <c:pt idx="47">
                  <c:v>64.023077381115897</c:v>
                </c:pt>
                <c:pt idx="48">
                  <c:v>63.797570533361764</c:v>
                </c:pt>
                <c:pt idx="49">
                  <c:v>62.910083591582222</c:v>
                </c:pt>
                <c:pt idx="50">
                  <c:v>62.191175212873588</c:v>
                </c:pt>
                <c:pt idx="51">
                  <c:v>61.27311513354455</c:v>
                </c:pt>
                <c:pt idx="52">
                  <c:v>60.376422531907117</c:v>
                </c:pt>
                <c:pt idx="53">
                  <c:v>59.563570026193581</c:v>
                </c:pt>
                <c:pt idx="54">
                  <c:v>58.449716446434444</c:v>
                </c:pt>
                <c:pt idx="55">
                  <c:v>57.134287001731906</c:v>
                </c:pt>
                <c:pt idx="56">
                  <c:v>56.33160140643642</c:v>
                </c:pt>
                <c:pt idx="57">
                  <c:v>55.6997463102079</c:v>
                </c:pt>
                <c:pt idx="58">
                  <c:v>55.298077929563775</c:v>
                </c:pt>
                <c:pt idx="59">
                  <c:v>54.811266114592236</c:v>
                </c:pt>
                <c:pt idx="60">
                  <c:v>54.573544291690617</c:v>
                </c:pt>
                <c:pt idx="61">
                  <c:v>54.332792021814988</c:v>
                </c:pt>
                <c:pt idx="62">
                  <c:v>54.221554719082064</c:v>
                </c:pt>
                <c:pt idx="63">
                  <c:v>54.243463739667732</c:v>
                </c:pt>
                <c:pt idx="64">
                  <c:v>54.219490738812205</c:v>
                </c:pt>
                <c:pt idx="65">
                  <c:v>54.442019402575781</c:v>
                </c:pt>
                <c:pt idx="66">
                  <c:v>54.537242944895645</c:v>
                </c:pt>
                <c:pt idx="67">
                  <c:v>54.081286861118222</c:v>
                </c:pt>
                <c:pt idx="68">
                  <c:v>53.777596190240779</c:v>
                </c:pt>
                <c:pt idx="69">
                  <c:v>54.114236976735441</c:v>
                </c:pt>
                <c:pt idx="70">
                  <c:v>54.945687947123098</c:v>
                </c:pt>
                <c:pt idx="71">
                  <c:v>55.650216162344357</c:v>
                </c:pt>
                <c:pt idx="72">
                  <c:v>56.476221111358221</c:v>
                </c:pt>
                <c:pt idx="73">
                  <c:v>57.702593659588373</c:v>
                </c:pt>
                <c:pt idx="74">
                  <c:v>58.217121107171437</c:v>
                </c:pt>
                <c:pt idx="75">
                  <c:v>59.909333912688297</c:v>
                </c:pt>
                <c:pt idx="76">
                  <c:v>62.668688510548066</c:v>
                </c:pt>
                <c:pt idx="77">
                  <c:v>60.975220557495419</c:v>
                </c:pt>
                <c:pt idx="78">
                  <c:v>59.624686469861381</c:v>
                </c:pt>
                <c:pt idx="79">
                  <c:v>61.468311811957442</c:v>
                </c:pt>
                <c:pt idx="80">
                  <c:v>65.824476999037401</c:v>
                </c:pt>
                <c:pt idx="81">
                  <c:v>59.536923084832459</c:v>
                </c:pt>
                <c:pt idx="82">
                  <c:v>55.905943269313518</c:v>
                </c:pt>
                <c:pt idx="83">
                  <c:v>55.21920344321628</c:v>
                </c:pt>
                <c:pt idx="84">
                  <c:v>56.649509577543448</c:v>
                </c:pt>
                <c:pt idx="85">
                  <c:v>60.721923655797163</c:v>
                </c:pt>
                <c:pt idx="86">
                  <c:v>65.924832826210491</c:v>
                </c:pt>
                <c:pt idx="87">
                  <c:v>63.066251977266099</c:v>
                </c:pt>
                <c:pt idx="88">
                  <c:v>61.492731834797119</c:v>
                </c:pt>
                <c:pt idx="89">
                  <c:v>60.798501007955636</c:v>
                </c:pt>
                <c:pt idx="90">
                  <c:v>60.029570909736961</c:v>
                </c:pt>
                <c:pt idx="91">
                  <c:v>59.59307000669618</c:v>
                </c:pt>
                <c:pt idx="92">
                  <c:v>58.852874232479103</c:v>
                </c:pt>
                <c:pt idx="93">
                  <c:v>58.489544690065017</c:v>
                </c:pt>
                <c:pt idx="94">
                  <c:v>59.105134069883839</c:v>
                </c:pt>
                <c:pt idx="95">
                  <c:v>60.958272959708161</c:v>
                </c:pt>
                <c:pt idx="96">
                  <c:v>60.749716602767975</c:v>
                </c:pt>
                <c:pt idx="97">
                  <c:v>59.953400894265798</c:v>
                </c:pt>
                <c:pt idx="98">
                  <c:v>59.162771891705617</c:v>
                </c:pt>
                <c:pt idx="99">
                  <c:v>58.758764138122736</c:v>
                </c:pt>
                <c:pt idx="100">
                  <c:v>58.803252166700553</c:v>
                </c:pt>
                <c:pt idx="101">
                  <c:v>58.972058045802171</c:v>
                </c:pt>
                <c:pt idx="102">
                  <c:v>59.413902058210091</c:v>
                </c:pt>
                <c:pt idx="103">
                  <c:v>59.729697677053409</c:v>
                </c:pt>
                <c:pt idx="104">
                  <c:v>60.495205640652927</c:v>
                </c:pt>
                <c:pt idx="105">
                  <c:v>61.207919947944703</c:v>
                </c:pt>
                <c:pt idx="106">
                  <c:v>62.232264550851198</c:v>
                </c:pt>
                <c:pt idx="107">
                  <c:v>62.892268450291802</c:v>
                </c:pt>
                <c:pt idx="108">
                  <c:v>63.337619446287199</c:v>
                </c:pt>
                <c:pt idx="109">
                  <c:v>63.614362097857999</c:v>
                </c:pt>
                <c:pt idx="110">
                  <c:v>64.591330917584301</c:v>
                </c:pt>
                <c:pt idx="111">
                  <c:v>65.691278672380207</c:v>
                </c:pt>
                <c:pt idx="112">
                  <c:v>66.590371462169699</c:v>
                </c:pt>
                <c:pt idx="113">
                  <c:v>67.767679259074697</c:v>
                </c:pt>
                <c:pt idx="114">
                  <c:v>68.702065089522307</c:v>
                </c:pt>
                <c:pt idx="115">
                  <c:v>69.730562820133301</c:v>
                </c:pt>
                <c:pt idx="116">
                  <c:v>70.057032155744096</c:v>
                </c:pt>
                <c:pt idx="117">
                  <c:v>69.491587065198104</c:v>
                </c:pt>
                <c:pt idx="118">
                  <c:v>69.609263071159702</c:v>
                </c:pt>
                <c:pt idx="119">
                  <c:v>68.252562965592602</c:v>
                </c:pt>
                <c:pt idx="120">
                  <c:v>67.586126835635199</c:v>
                </c:pt>
                <c:pt idx="121">
                  <c:v>67.877403869840094</c:v>
                </c:pt>
                <c:pt idx="122">
                  <c:v>68.741120109713989</c:v>
                </c:pt>
                <c:pt idx="123">
                  <c:v>70.335776593141404</c:v>
                </c:pt>
                <c:pt idx="124">
                  <c:v>72.128758420528399</c:v>
                </c:pt>
                <c:pt idx="125">
                  <c:v>73.774284480002606</c:v>
                </c:pt>
                <c:pt idx="126">
                  <c:v>76.332678186634496</c:v>
                </c:pt>
                <c:pt idx="127">
                  <c:v>79.738775948055903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data!$A$38</c:f>
              <c:strCache>
                <c:ptCount val="1"/>
                <c:pt idx="0">
                  <c:v>B70_BT_P6_337_NewFoam_front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data!$B$31:$DY$31</c:f>
              <c:numCache>
                <c:formatCode>General</c:formatCode>
                <c:ptCount val="128"/>
                <c:pt idx="0">
                  <c:v>1</c:v>
                </c:pt>
                <c:pt idx="1">
                  <c:v>62.03125</c:v>
                </c:pt>
                <c:pt idx="2">
                  <c:v>123.0625</c:v>
                </c:pt>
                <c:pt idx="3">
                  <c:v>184.09375</c:v>
                </c:pt>
                <c:pt idx="4">
                  <c:v>245.125</c:v>
                </c:pt>
                <c:pt idx="5">
                  <c:v>306.15625</c:v>
                </c:pt>
                <c:pt idx="6">
                  <c:v>367.1875</c:v>
                </c:pt>
                <c:pt idx="7">
                  <c:v>428.21875</c:v>
                </c:pt>
                <c:pt idx="8">
                  <c:v>489.25</c:v>
                </c:pt>
                <c:pt idx="9">
                  <c:v>550.28125</c:v>
                </c:pt>
                <c:pt idx="10">
                  <c:v>611.3125</c:v>
                </c:pt>
                <c:pt idx="11">
                  <c:v>672.34375</c:v>
                </c:pt>
                <c:pt idx="12">
                  <c:v>733.375</c:v>
                </c:pt>
                <c:pt idx="13">
                  <c:v>794.40625</c:v>
                </c:pt>
                <c:pt idx="14">
                  <c:v>855.4375</c:v>
                </c:pt>
                <c:pt idx="15">
                  <c:v>916.46875</c:v>
                </c:pt>
                <c:pt idx="16">
                  <c:v>977.5</c:v>
                </c:pt>
                <c:pt idx="17">
                  <c:v>1038.53125</c:v>
                </c:pt>
                <c:pt idx="18">
                  <c:v>1099.5625</c:v>
                </c:pt>
                <c:pt idx="19">
                  <c:v>1160.59375</c:v>
                </c:pt>
                <c:pt idx="20">
                  <c:v>1221.625</c:v>
                </c:pt>
                <c:pt idx="21">
                  <c:v>1282.65625</c:v>
                </c:pt>
                <c:pt idx="22">
                  <c:v>1343.6875</c:v>
                </c:pt>
                <c:pt idx="23">
                  <c:v>1404.71875</c:v>
                </c:pt>
                <c:pt idx="24">
                  <c:v>1465.75</c:v>
                </c:pt>
                <c:pt idx="25">
                  <c:v>1526.78125</c:v>
                </c:pt>
                <c:pt idx="26">
                  <c:v>1587.8125</c:v>
                </c:pt>
                <c:pt idx="27">
                  <c:v>1648.84375</c:v>
                </c:pt>
                <c:pt idx="28">
                  <c:v>1709.875</c:v>
                </c:pt>
                <c:pt idx="29">
                  <c:v>1770.90625</c:v>
                </c:pt>
                <c:pt idx="30">
                  <c:v>1831.9375</c:v>
                </c:pt>
                <c:pt idx="31">
                  <c:v>1892.96875</c:v>
                </c:pt>
                <c:pt idx="32">
                  <c:v>1954</c:v>
                </c:pt>
                <c:pt idx="33">
                  <c:v>2015.03125</c:v>
                </c:pt>
                <c:pt idx="34">
                  <c:v>2076.0625</c:v>
                </c:pt>
                <c:pt idx="35">
                  <c:v>2137.09375</c:v>
                </c:pt>
                <c:pt idx="36">
                  <c:v>2198.125</c:v>
                </c:pt>
                <c:pt idx="37">
                  <c:v>2259.15625</c:v>
                </c:pt>
                <c:pt idx="38">
                  <c:v>2320.1875</c:v>
                </c:pt>
                <c:pt idx="39">
                  <c:v>2381.21875</c:v>
                </c:pt>
                <c:pt idx="40">
                  <c:v>2442.25</c:v>
                </c:pt>
                <c:pt idx="41">
                  <c:v>2503.28125</c:v>
                </c:pt>
                <c:pt idx="42">
                  <c:v>2564.3125</c:v>
                </c:pt>
                <c:pt idx="43">
                  <c:v>2625.34375</c:v>
                </c:pt>
                <c:pt idx="44">
                  <c:v>2686.375</c:v>
                </c:pt>
                <c:pt idx="45">
                  <c:v>2747.40625</c:v>
                </c:pt>
                <c:pt idx="46">
                  <c:v>2808.4375</c:v>
                </c:pt>
                <c:pt idx="47">
                  <c:v>2869.46875</c:v>
                </c:pt>
                <c:pt idx="48">
                  <c:v>2930.5</c:v>
                </c:pt>
                <c:pt idx="49">
                  <c:v>2991.53125</c:v>
                </c:pt>
                <c:pt idx="50">
                  <c:v>3052.5625</c:v>
                </c:pt>
                <c:pt idx="51">
                  <c:v>3113.59375</c:v>
                </c:pt>
                <c:pt idx="52">
                  <c:v>3174.625</c:v>
                </c:pt>
                <c:pt idx="53">
                  <c:v>3235.65625</c:v>
                </c:pt>
                <c:pt idx="54">
                  <c:v>3296.6875</c:v>
                </c:pt>
                <c:pt idx="55">
                  <c:v>3357.71875</c:v>
                </c:pt>
                <c:pt idx="56">
                  <c:v>3418.75</c:v>
                </c:pt>
                <c:pt idx="57">
                  <c:v>3479.78125</c:v>
                </c:pt>
                <c:pt idx="58">
                  <c:v>3540.8125</c:v>
                </c:pt>
                <c:pt idx="59">
                  <c:v>3601.84375</c:v>
                </c:pt>
                <c:pt idx="60">
                  <c:v>3662.875</c:v>
                </c:pt>
                <c:pt idx="61">
                  <c:v>3723.90625</c:v>
                </c:pt>
                <c:pt idx="62">
                  <c:v>3784.9375</c:v>
                </c:pt>
                <c:pt idx="63">
                  <c:v>3845.96875</c:v>
                </c:pt>
                <c:pt idx="64">
                  <c:v>3907</c:v>
                </c:pt>
                <c:pt idx="65">
                  <c:v>3968.03125</c:v>
                </c:pt>
                <c:pt idx="66">
                  <c:v>4029.0625</c:v>
                </c:pt>
                <c:pt idx="67">
                  <c:v>4090.09375</c:v>
                </c:pt>
                <c:pt idx="68">
                  <c:v>4151.125</c:v>
                </c:pt>
                <c:pt idx="69">
                  <c:v>4212.15625</c:v>
                </c:pt>
                <c:pt idx="70">
                  <c:v>4273.1875</c:v>
                </c:pt>
                <c:pt idx="71">
                  <c:v>4334.21875</c:v>
                </c:pt>
                <c:pt idx="72">
                  <c:v>4395.25</c:v>
                </c:pt>
                <c:pt idx="73">
                  <c:v>4456.28125</c:v>
                </c:pt>
                <c:pt idx="74">
                  <c:v>4517.3125</c:v>
                </c:pt>
                <c:pt idx="75">
                  <c:v>4578.34375</c:v>
                </c:pt>
                <c:pt idx="76">
                  <c:v>4639.375</c:v>
                </c:pt>
                <c:pt idx="77">
                  <c:v>4700.40625</c:v>
                </c:pt>
                <c:pt idx="78">
                  <c:v>4761.4375</c:v>
                </c:pt>
                <c:pt idx="79">
                  <c:v>4822.46875</c:v>
                </c:pt>
                <c:pt idx="80">
                  <c:v>4883.5</c:v>
                </c:pt>
                <c:pt idx="81">
                  <c:v>4944.53125</c:v>
                </c:pt>
                <c:pt idx="82">
                  <c:v>5005.5625</c:v>
                </c:pt>
                <c:pt idx="83">
                  <c:v>5066.59375</c:v>
                </c:pt>
                <c:pt idx="84">
                  <c:v>5127.625</c:v>
                </c:pt>
                <c:pt idx="85">
                  <c:v>5188.65625</c:v>
                </c:pt>
                <c:pt idx="86">
                  <c:v>5249.6875</c:v>
                </c:pt>
                <c:pt idx="87">
                  <c:v>5310.71875</c:v>
                </c:pt>
                <c:pt idx="88">
                  <c:v>5371.75</c:v>
                </c:pt>
                <c:pt idx="89">
                  <c:v>5432.78125</c:v>
                </c:pt>
                <c:pt idx="90">
                  <c:v>5493.8125</c:v>
                </c:pt>
                <c:pt idx="91">
                  <c:v>5554.84375</c:v>
                </c:pt>
                <c:pt idx="92">
                  <c:v>5615.875</c:v>
                </c:pt>
                <c:pt idx="93">
                  <c:v>5676.90625</c:v>
                </c:pt>
                <c:pt idx="94">
                  <c:v>5737.9375</c:v>
                </c:pt>
                <c:pt idx="95">
                  <c:v>5798.96875</c:v>
                </c:pt>
                <c:pt idx="96">
                  <c:v>5860</c:v>
                </c:pt>
                <c:pt idx="97">
                  <c:v>5921.03125</c:v>
                </c:pt>
                <c:pt idx="98">
                  <c:v>5982.0625</c:v>
                </c:pt>
                <c:pt idx="99">
                  <c:v>6043.09375</c:v>
                </c:pt>
                <c:pt idx="100">
                  <c:v>6104.125</c:v>
                </c:pt>
                <c:pt idx="101">
                  <c:v>6165.15625</c:v>
                </c:pt>
                <c:pt idx="102">
                  <c:v>6226.1875</c:v>
                </c:pt>
                <c:pt idx="103">
                  <c:v>6287.21875</c:v>
                </c:pt>
                <c:pt idx="104">
                  <c:v>6348.25</c:v>
                </c:pt>
                <c:pt idx="105">
                  <c:v>6409.28125</c:v>
                </c:pt>
                <c:pt idx="106">
                  <c:v>6470.3125</c:v>
                </c:pt>
                <c:pt idx="107">
                  <c:v>6531.34375</c:v>
                </c:pt>
                <c:pt idx="108">
                  <c:v>6592.375</c:v>
                </c:pt>
                <c:pt idx="109">
                  <c:v>6653.40625</c:v>
                </c:pt>
                <c:pt idx="110">
                  <c:v>6714.4375</c:v>
                </c:pt>
                <c:pt idx="111">
                  <c:v>6775.46875</c:v>
                </c:pt>
                <c:pt idx="112">
                  <c:v>6836.5</c:v>
                </c:pt>
                <c:pt idx="113">
                  <c:v>6897.53125</c:v>
                </c:pt>
                <c:pt idx="114">
                  <c:v>6958.5625</c:v>
                </c:pt>
                <c:pt idx="115">
                  <c:v>7019.59375</c:v>
                </c:pt>
                <c:pt idx="116">
                  <c:v>7080.625</c:v>
                </c:pt>
                <c:pt idx="117">
                  <c:v>7141.65625</c:v>
                </c:pt>
                <c:pt idx="118">
                  <c:v>7202.6875</c:v>
                </c:pt>
                <c:pt idx="119">
                  <c:v>7263.71875</c:v>
                </c:pt>
                <c:pt idx="120">
                  <c:v>7324.75</c:v>
                </c:pt>
                <c:pt idx="121">
                  <c:v>7385.78125</c:v>
                </c:pt>
                <c:pt idx="122">
                  <c:v>7446.8125</c:v>
                </c:pt>
                <c:pt idx="123">
                  <c:v>7507.84375</c:v>
                </c:pt>
                <c:pt idx="124">
                  <c:v>7568.875</c:v>
                </c:pt>
                <c:pt idx="125">
                  <c:v>7629.90625</c:v>
                </c:pt>
                <c:pt idx="126">
                  <c:v>7690.9375</c:v>
                </c:pt>
                <c:pt idx="127">
                  <c:v>7751.96875</c:v>
                </c:pt>
              </c:numCache>
            </c:numRef>
          </c:xVal>
          <c:yVal>
            <c:numRef>
              <c:f>data!$B$38:$DY$38</c:f>
              <c:numCache>
                <c:formatCode>General</c:formatCode>
                <c:ptCount val="128"/>
                <c:pt idx="0">
                  <c:v>385.53585160025699</c:v>
                </c:pt>
                <c:pt idx="1">
                  <c:v>105.92484517012051</c:v>
                </c:pt>
                <c:pt idx="2">
                  <c:v>91.676303767419498</c:v>
                </c:pt>
                <c:pt idx="3">
                  <c:v>87.973617383105093</c:v>
                </c:pt>
                <c:pt idx="4">
                  <c:v>104.1520417965135</c:v>
                </c:pt>
                <c:pt idx="5">
                  <c:v>90.762385889427094</c:v>
                </c:pt>
                <c:pt idx="6">
                  <c:v>96.595107220480699</c:v>
                </c:pt>
                <c:pt idx="7">
                  <c:v>91.554673478699797</c:v>
                </c:pt>
                <c:pt idx="8">
                  <c:v>91.184306422296999</c:v>
                </c:pt>
                <c:pt idx="9">
                  <c:v>87.895750697535675</c:v>
                </c:pt>
                <c:pt idx="10">
                  <c:v>87.605805228285448</c:v>
                </c:pt>
                <c:pt idx="11">
                  <c:v>84.740681405210609</c:v>
                </c:pt>
                <c:pt idx="12">
                  <c:v>83.267885850024129</c:v>
                </c:pt>
                <c:pt idx="13">
                  <c:v>81.812734629138092</c:v>
                </c:pt>
                <c:pt idx="14">
                  <c:v>79.282449780892932</c:v>
                </c:pt>
                <c:pt idx="15">
                  <c:v>78.319157362351447</c:v>
                </c:pt>
                <c:pt idx="16">
                  <c:v>78.466971664789583</c:v>
                </c:pt>
                <c:pt idx="17">
                  <c:v>79.305792335354624</c:v>
                </c:pt>
                <c:pt idx="18">
                  <c:v>79.453214696280298</c:v>
                </c:pt>
                <c:pt idx="19">
                  <c:v>79.135659947577693</c:v>
                </c:pt>
                <c:pt idx="20">
                  <c:v>79.29126753464439</c:v>
                </c:pt>
                <c:pt idx="21">
                  <c:v>78.956506373551406</c:v>
                </c:pt>
                <c:pt idx="22">
                  <c:v>79.315379381938214</c:v>
                </c:pt>
                <c:pt idx="23">
                  <c:v>79.873954820248557</c:v>
                </c:pt>
                <c:pt idx="24">
                  <c:v>80.010383235984975</c:v>
                </c:pt>
                <c:pt idx="25">
                  <c:v>81.173099264714608</c:v>
                </c:pt>
                <c:pt idx="26">
                  <c:v>81.559323469558038</c:v>
                </c:pt>
                <c:pt idx="27">
                  <c:v>82.348318177969347</c:v>
                </c:pt>
                <c:pt idx="28">
                  <c:v>82.88882725491419</c:v>
                </c:pt>
                <c:pt idx="29">
                  <c:v>81.915249862522515</c:v>
                </c:pt>
                <c:pt idx="30">
                  <c:v>83.259246258017257</c:v>
                </c:pt>
                <c:pt idx="31">
                  <c:v>82.793156452603711</c:v>
                </c:pt>
                <c:pt idx="32">
                  <c:v>81.355533293766356</c:v>
                </c:pt>
                <c:pt idx="33">
                  <c:v>78.56335850823676</c:v>
                </c:pt>
                <c:pt idx="34">
                  <c:v>76.220662854009746</c:v>
                </c:pt>
                <c:pt idx="35">
                  <c:v>73.705568108824735</c:v>
                </c:pt>
                <c:pt idx="36">
                  <c:v>72.621767304790637</c:v>
                </c:pt>
                <c:pt idx="37">
                  <c:v>71.743438774581634</c:v>
                </c:pt>
                <c:pt idx="38">
                  <c:v>67.271833949943442</c:v>
                </c:pt>
                <c:pt idx="39">
                  <c:v>64.437339979991563</c:v>
                </c:pt>
                <c:pt idx="40">
                  <c:v>64.173978314617472</c:v>
                </c:pt>
                <c:pt idx="41">
                  <c:v>64.07338934084089</c:v>
                </c:pt>
                <c:pt idx="42">
                  <c:v>64.559992420801592</c:v>
                </c:pt>
                <c:pt idx="43">
                  <c:v>65.317516590925209</c:v>
                </c:pt>
                <c:pt idx="44">
                  <c:v>67.442117483415515</c:v>
                </c:pt>
                <c:pt idx="45">
                  <c:v>70.729876756863732</c:v>
                </c:pt>
                <c:pt idx="46">
                  <c:v>74.458458448136739</c:v>
                </c:pt>
                <c:pt idx="47">
                  <c:v>85.024201709836703</c:v>
                </c:pt>
                <c:pt idx="48">
                  <c:v>85.075838111408757</c:v>
                </c:pt>
                <c:pt idx="49">
                  <c:v>75.694241187529926</c:v>
                </c:pt>
                <c:pt idx="50">
                  <c:v>70.344803554463994</c:v>
                </c:pt>
                <c:pt idx="51">
                  <c:v>66.937066564309546</c:v>
                </c:pt>
                <c:pt idx="52">
                  <c:v>64.535024639413422</c:v>
                </c:pt>
                <c:pt idx="53">
                  <c:v>62.396350415538585</c:v>
                </c:pt>
                <c:pt idx="54">
                  <c:v>60.286755098979846</c:v>
                </c:pt>
                <c:pt idx="55">
                  <c:v>58.440389172262009</c:v>
                </c:pt>
                <c:pt idx="56">
                  <c:v>56.96676092609362</c:v>
                </c:pt>
                <c:pt idx="57">
                  <c:v>55.620565851698593</c:v>
                </c:pt>
                <c:pt idx="58">
                  <c:v>54.500449783080668</c:v>
                </c:pt>
                <c:pt idx="59">
                  <c:v>53.314296270126938</c:v>
                </c:pt>
                <c:pt idx="60">
                  <c:v>52.348249481361812</c:v>
                </c:pt>
                <c:pt idx="61">
                  <c:v>51.460300263626287</c:v>
                </c:pt>
                <c:pt idx="62">
                  <c:v>50.622058712222966</c:v>
                </c:pt>
                <c:pt idx="63">
                  <c:v>49.708719477611531</c:v>
                </c:pt>
                <c:pt idx="64">
                  <c:v>48.836937906724906</c:v>
                </c:pt>
                <c:pt idx="65">
                  <c:v>47.928883220734782</c:v>
                </c:pt>
                <c:pt idx="66">
                  <c:v>46.856867700090248</c:v>
                </c:pt>
                <c:pt idx="67">
                  <c:v>45.795260627252127</c:v>
                </c:pt>
                <c:pt idx="68">
                  <c:v>44.845510207409482</c:v>
                </c:pt>
                <c:pt idx="69">
                  <c:v>44.331638281891244</c:v>
                </c:pt>
                <c:pt idx="70">
                  <c:v>44.486681244311399</c:v>
                </c:pt>
                <c:pt idx="71">
                  <c:v>45.061870109874455</c:v>
                </c:pt>
                <c:pt idx="72">
                  <c:v>46.076817634044318</c:v>
                </c:pt>
                <c:pt idx="73">
                  <c:v>47.272538467503082</c:v>
                </c:pt>
                <c:pt idx="74">
                  <c:v>48.477374509869037</c:v>
                </c:pt>
                <c:pt idx="75">
                  <c:v>50.6374695540093</c:v>
                </c:pt>
                <c:pt idx="76">
                  <c:v>50.977817554384259</c:v>
                </c:pt>
                <c:pt idx="77">
                  <c:v>50.978824695755222</c:v>
                </c:pt>
                <c:pt idx="78">
                  <c:v>51.765736514280881</c:v>
                </c:pt>
                <c:pt idx="79">
                  <c:v>52.002691057711139</c:v>
                </c:pt>
                <c:pt idx="80">
                  <c:v>52.107190046225902</c:v>
                </c:pt>
                <c:pt idx="81">
                  <c:v>52.008616071196862</c:v>
                </c:pt>
                <c:pt idx="82">
                  <c:v>51.702004610086817</c:v>
                </c:pt>
                <c:pt idx="83">
                  <c:v>51.331088907424984</c:v>
                </c:pt>
                <c:pt idx="84">
                  <c:v>51.380092388943844</c:v>
                </c:pt>
                <c:pt idx="85">
                  <c:v>51.419066409224264</c:v>
                </c:pt>
                <c:pt idx="86">
                  <c:v>52.108592044175381</c:v>
                </c:pt>
                <c:pt idx="87">
                  <c:v>53.131830886372597</c:v>
                </c:pt>
                <c:pt idx="88">
                  <c:v>53.809786827776222</c:v>
                </c:pt>
                <c:pt idx="89">
                  <c:v>54.326585336711545</c:v>
                </c:pt>
                <c:pt idx="90">
                  <c:v>54.835575654471057</c:v>
                </c:pt>
                <c:pt idx="91">
                  <c:v>55.069140266687981</c:v>
                </c:pt>
                <c:pt idx="92">
                  <c:v>55.2120188840358</c:v>
                </c:pt>
                <c:pt idx="93">
                  <c:v>55.556091407190124</c:v>
                </c:pt>
                <c:pt idx="94">
                  <c:v>55.644721669619038</c:v>
                </c:pt>
                <c:pt idx="95">
                  <c:v>55.84513639706006</c:v>
                </c:pt>
                <c:pt idx="96">
                  <c:v>55.985367028477775</c:v>
                </c:pt>
                <c:pt idx="97">
                  <c:v>56.150028315324597</c:v>
                </c:pt>
                <c:pt idx="98">
                  <c:v>56.344786240846915</c:v>
                </c:pt>
                <c:pt idx="99">
                  <c:v>56.456144932264031</c:v>
                </c:pt>
                <c:pt idx="100">
                  <c:v>56.569604311823952</c:v>
                </c:pt>
                <c:pt idx="101">
                  <c:v>56.841862823955672</c:v>
                </c:pt>
                <c:pt idx="102">
                  <c:v>57.166963206326095</c:v>
                </c:pt>
                <c:pt idx="103">
                  <c:v>57.351019823201014</c:v>
                </c:pt>
                <c:pt idx="104">
                  <c:v>57.566858140215928</c:v>
                </c:pt>
                <c:pt idx="105">
                  <c:v>57.908381651284799</c:v>
                </c:pt>
                <c:pt idx="106">
                  <c:v>58.160372195826099</c:v>
                </c:pt>
                <c:pt idx="107">
                  <c:v>58.624229741068199</c:v>
                </c:pt>
                <c:pt idx="108">
                  <c:v>58.639374046103498</c:v>
                </c:pt>
                <c:pt idx="109">
                  <c:v>59.000468551670103</c:v>
                </c:pt>
                <c:pt idx="110">
                  <c:v>59.2673500763633</c:v>
                </c:pt>
                <c:pt idx="111">
                  <c:v>59.649029511888799</c:v>
                </c:pt>
                <c:pt idx="112">
                  <c:v>60.175138911180703</c:v>
                </c:pt>
                <c:pt idx="113">
                  <c:v>60.548137670995303</c:v>
                </c:pt>
                <c:pt idx="114">
                  <c:v>61.220646291761902</c:v>
                </c:pt>
                <c:pt idx="115">
                  <c:v>61.7787821321987</c:v>
                </c:pt>
                <c:pt idx="116">
                  <c:v>62.374724960453001</c:v>
                </c:pt>
                <c:pt idx="117">
                  <c:v>62.5657788796792</c:v>
                </c:pt>
                <c:pt idx="118">
                  <c:v>62.8659501112759</c:v>
                </c:pt>
                <c:pt idx="119">
                  <c:v>62.8682767680314</c:v>
                </c:pt>
                <c:pt idx="120">
                  <c:v>63.280063143682497</c:v>
                </c:pt>
                <c:pt idx="121">
                  <c:v>63.597918036446799</c:v>
                </c:pt>
                <c:pt idx="122">
                  <c:v>63.888419869830003</c:v>
                </c:pt>
                <c:pt idx="123">
                  <c:v>65.000170562437404</c:v>
                </c:pt>
                <c:pt idx="124">
                  <c:v>65.89704075156979</c:v>
                </c:pt>
                <c:pt idx="125">
                  <c:v>67.076841647891101</c:v>
                </c:pt>
                <c:pt idx="126">
                  <c:v>68.12103383659209</c:v>
                </c:pt>
                <c:pt idx="127">
                  <c:v>70.836231973653895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data!$A$39</c:f>
              <c:strCache>
                <c:ptCount val="1"/>
                <c:pt idx="0">
                  <c:v>B70_BT_P6_337_NewFoam_rear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data!$B$31:$DY$31</c:f>
              <c:numCache>
                <c:formatCode>General</c:formatCode>
                <c:ptCount val="128"/>
                <c:pt idx="0">
                  <c:v>1</c:v>
                </c:pt>
                <c:pt idx="1">
                  <c:v>62.03125</c:v>
                </c:pt>
                <c:pt idx="2">
                  <c:v>123.0625</c:v>
                </c:pt>
                <c:pt idx="3">
                  <c:v>184.09375</c:v>
                </c:pt>
                <c:pt idx="4">
                  <c:v>245.125</c:v>
                </c:pt>
                <c:pt idx="5">
                  <c:v>306.15625</c:v>
                </c:pt>
                <c:pt idx="6">
                  <c:v>367.1875</c:v>
                </c:pt>
                <c:pt idx="7">
                  <c:v>428.21875</c:v>
                </c:pt>
                <c:pt idx="8">
                  <c:v>489.25</c:v>
                </c:pt>
                <c:pt idx="9">
                  <c:v>550.28125</c:v>
                </c:pt>
                <c:pt idx="10">
                  <c:v>611.3125</c:v>
                </c:pt>
                <c:pt idx="11">
                  <c:v>672.34375</c:v>
                </c:pt>
                <c:pt idx="12">
                  <c:v>733.375</c:v>
                </c:pt>
                <c:pt idx="13">
                  <c:v>794.40625</c:v>
                </c:pt>
                <c:pt idx="14">
                  <c:v>855.4375</c:v>
                </c:pt>
                <c:pt idx="15">
                  <c:v>916.46875</c:v>
                </c:pt>
                <c:pt idx="16">
                  <c:v>977.5</c:v>
                </c:pt>
                <c:pt idx="17">
                  <c:v>1038.53125</c:v>
                </c:pt>
                <c:pt idx="18">
                  <c:v>1099.5625</c:v>
                </c:pt>
                <c:pt idx="19">
                  <c:v>1160.59375</c:v>
                </c:pt>
                <c:pt idx="20">
                  <c:v>1221.625</c:v>
                </c:pt>
                <c:pt idx="21">
                  <c:v>1282.65625</c:v>
                </c:pt>
                <c:pt idx="22">
                  <c:v>1343.6875</c:v>
                </c:pt>
                <c:pt idx="23">
                  <c:v>1404.71875</c:v>
                </c:pt>
                <c:pt idx="24">
                  <c:v>1465.75</c:v>
                </c:pt>
                <c:pt idx="25">
                  <c:v>1526.78125</c:v>
                </c:pt>
                <c:pt idx="26">
                  <c:v>1587.8125</c:v>
                </c:pt>
                <c:pt idx="27">
                  <c:v>1648.84375</c:v>
                </c:pt>
                <c:pt idx="28">
                  <c:v>1709.875</c:v>
                </c:pt>
                <c:pt idx="29">
                  <c:v>1770.90625</c:v>
                </c:pt>
                <c:pt idx="30">
                  <c:v>1831.9375</c:v>
                </c:pt>
                <c:pt idx="31">
                  <c:v>1892.96875</c:v>
                </c:pt>
                <c:pt idx="32">
                  <c:v>1954</c:v>
                </c:pt>
                <c:pt idx="33">
                  <c:v>2015.03125</c:v>
                </c:pt>
                <c:pt idx="34">
                  <c:v>2076.0625</c:v>
                </c:pt>
                <c:pt idx="35">
                  <c:v>2137.09375</c:v>
                </c:pt>
                <c:pt idx="36">
                  <c:v>2198.125</c:v>
                </c:pt>
                <c:pt idx="37">
                  <c:v>2259.15625</c:v>
                </c:pt>
                <c:pt idx="38">
                  <c:v>2320.1875</c:v>
                </c:pt>
                <c:pt idx="39">
                  <c:v>2381.21875</c:v>
                </c:pt>
                <c:pt idx="40">
                  <c:v>2442.25</c:v>
                </c:pt>
                <c:pt idx="41">
                  <c:v>2503.28125</c:v>
                </c:pt>
                <c:pt idx="42">
                  <c:v>2564.3125</c:v>
                </c:pt>
                <c:pt idx="43">
                  <c:v>2625.34375</c:v>
                </c:pt>
                <c:pt idx="44">
                  <c:v>2686.375</c:v>
                </c:pt>
                <c:pt idx="45">
                  <c:v>2747.40625</c:v>
                </c:pt>
                <c:pt idx="46">
                  <c:v>2808.4375</c:v>
                </c:pt>
                <c:pt idx="47">
                  <c:v>2869.46875</c:v>
                </c:pt>
                <c:pt idx="48">
                  <c:v>2930.5</c:v>
                </c:pt>
                <c:pt idx="49">
                  <c:v>2991.53125</c:v>
                </c:pt>
                <c:pt idx="50">
                  <c:v>3052.5625</c:v>
                </c:pt>
                <c:pt idx="51">
                  <c:v>3113.59375</c:v>
                </c:pt>
                <c:pt idx="52">
                  <c:v>3174.625</c:v>
                </c:pt>
                <c:pt idx="53">
                  <c:v>3235.65625</c:v>
                </c:pt>
                <c:pt idx="54">
                  <c:v>3296.6875</c:v>
                </c:pt>
                <c:pt idx="55">
                  <c:v>3357.71875</c:v>
                </c:pt>
                <c:pt idx="56">
                  <c:v>3418.75</c:v>
                </c:pt>
                <c:pt idx="57">
                  <c:v>3479.78125</c:v>
                </c:pt>
                <c:pt idx="58">
                  <c:v>3540.8125</c:v>
                </c:pt>
                <c:pt idx="59">
                  <c:v>3601.84375</c:v>
                </c:pt>
                <c:pt idx="60">
                  <c:v>3662.875</c:v>
                </c:pt>
                <c:pt idx="61">
                  <c:v>3723.90625</c:v>
                </c:pt>
                <c:pt idx="62">
                  <c:v>3784.9375</c:v>
                </c:pt>
                <c:pt idx="63">
                  <c:v>3845.96875</c:v>
                </c:pt>
                <c:pt idx="64">
                  <c:v>3907</c:v>
                </c:pt>
                <c:pt idx="65">
                  <c:v>3968.03125</c:v>
                </c:pt>
                <c:pt idx="66">
                  <c:v>4029.0625</c:v>
                </c:pt>
                <c:pt idx="67">
                  <c:v>4090.09375</c:v>
                </c:pt>
                <c:pt idx="68">
                  <c:v>4151.125</c:v>
                </c:pt>
                <c:pt idx="69">
                  <c:v>4212.15625</c:v>
                </c:pt>
                <c:pt idx="70">
                  <c:v>4273.1875</c:v>
                </c:pt>
                <c:pt idx="71">
                  <c:v>4334.21875</c:v>
                </c:pt>
                <c:pt idx="72">
                  <c:v>4395.25</c:v>
                </c:pt>
                <c:pt idx="73">
                  <c:v>4456.28125</c:v>
                </c:pt>
                <c:pt idx="74">
                  <c:v>4517.3125</c:v>
                </c:pt>
                <c:pt idx="75">
                  <c:v>4578.34375</c:v>
                </c:pt>
                <c:pt idx="76">
                  <c:v>4639.375</c:v>
                </c:pt>
                <c:pt idx="77">
                  <c:v>4700.40625</c:v>
                </c:pt>
                <c:pt idx="78">
                  <c:v>4761.4375</c:v>
                </c:pt>
                <c:pt idx="79">
                  <c:v>4822.46875</c:v>
                </c:pt>
                <c:pt idx="80">
                  <c:v>4883.5</c:v>
                </c:pt>
                <c:pt idx="81">
                  <c:v>4944.53125</c:v>
                </c:pt>
                <c:pt idx="82">
                  <c:v>5005.5625</c:v>
                </c:pt>
                <c:pt idx="83">
                  <c:v>5066.59375</c:v>
                </c:pt>
                <c:pt idx="84">
                  <c:v>5127.625</c:v>
                </c:pt>
                <c:pt idx="85">
                  <c:v>5188.65625</c:v>
                </c:pt>
                <c:pt idx="86">
                  <c:v>5249.6875</c:v>
                </c:pt>
                <c:pt idx="87">
                  <c:v>5310.71875</c:v>
                </c:pt>
                <c:pt idx="88">
                  <c:v>5371.75</c:v>
                </c:pt>
                <c:pt idx="89">
                  <c:v>5432.78125</c:v>
                </c:pt>
                <c:pt idx="90">
                  <c:v>5493.8125</c:v>
                </c:pt>
                <c:pt idx="91">
                  <c:v>5554.84375</c:v>
                </c:pt>
                <c:pt idx="92">
                  <c:v>5615.875</c:v>
                </c:pt>
                <c:pt idx="93">
                  <c:v>5676.90625</c:v>
                </c:pt>
                <c:pt idx="94">
                  <c:v>5737.9375</c:v>
                </c:pt>
                <c:pt idx="95">
                  <c:v>5798.96875</c:v>
                </c:pt>
                <c:pt idx="96">
                  <c:v>5860</c:v>
                </c:pt>
                <c:pt idx="97">
                  <c:v>5921.03125</c:v>
                </c:pt>
                <c:pt idx="98">
                  <c:v>5982.0625</c:v>
                </c:pt>
                <c:pt idx="99">
                  <c:v>6043.09375</c:v>
                </c:pt>
                <c:pt idx="100">
                  <c:v>6104.125</c:v>
                </c:pt>
                <c:pt idx="101">
                  <c:v>6165.15625</c:v>
                </c:pt>
                <c:pt idx="102">
                  <c:v>6226.1875</c:v>
                </c:pt>
                <c:pt idx="103">
                  <c:v>6287.21875</c:v>
                </c:pt>
                <c:pt idx="104">
                  <c:v>6348.25</c:v>
                </c:pt>
                <c:pt idx="105">
                  <c:v>6409.28125</c:v>
                </c:pt>
                <c:pt idx="106">
                  <c:v>6470.3125</c:v>
                </c:pt>
                <c:pt idx="107">
                  <c:v>6531.34375</c:v>
                </c:pt>
                <c:pt idx="108">
                  <c:v>6592.375</c:v>
                </c:pt>
                <c:pt idx="109">
                  <c:v>6653.40625</c:v>
                </c:pt>
                <c:pt idx="110">
                  <c:v>6714.4375</c:v>
                </c:pt>
                <c:pt idx="111">
                  <c:v>6775.46875</c:v>
                </c:pt>
                <c:pt idx="112">
                  <c:v>6836.5</c:v>
                </c:pt>
                <c:pt idx="113">
                  <c:v>6897.53125</c:v>
                </c:pt>
                <c:pt idx="114">
                  <c:v>6958.5625</c:v>
                </c:pt>
                <c:pt idx="115">
                  <c:v>7019.59375</c:v>
                </c:pt>
                <c:pt idx="116">
                  <c:v>7080.625</c:v>
                </c:pt>
                <c:pt idx="117">
                  <c:v>7141.65625</c:v>
                </c:pt>
                <c:pt idx="118">
                  <c:v>7202.6875</c:v>
                </c:pt>
                <c:pt idx="119">
                  <c:v>7263.71875</c:v>
                </c:pt>
                <c:pt idx="120">
                  <c:v>7324.75</c:v>
                </c:pt>
                <c:pt idx="121">
                  <c:v>7385.78125</c:v>
                </c:pt>
                <c:pt idx="122">
                  <c:v>7446.8125</c:v>
                </c:pt>
                <c:pt idx="123">
                  <c:v>7507.84375</c:v>
                </c:pt>
                <c:pt idx="124">
                  <c:v>7568.875</c:v>
                </c:pt>
                <c:pt idx="125">
                  <c:v>7629.90625</c:v>
                </c:pt>
                <c:pt idx="126">
                  <c:v>7690.9375</c:v>
                </c:pt>
                <c:pt idx="127">
                  <c:v>7751.96875</c:v>
                </c:pt>
              </c:numCache>
            </c:numRef>
          </c:xVal>
          <c:yVal>
            <c:numRef>
              <c:f>data!$B$39:$DY$39</c:f>
              <c:numCache>
                <c:formatCode>General</c:formatCode>
                <c:ptCount val="128"/>
                <c:pt idx="0">
                  <c:v>392.38678018170998</c:v>
                </c:pt>
                <c:pt idx="1">
                  <c:v>93.626691910271603</c:v>
                </c:pt>
                <c:pt idx="2">
                  <c:v>101.62962877732519</c:v>
                </c:pt>
                <c:pt idx="3">
                  <c:v>98.763616384361498</c:v>
                </c:pt>
                <c:pt idx="4">
                  <c:v>99.377932014127097</c:v>
                </c:pt>
                <c:pt idx="5">
                  <c:v>111.43401487431601</c:v>
                </c:pt>
                <c:pt idx="6">
                  <c:v>100.72410829000709</c:v>
                </c:pt>
                <c:pt idx="7">
                  <c:v>98.260534816223398</c:v>
                </c:pt>
                <c:pt idx="8">
                  <c:v>92.959836151896198</c:v>
                </c:pt>
                <c:pt idx="9">
                  <c:v>100.06958092077838</c:v>
                </c:pt>
                <c:pt idx="10">
                  <c:v>92.237831861889347</c:v>
                </c:pt>
                <c:pt idx="11">
                  <c:v>93.966988173952515</c:v>
                </c:pt>
                <c:pt idx="12">
                  <c:v>86.277195050487336</c:v>
                </c:pt>
                <c:pt idx="13">
                  <c:v>90.11365559998778</c:v>
                </c:pt>
                <c:pt idx="14">
                  <c:v>87.627604828301429</c:v>
                </c:pt>
                <c:pt idx="15">
                  <c:v>84.808038216055948</c:v>
                </c:pt>
                <c:pt idx="16">
                  <c:v>86.923552613059982</c:v>
                </c:pt>
                <c:pt idx="17">
                  <c:v>85.391679206801925</c:v>
                </c:pt>
                <c:pt idx="18">
                  <c:v>85.819375370580801</c:v>
                </c:pt>
                <c:pt idx="19">
                  <c:v>84.8093555582563</c:v>
                </c:pt>
                <c:pt idx="20">
                  <c:v>83.535197397711997</c:v>
                </c:pt>
                <c:pt idx="21">
                  <c:v>82.593809703135193</c:v>
                </c:pt>
                <c:pt idx="22">
                  <c:v>81.807049558452718</c:v>
                </c:pt>
                <c:pt idx="23">
                  <c:v>80.672819925777347</c:v>
                </c:pt>
                <c:pt idx="24">
                  <c:v>79.514637758833473</c:v>
                </c:pt>
                <c:pt idx="25">
                  <c:v>77.793435081913103</c:v>
                </c:pt>
                <c:pt idx="26">
                  <c:v>77.49323065661784</c:v>
                </c:pt>
                <c:pt idx="27">
                  <c:v>76.303278386244344</c:v>
                </c:pt>
                <c:pt idx="28">
                  <c:v>75.070314360691086</c:v>
                </c:pt>
                <c:pt idx="29">
                  <c:v>74.624541646883216</c:v>
                </c:pt>
                <c:pt idx="30">
                  <c:v>73.478021541511765</c:v>
                </c:pt>
                <c:pt idx="31">
                  <c:v>72.515809540834496</c:v>
                </c:pt>
                <c:pt idx="32">
                  <c:v>71.233095095054352</c:v>
                </c:pt>
                <c:pt idx="33">
                  <c:v>69.88710264055635</c:v>
                </c:pt>
                <c:pt idx="34">
                  <c:v>68.342053962312249</c:v>
                </c:pt>
                <c:pt idx="35">
                  <c:v>67.026566901913242</c:v>
                </c:pt>
                <c:pt idx="36">
                  <c:v>66.55312926854063</c:v>
                </c:pt>
                <c:pt idx="37">
                  <c:v>66.97305502956894</c:v>
                </c:pt>
                <c:pt idx="38">
                  <c:v>66.037237813648048</c:v>
                </c:pt>
                <c:pt idx="39">
                  <c:v>62.521953323003054</c:v>
                </c:pt>
                <c:pt idx="40">
                  <c:v>61.656461569883071</c:v>
                </c:pt>
                <c:pt idx="41">
                  <c:v>61.368473733590783</c:v>
                </c:pt>
                <c:pt idx="42">
                  <c:v>61.526859034953596</c:v>
                </c:pt>
                <c:pt idx="43">
                  <c:v>62.00191394313061</c:v>
                </c:pt>
                <c:pt idx="44">
                  <c:v>62.695837195918124</c:v>
                </c:pt>
                <c:pt idx="45">
                  <c:v>63.540180521890534</c:v>
                </c:pt>
                <c:pt idx="46">
                  <c:v>63.726458337143036</c:v>
                </c:pt>
                <c:pt idx="47">
                  <c:v>63.2879813608332</c:v>
                </c:pt>
                <c:pt idx="48">
                  <c:v>62.549678550785359</c:v>
                </c:pt>
                <c:pt idx="49">
                  <c:v>62.018636522776831</c:v>
                </c:pt>
                <c:pt idx="50">
                  <c:v>61.30897637369489</c:v>
                </c:pt>
                <c:pt idx="51">
                  <c:v>60.641621494072155</c:v>
                </c:pt>
                <c:pt idx="52">
                  <c:v>59.715670486884918</c:v>
                </c:pt>
                <c:pt idx="53">
                  <c:v>58.711200029234384</c:v>
                </c:pt>
                <c:pt idx="54">
                  <c:v>57.525860982579346</c:v>
                </c:pt>
                <c:pt idx="55">
                  <c:v>56.175714137813209</c:v>
                </c:pt>
                <c:pt idx="56">
                  <c:v>55.348486025363123</c:v>
                </c:pt>
                <c:pt idx="57">
                  <c:v>54.653769201280497</c:v>
                </c:pt>
                <c:pt idx="58">
                  <c:v>54.043597411750468</c:v>
                </c:pt>
                <c:pt idx="59">
                  <c:v>53.61697968091314</c:v>
                </c:pt>
                <c:pt idx="60">
                  <c:v>53.131338364888016</c:v>
                </c:pt>
                <c:pt idx="61">
                  <c:v>53.011000311756291</c:v>
                </c:pt>
                <c:pt idx="62">
                  <c:v>52.778453901344662</c:v>
                </c:pt>
                <c:pt idx="63">
                  <c:v>52.553389031861933</c:v>
                </c:pt>
                <c:pt idx="64">
                  <c:v>52.479205121405805</c:v>
                </c:pt>
                <c:pt idx="65">
                  <c:v>52.366671105661084</c:v>
                </c:pt>
                <c:pt idx="66">
                  <c:v>52.233682410316447</c:v>
                </c:pt>
                <c:pt idx="67">
                  <c:v>52.147935704368521</c:v>
                </c:pt>
                <c:pt idx="68">
                  <c:v>52.460182353502482</c:v>
                </c:pt>
                <c:pt idx="69">
                  <c:v>53.606859457599143</c:v>
                </c:pt>
                <c:pt idx="70">
                  <c:v>55.000208961045395</c:v>
                </c:pt>
                <c:pt idx="71">
                  <c:v>57.271985786319057</c:v>
                </c:pt>
                <c:pt idx="72">
                  <c:v>59.663245357189524</c:v>
                </c:pt>
                <c:pt idx="73">
                  <c:v>61.596614511653783</c:v>
                </c:pt>
                <c:pt idx="74">
                  <c:v>63.109972862156035</c:v>
                </c:pt>
                <c:pt idx="75">
                  <c:v>64.854780762842893</c:v>
                </c:pt>
                <c:pt idx="76">
                  <c:v>61.370289343452662</c:v>
                </c:pt>
                <c:pt idx="77">
                  <c:v>62.371458803791526</c:v>
                </c:pt>
                <c:pt idx="78">
                  <c:v>64.175963976291186</c:v>
                </c:pt>
                <c:pt idx="79">
                  <c:v>64.168915144110045</c:v>
                </c:pt>
                <c:pt idx="80">
                  <c:v>62.536415399820903</c:v>
                </c:pt>
                <c:pt idx="81">
                  <c:v>61.214999571329059</c:v>
                </c:pt>
                <c:pt idx="82">
                  <c:v>59.693050845600624</c:v>
                </c:pt>
                <c:pt idx="83">
                  <c:v>58.336445334774282</c:v>
                </c:pt>
                <c:pt idx="84">
                  <c:v>57.534476850701346</c:v>
                </c:pt>
                <c:pt idx="85">
                  <c:v>57.000351763806762</c:v>
                </c:pt>
                <c:pt idx="86">
                  <c:v>62.644081200424083</c:v>
                </c:pt>
                <c:pt idx="87">
                  <c:v>62.129709414378297</c:v>
                </c:pt>
                <c:pt idx="88">
                  <c:v>60.586484996591018</c:v>
                </c:pt>
                <c:pt idx="89">
                  <c:v>64.02067386193734</c:v>
                </c:pt>
                <c:pt idx="90">
                  <c:v>62.170510774603855</c:v>
                </c:pt>
                <c:pt idx="91">
                  <c:v>60.930257949385776</c:v>
                </c:pt>
                <c:pt idx="92">
                  <c:v>60.660528827574304</c:v>
                </c:pt>
                <c:pt idx="93">
                  <c:v>60.844409243558921</c:v>
                </c:pt>
                <c:pt idx="94">
                  <c:v>61.753252817341838</c:v>
                </c:pt>
                <c:pt idx="95">
                  <c:v>62.239410567247155</c:v>
                </c:pt>
                <c:pt idx="96">
                  <c:v>61.22491463313348</c:v>
                </c:pt>
                <c:pt idx="97">
                  <c:v>61.214838763114599</c:v>
                </c:pt>
                <c:pt idx="98">
                  <c:v>61.470945939624016</c:v>
                </c:pt>
                <c:pt idx="99">
                  <c:v>62.247323277106133</c:v>
                </c:pt>
                <c:pt idx="100">
                  <c:v>62.791176759383553</c:v>
                </c:pt>
                <c:pt idx="101">
                  <c:v>63.043070926627472</c:v>
                </c:pt>
                <c:pt idx="102">
                  <c:v>63.159235207080791</c:v>
                </c:pt>
                <c:pt idx="103">
                  <c:v>63.106577658481008</c:v>
                </c:pt>
                <c:pt idx="104">
                  <c:v>63.830052355052928</c:v>
                </c:pt>
                <c:pt idx="105">
                  <c:v>64.387595861942401</c:v>
                </c:pt>
                <c:pt idx="106">
                  <c:v>65.071381351645599</c:v>
                </c:pt>
                <c:pt idx="107">
                  <c:v>65.890101552149105</c:v>
                </c:pt>
                <c:pt idx="108">
                  <c:v>66.456499635495305</c:v>
                </c:pt>
                <c:pt idx="109">
                  <c:v>67.157918820212601</c:v>
                </c:pt>
                <c:pt idx="110">
                  <c:v>68.211319933840997</c:v>
                </c:pt>
                <c:pt idx="111">
                  <c:v>69.137565738836003</c:v>
                </c:pt>
                <c:pt idx="112">
                  <c:v>70.2418508036357</c:v>
                </c:pt>
                <c:pt idx="113">
                  <c:v>71.706737707900203</c:v>
                </c:pt>
                <c:pt idx="114">
                  <c:v>73.485881125300807</c:v>
                </c:pt>
                <c:pt idx="115">
                  <c:v>75.277663111105099</c:v>
                </c:pt>
                <c:pt idx="116">
                  <c:v>78.279266701517599</c:v>
                </c:pt>
                <c:pt idx="117">
                  <c:v>80.846134463230499</c:v>
                </c:pt>
                <c:pt idx="118">
                  <c:v>84.300791987539895</c:v>
                </c:pt>
                <c:pt idx="119">
                  <c:v>86.526092588111098</c:v>
                </c:pt>
                <c:pt idx="120">
                  <c:v>81.134561291333497</c:v>
                </c:pt>
                <c:pt idx="121">
                  <c:v>77.367597229678395</c:v>
                </c:pt>
                <c:pt idx="122">
                  <c:v>74.960417721061205</c:v>
                </c:pt>
                <c:pt idx="123">
                  <c:v>73.542736241806907</c:v>
                </c:pt>
                <c:pt idx="124">
                  <c:v>71.860251115453295</c:v>
                </c:pt>
                <c:pt idx="125">
                  <c:v>69.777803166509798</c:v>
                </c:pt>
                <c:pt idx="126">
                  <c:v>68.847905458710599</c:v>
                </c:pt>
                <c:pt idx="127">
                  <c:v>68.010824069313699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data!$A$40</c:f>
              <c:strCache>
                <c:ptCount val="1"/>
                <c:pt idx="0">
                  <c:v>B70_BT_P6_337_NewFoam_front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data!$B$31:$DY$31</c:f>
              <c:numCache>
                <c:formatCode>General</c:formatCode>
                <c:ptCount val="128"/>
                <c:pt idx="0">
                  <c:v>1</c:v>
                </c:pt>
                <c:pt idx="1">
                  <c:v>62.03125</c:v>
                </c:pt>
                <c:pt idx="2">
                  <c:v>123.0625</c:v>
                </c:pt>
                <c:pt idx="3">
                  <c:v>184.09375</c:v>
                </c:pt>
                <c:pt idx="4">
                  <c:v>245.125</c:v>
                </c:pt>
                <c:pt idx="5">
                  <c:v>306.15625</c:v>
                </c:pt>
                <c:pt idx="6">
                  <c:v>367.1875</c:v>
                </c:pt>
                <c:pt idx="7">
                  <c:v>428.21875</c:v>
                </c:pt>
                <c:pt idx="8">
                  <c:v>489.25</c:v>
                </c:pt>
                <c:pt idx="9">
                  <c:v>550.28125</c:v>
                </c:pt>
                <c:pt idx="10">
                  <c:v>611.3125</c:v>
                </c:pt>
                <c:pt idx="11">
                  <c:v>672.34375</c:v>
                </c:pt>
                <c:pt idx="12">
                  <c:v>733.375</c:v>
                </c:pt>
                <c:pt idx="13">
                  <c:v>794.40625</c:v>
                </c:pt>
                <c:pt idx="14">
                  <c:v>855.4375</c:v>
                </c:pt>
                <c:pt idx="15">
                  <c:v>916.46875</c:v>
                </c:pt>
                <c:pt idx="16">
                  <c:v>977.5</c:v>
                </c:pt>
                <c:pt idx="17">
                  <c:v>1038.53125</c:v>
                </c:pt>
                <c:pt idx="18">
                  <c:v>1099.5625</c:v>
                </c:pt>
                <c:pt idx="19">
                  <c:v>1160.59375</c:v>
                </c:pt>
                <c:pt idx="20">
                  <c:v>1221.625</c:v>
                </c:pt>
                <c:pt idx="21">
                  <c:v>1282.65625</c:v>
                </c:pt>
                <c:pt idx="22">
                  <c:v>1343.6875</c:v>
                </c:pt>
                <c:pt idx="23">
                  <c:v>1404.71875</c:v>
                </c:pt>
                <c:pt idx="24">
                  <c:v>1465.75</c:v>
                </c:pt>
                <c:pt idx="25">
                  <c:v>1526.78125</c:v>
                </c:pt>
                <c:pt idx="26">
                  <c:v>1587.8125</c:v>
                </c:pt>
                <c:pt idx="27">
                  <c:v>1648.84375</c:v>
                </c:pt>
                <c:pt idx="28">
                  <c:v>1709.875</c:v>
                </c:pt>
                <c:pt idx="29">
                  <c:v>1770.90625</c:v>
                </c:pt>
                <c:pt idx="30">
                  <c:v>1831.9375</c:v>
                </c:pt>
                <c:pt idx="31">
                  <c:v>1892.96875</c:v>
                </c:pt>
                <c:pt idx="32">
                  <c:v>1954</c:v>
                </c:pt>
                <c:pt idx="33">
                  <c:v>2015.03125</c:v>
                </c:pt>
                <c:pt idx="34">
                  <c:v>2076.0625</c:v>
                </c:pt>
                <c:pt idx="35">
                  <c:v>2137.09375</c:v>
                </c:pt>
                <c:pt idx="36">
                  <c:v>2198.125</c:v>
                </c:pt>
                <c:pt idx="37">
                  <c:v>2259.15625</c:v>
                </c:pt>
                <c:pt idx="38">
                  <c:v>2320.1875</c:v>
                </c:pt>
                <c:pt idx="39">
                  <c:v>2381.21875</c:v>
                </c:pt>
                <c:pt idx="40">
                  <c:v>2442.25</c:v>
                </c:pt>
                <c:pt idx="41">
                  <c:v>2503.28125</c:v>
                </c:pt>
                <c:pt idx="42">
                  <c:v>2564.3125</c:v>
                </c:pt>
                <c:pt idx="43">
                  <c:v>2625.34375</c:v>
                </c:pt>
                <c:pt idx="44">
                  <c:v>2686.375</c:v>
                </c:pt>
                <c:pt idx="45">
                  <c:v>2747.40625</c:v>
                </c:pt>
                <c:pt idx="46">
                  <c:v>2808.4375</c:v>
                </c:pt>
                <c:pt idx="47">
                  <c:v>2869.46875</c:v>
                </c:pt>
                <c:pt idx="48">
                  <c:v>2930.5</c:v>
                </c:pt>
                <c:pt idx="49">
                  <c:v>2991.53125</c:v>
                </c:pt>
                <c:pt idx="50">
                  <c:v>3052.5625</c:v>
                </c:pt>
                <c:pt idx="51">
                  <c:v>3113.59375</c:v>
                </c:pt>
                <c:pt idx="52">
                  <c:v>3174.625</c:v>
                </c:pt>
                <c:pt idx="53">
                  <c:v>3235.65625</c:v>
                </c:pt>
                <c:pt idx="54">
                  <c:v>3296.6875</c:v>
                </c:pt>
                <c:pt idx="55">
                  <c:v>3357.71875</c:v>
                </c:pt>
                <c:pt idx="56">
                  <c:v>3418.75</c:v>
                </c:pt>
                <c:pt idx="57">
                  <c:v>3479.78125</c:v>
                </c:pt>
                <c:pt idx="58">
                  <c:v>3540.8125</c:v>
                </c:pt>
                <c:pt idx="59">
                  <c:v>3601.84375</c:v>
                </c:pt>
                <c:pt idx="60">
                  <c:v>3662.875</c:v>
                </c:pt>
                <c:pt idx="61">
                  <c:v>3723.90625</c:v>
                </c:pt>
                <c:pt idx="62">
                  <c:v>3784.9375</c:v>
                </c:pt>
                <c:pt idx="63">
                  <c:v>3845.96875</c:v>
                </c:pt>
                <c:pt idx="64">
                  <c:v>3907</c:v>
                </c:pt>
                <c:pt idx="65">
                  <c:v>3968.03125</c:v>
                </c:pt>
                <c:pt idx="66">
                  <c:v>4029.0625</c:v>
                </c:pt>
                <c:pt idx="67">
                  <c:v>4090.09375</c:v>
                </c:pt>
                <c:pt idx="68">
                  <c:v>4151.125</c:v>
                </c:pt>
                <c:pt idx="69">
                  <c:v>4212.15625</c:v>
                </c:pt>
                <c:pt idx="70">
                  <c:v>4273.1875</c:v>
                </c:pt>
                <c:pt idx="71">
                  <c:v>4334.21875</c:v>
                </c:pt>
                <c:pt idx="72">
                  <c:v>4395.25</c:v>
                </c:pt>
                <c:pt idx="73">
                  <c:v>4456.28125</c:v>
                </c:pt>
                <c:pt idx="74">
                  <c:v>4517.3125</c:v>
                </c:pt>
                <c:pt idx="75">
                  <c:v>4578.34375</c:v>
                </c:pt>
                <c:pt idx="76">
                  <c:v>4639.375</c:v>
                </c:pt>
                <c:pt idx="77">
                  <c:v>4700.40625</c:v>
                </c:pt>
                <c:pt idx="78">
                  <c:v>4761.4375</c:v>
                </c:pt>
                <c:pt idx="79">
                  <c:v>4822.46875</c:v>
                </c:pt>
                <c:pt idx="80">
                  <c:v>4883.5</c:v>
                </c:pt>
                <c:pt idx="81">
                  <c:v>4944.53125</c:v>
                </c:pt>
                <c:pt idx="82">
                  <c:v>5005.5625</c:v>
                </c:pt>
                <c:pt idx="83">
                  <c:v>5066.59375</c:v>
                </c:pt>
                <c:pt idx="84">
                  <c:v>5127.625</c:v>
                </c:pt>
                <c:pt idx="85">
                  <c:v>5188.65625</c:v>
                </c:pt>
                <c:pt idx="86">
                  <c:v>5249.6875</c:v>
                </c:pt>
                <c:pt idx="87">
                  <c:v>5310.71875</c:v>
                </c:pt>
                <c:pt idx="88">
                  <c:v>5371.75</c:v>
                </c:pt>
                <c:pt idx="89">
                  <c:v>5432.78125</c:v>
                </c:pt>
                <c:pt idx="90">
                  <c:v>5493.8125</c:v>
                </c:pt>
                <c:pt idx="91">
                  <c:v>5554.84375</c:v>
                </c:pt>
                <c:pt idx="92">
                  <c:v>5615.875</c:v>
                </c:pt>
                <c:pt idx="93">
                  <c:v>5676.90625</c:v>
                </c:pt>
                <c:pt idx="94">
                  <c:v>5737.9375</c:v>
                </c:pt>
                <c:pt idx="95">
                  <c:v>5798.96875</c:v>
                </c:pt>
                <c:pt idx="96">
                  <c:v>5860</c:v>
                </c:pt>
                <c:pt idx="97">
                  <c:v>5921.03125</c:v>
                </c:pt>
                <c:pt idx="98">
                  <c:v>5982.0625</c:v>
                </c:pt>
                <c:pt idx="99">
                  <c:v>6043.09375</c:v>
                </c:pt>
                <c:pt idx="100">
                  <c:v>6104.125</c:v>
                </c:pt>
                <c:pt idx="101">
                  <c:v>6165.15625</c:v>
                </c:pt>
                <c:pt idx="102">
                  <c:v>6226.1875</c:v>
                </c:pt>
                <c:pt idx="103">
                  <c:v>6287.21875</c:v>
                </c:pt>
                <c:pt idx="104">
                  <c:v>6348.25</c:v>
                </c:pt>
                <c:pt idx="105">
                  <c:v>6409.28125</c:v>
                </c:pt>
                <c:pt idx="106">
                  <c:v>6470.3125</c:v>
                </c:pt>
                <c:pt idx="107">
                  <c:v>6531.34375</c:v>
                </c:pt>
                <c:pt idx="108">
                  <c:v>6592.375</c:v>
                </c:pt>
                <c:pt idx="109">
                  <c:v>6653.40625</c:v>
                </c:pt>
                <c:pt idx="110">
                  <c:v>6714.4375</c:v>
                </c:pt>
                <c:pt idx="111">
                  <c:v>6775.46875</c:v>
                </c:pt>
                <c:pt idx="112">
                  <c:v>6836.5</c:v>
                </c:pt>
                <c:pt idx="113">
                  <c:v>6897.53125</c:v>
                </c:pt>
                <c:pt idx="114">
                  <c:v>6958.5625</c:v>
                </c:pt>
                <c:pt idx="115">
                  <c:v>7019.59375</c:v>
                </c:pt>
                <c:pt idx="116">
                  <c:v>7080.625</c:v>
                </c:pt>
                <c:pt idx="117">
                  <c:v>7141.65625</c:v>
                </c:pt>
                <c:pt idx="118">
                  <c:v>7202.6875</c:v>
                </c:pt>
                <c:pt idx="119">
                  <c:v>7263.71875</c:v>
                </c:pt>
                <c:pt idx="120">
                  <c:v>7324.75</c:v>
                </c:pt>
                <c:pt idx="121">
                  <c:v>7385.78125</c:v>
                </c:pt>
                <c:pt idx="122">
                  <c:v>7446.8125</c:v>
                </c:pt>
                <c:pt idx="123">
                  <c:v>7507.84375</c:v>
                </c:pt>
                <c:pt idx="124">
                  <c:v>7568.875</c:v>
                </c:pt>
                <c:pt idx="125">
                  <c:v>7629.90625</c:v>
                </c:pt>
                <c:pt idx="126">
                  <c:v>7690.9375</c:v>
                </c:pt>
                <c:pt idx="127">
                  <c:v>7751.96875</c:v>
                </c:pt>
              </c:numCache>
            </c:numRef>
          </c:xVal>
          <c:yVal>
            <c:numRef>
              <c:f>data!$B$40:$DY$40</c:f>
              <c:numCache>
                <c:formatCode>General</c:formatCode>
                <c:ptCount val="128"/>
                <c:pt idx="0">
                  <c:v>394.19659856122797</c:v>
                </c:pt>
                <c:pt idx="1">
                  <c:v>92.963359698674793</c:v>
                </c:pt>
                <c:pt idx="2">
                  <c:v>92.556365958183406</c:v>
                </c:pt>
                <c:pt idx="3">
                  <c:v>101.96129002159461</c:v>
                </c:pt>
                <c:pt idx="4">
                  <c:v>88.2100662063892</c:v>
                </c:pt>
                <c:pt idx="5">
                  <c:v>93.919647671945498</c:v>
                </c:pt>
                <c:pt idx="6">
                  <c:v>91.684519761463307</c:v>
                </c:pt>
                <c:pt idx="7">
                  <c:v>93.354930139323301</c:v>
                </c:pt>
                <c:pt idx="8">
                  <c:v>91.748306077871902</c:v>
                </c:pt>
                <c:pt idx="9">
                  <c:v>88.840588295879186</c:v>
                </c:pt>
                <c:pt idx="10">
                  <c:v>88.274094356412348</c:v>
                </c:pt>
                <c:pt idx="11">
                  <c:v>86.044016784429616</c:v>
                </c:pt>
                <c:pt idx="12">
                  <c:v>81.271436218334543</c:v>
                </c:pt>
                <c:pt idx="13">
                  <c:v>80.755188732530186</c:v>
                </c:pt>
                <c:pt idx="14">
                  <c:v>78.779482892956636</c:v>
                </c:pt>
                <c:pt idx="15">
                  <c:v>78.268329287992444</c:v>
                </c:pt>
                <c:pt idx="16">
                  <c:v>78.613063167381881</c:v>
                </c:pt>
                <c:pt idx="17">
                  <c:v>78.569528944259218</c:v>
                </c:pt>
                <c:pt idx="18">
                  <c:v>79.519749565844791</c:v>
                </c:pt>
                <c:pt idx="19">
                  <c:v>78.015495035295203</c:v>
                </c:pt>
                <c:pt idx="20">
                  <c:v>78.9340058436633</c:v>
                </c:pt>
                <c:pt idx="21">
                  <c:v>79.695467824791507</c:v>
                </c:pt>
                <c:pt idx="22">
                  <c:v>79.746718474555422</c:v>
                </c:pt>
                <c:pt idx="23">
                  <c:v>79.651758322905351</c:v>
                </c:pt>
                <c:pt idx="24">
                  <c:v>79.72561660615257</c:v>
                </c:pt>
                <c:pt idx="25">
                  <c:v>80.985790533515114</c:v>
                </c:pt>
                <c:pt idx="26">
                  <c:v>81.14280697046793</c:v>
                </c:pt>
                <c:pt idx="27">
                  <c:v>82.191320716621547</c:v>
                </c:pt>
                <c:pt idx="28">
                  <c:v>82.936491947922988</c:v>
                </c:pt>
                <c:pt idx="29">
                  <c:v>83.601250409853122</c:v>
                </c:pt>
                <c:pt idx="30">
                  <c:v>84.245635621554655</c:v>
                </c:pt>
                <c:pt idx="31">
                  <c:v>82.253497643632713</c:v>
                </c:pt>
                <c:pt idx="32">
                  <c:v>81.260898047468658</c:v>
                </c:pt>
                <c:pt idx="33">
                  <c:v>79.203159210367559</c:v>
                </c:pt>
                <c:pt idx="34">
                  <c:v>75.688229991921645</c:v>
                </c:pt>
                <c:pt idx="35">
                  <c:v>73.839875529132144</c:v>
                </c:pt>
                <c:pt idx="36">
                  <c:v>72.743921687272348</c:v>
                </c:pt>
                <c:pt idx="37">
                  <c:v>71.730829097448535</c:v>
                </c:pt>
                <c:pt idx="38">
                  <c:v>67.819126259880747</c:v>
                </c:pt>
                <c:pt idx="39">
                  <c:v>64.702416305592564</c:v>
                </c:pt>
                <c:pt idx="40">
                  <c:v>64.469466031372278</c:v>
                </c:pt>
                <c:pt idx="41">
                  <c:v>64.420287984603192</c:v>
                </c:pt>
                <c:pt idx="42">
                  <c:v>64.856653401983394</c:v>
                </c:pt>
                <c:pt idx="43">
                  <c:v>65.839097798638107</c:v>
                </c:pt>
                <c:pt idx="44">
                  <c:v>67.566886844746321</c:v>
                </c:pt>
                <c:pt idx="45">
                  <c:v>71.010472312058326</c:v>
                </c:pt>
                <c:pt idx="46">
                  <c:v>76.328856282825143</c:v>
                </c:pt>
                <c:pt idx="47">
                  <c:v>85.795642271128798</c:v>
                </c:pt>
                <c:pt idx="48">
                  <c:v>81.523461983974158</c:v>
                </c:pt>
                <c:pt idx="49">
                  <c:v>74.93663017144722</c:v>
                </c:pt>
                <c:pt idx="50">
                  <c:v>69.908991450829689</c:v>
                </c:pt>
                <c:pt idx="51">
                  <c:v>66.722446516931655</c:v>
                </c:pt>
                <c:pt idx="52">
                  <c:v>64.208132905401911</c:v>
                </c:pt>
                <c:pt idx="53">
                  <c:v>61.949459501086679</c:v>
                </c:pt>
                <c:pt idx="54">
                  <c:v>60.030271481509743</c:v>
                </c:pt>
                <c:pt idx="55">
                  <c:v>58.319355375548604</c:v>
                </c:pt>
                <c:pt idx="56">
                  <c:v>56.730973376816124</c:v>
                </c:pt>
                <c:pt idx="57">
                  <c:v>55.494823710709696</c:v>
                </c:pt>
                <c:pt idx="58">
                  <c:v>54.240623230388472</c:v>
                </c:pt>
                <c:pt idx="59">
                  <c:v>53.165120742432038</c:v>
                </c:pt>
                <c:pt idx="60">
                  <c:v>52.210666435169614</c:v>
                </c:pt>
                <c:pt idx="61">
                  <c:v>51.301981137861787</c:v>
                </c:pt>
                <c:pt idx="62">
                  <c:v>50.476033113952553</c:v>
                </c:pt>
                <c:pt idx="63">
                  <c:v>49.576951187135329</c:v>
                </c:pt>
                <c:pt idx="64">
                  <c:v>48.702762933059105</c:v>
                </c:pt>
                <c:pt idx="65">
                  <c:v>47.792337125130679</c:v>
                </c:pt>
                <c:pt idx="66">
                  <c:v>46.802749557168745</c:v>
                </c:pt>
                <c:pt idx="67">
                  <c:v>45.688637731658325</c:v>
                </c:pt>
                <c:pt idx="68">
                  <c:v>44.761205288056978</c:v>
                </c:pt>
                <c:pt idx="69">
                  <c:v>44.252233071920443</c:v>
                </c:pt>
                <c:pt idx="70">
                  <c:v>44.354534163299398</c:v>
                </c:pt>
                <c:pt idx="71">
                  <c:v>44.843191209403855</c:v>
                </c:pt>
                <c:pt idx="72">
                  <c:v>45.837577038420122</c:v>
                </c:pt>
                <c:pt idx="73">
                  <c:v>47.031364710362382</c:v>
                </c:pt>
                <c:pt idx="74">
                  <c:v>48.245865022548436</c:v>
                </c:pt>
                <c:pt idx="75">
                  <c:v>50.451606375846197</c:v>
                </c:pt>
                <c:pt idx="76">
                  <c:v>50.744475979636064</c:v>
                </c:pt>
                <c:pt idx="77">
                  <c:v>50.847778918926423</c:v>
                </c:pt>
                <c:pt idx="78">
                  <c:v>51.627485583021681</c:v>
                </c:pt>
                <c:pt idx="79">
                  <c:v>51.866772052874339</c:v>
                </c:pt>
                <c:pt idx="80">
                  <c:v>51.954036099043705</c:v>
                </c:pt>
                <c:pt idx="81">
                  <c:v>51.849245245906658</c:v>
                </c:pt>
                <c:pt idx="82">
                  <c:v>51.476090486502123</c:v>
                </c:pt>
                <c:pt idx="83">
                  <c:v>51.088415312822484</c:v>
                </c:pt>
                <c:pt idx="84">
                  <c:v>51.140005099152546</c:v>
                </c:pt>
                <c:pt idx="85">
                  <c:v>51.132853575565761</c:v>
                </c:pt>
                <c:pt idx="86">
                  <c:v>51.778903332529481</c:v>
                </c:pt>
                <c:pt idx="87">
                  <c:v>52.753625547487296</c:v>
                </c:pt>
                <c:pt idx="88">
                  <c:v>53.518237968310821</c:v>
                </c:pt>
                <c:pt idx="89">
                  <c:v>53.981064257753346</c:v>
                </c:pt>
                <c:pt idx="90">
                  <c:v>54.462015376183459</c:v>
                </c:pt>
                <c:pt idx="91">
                  <c:v>54.748449920391778</c:v>
                </c:pt>
                <c:pt idx="92">
                  <c:v>54.963221553772101</c:v>
                </c:pt>
                <c:pt idx="93">
                  <c:v>55.180891978189919</c:v>
                </c:pt>
                <c:pt idx="94">
                  <c:v>55.362002721252736</c:v>
                </c:pt>
                <c:pt idx="95">
                  <c:v>55.580248231436755</c:v>
                </c:pt>
                <c:pt idx="96">
                  <c:v>55.660391380321279</c:v>
                </c:pt>
                <c:pt idx="97">
                  <c:v>55.827358972361097</c:v>
                </c:pt>
                <c:pt idx="98">
                  <c:v>56.075933375433117</c:v>
                </c:pt>
                <c:pt idx="99">
                  <c:v>56.201800097518635</c:v>
                </c:pt>
                <c:pt idx="100">
                  <c:v>56.310926322035357</c:v>
                </c:pt>
                <c:pt idx="101">
                  <c:v>56.56983467839077</c:v>
                </c:pt>
                <c:pt idx="102">
                  <c:v>56.787498246035589</c:v>
                </c:pt>
                <c:pt idx="103">
                  <c:v>57.033663657956907</c:v>
                </c:pt>
                <c:pt idx="104">
                  <c:v>57.317456239448433</c:v>
                </c:pt>
                <c:pt idx="105">
                  <c:v>57.669753039403702</c:v>
                </c:pt>
                <c:pt idx="106">
                  <c:v>57.929950863060398</c:v>
                </c:pt>
                <c:pt idx="107">
                  <c:v>58.1947908660525</c:v>
                </c:pt>
                <c:pt idx="108">
                  <c:v>58.374066764700402</c:v>
                </c:pt>
                <c:pt idx="109">
                  <c:v>58.717075099515398</c:v>
                </c:pt>
                <c:pt idx="110">
                  <c:v>59.125409573091197</c:v>
                </c:pt>
                <c:pt idx="111">
                  <c:v>59.510975493538403</c:v>
                </c:pt>
                <c:pt idx="112">
                  <c:v>59.971331424035299</c:v>
                </c:pt>
                <c:pt idx="113">
                  <c:v>60.341103016746402</c:v>
                </c:pt>
                <c:pt idx="114">
                  <c:v>60.899431789532798</c:v>
                </c:pt>
                <c:pt idx="115">
                  <c:v>61.495144020707301</c:v>
                </c:pt>
                <c:pt idx="116">
                  <c:v>62.014358655358897</c:v>
                </c:pt>
                <c:pt idx="117">
                  <c:v>62.499198646397197</c:v>
                </c:pt>
                <c:pt idx="118">
                  <c:v>62.6754155171664</c:v>
                </c:pt>
                <c:pt idx="119">
                  <c:v>62.617013946863999</c:v>
                </c:pt>
                <c:pt idx="120">
                  <c:v>63.003181090738799</c:v>
                </c:pt>
                <c:pt idx="121">
                  <c:v>63.396281622863597</c:v>
                </c:pt>
                <c:pt idx="122">
                  <c:v>63.875527036422497</c:v>
                </c:pt>
                <c:pt idx="123">
                  <c:v>64.474155505699898</c:v>
                </c:pt>
                <c:pt idx="124">
                  <c:v>65.441966922963204</c:v>
                </c:pt>
                <c:pt idx="125">
                  <c:v>66.578088591942503</c:v>
                </c:pt>
                <c:pt idx="126">
                  <c:v>68.123966476447606</c:v>
                </c:pt>
                <c:pt idx="127">
                  <c:v>71.114143109547598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data!$A$41</c:f>
              <c:strCache>
                <c:ptCount val="1"/>
                <c:pt idx="0">
                  <c:v>B70_BT_P6_337_NewFoam_rear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data!$B$31:$DY$31</c:f>
              <c:numCache>
                <c:formatCode>General</c:formatCode>
                <c:ptCount val="128"/>
                <c:pt idx="0">
                  <c:v>1</c:v>
                </c:pt>
                <c:pt idx="1">
                  <c:v>62.03125</c:v>
                </c:pt>
                <c:pt idx="2">
                  <c:v>123.0625</c:v>
                </c:pt>
                <c:pt idx="3">
                  <c:v>184.09375</c:v>
                </c:pt>
                <c:pt idx="4">
                  <c:v>245.125</c:v>
                </c:pt>
                <c:pt idx="5">
                  <c:v>306.15625</c:v>
                </c:pt>
                <c:pt idx="6">
                  <c:v>367.1875</c:v>
                </c:pt>
                <c:pt idx="7">
                  <c:v>428.21875</c:v>
                </c:pt>
                <c:pt idx="8">
                  <c:v>489.25</c:v>
                </c:pt>
                <c:pt idx="9">
                  <c:v>550.28125</c:v>
                </c:pt>
                <c:pt idx="10">
                  <c:v>611.3125</c:v>
                </c:pt>
                <c:pt idx="11">
                  <c:v>672.34375</c:v>
                </c:pt>
                <c:pt idx="12">
                  <c:v>733.375</c:v>
                </c:pt>
                <c:pt idx="13">
                  <c:v>794.40625</c:v>
                </c:pt>
                <c:pt idx="14">
                  <c:v>855.4375</c:v>
                </c:pt>
                <c:pt idx="15">
                  <c:v>916.46875</c:v>
                </c:pt>
                <c:pt idx="16">
                  <c:v>977.5</c:v>
                </c:pt>
                <c:pt idx="17">
                  <c:v>1038.53125</c:v>
                </c:pt>
                <c:pt idx="18">
                  <c:v>1099.5625</c:v>
                </c:pt>
                <c:pt idx="19">
                  <c:v>1160.59375</c:v>
                </c:pt>
                <c:pt idx="20">
                  <c:v>1221.625</c:v>
                </c:pt>
                <c:pt idx="21">
                  <c:v>1282.65625</c:v>
                </c:pt>
                <c:pt idx="22">
                  <c:v>1343.6875</c:v>
                </c:pt>
                <c:pt idx="23">
                  <c:v>1404.71875</c:v>
                </c:pt>
                <c:pt idx="24">
                  <c:v>1465.75</c:v>
                </c:pt>
                <c:pt idx="25">
                  <c:v>1526.78125</c:v>
                </c:pt>
                <c:pt idx="26">
                  <c:v>1587.8125</c:v>
                </c:pt>
                <c:pt idx="27">
                  <c:v>1648.84375</c:v>
                </c:pt>
                <c:pt idx="28">
                  <c:v>1709.875</c:v>
                </c:pt>
                <c:pt idx="29">
                  <c:v>1770.90625</c:v>
                </c:pt>
                <c:pt idx="30">
                  <c:v>1831.9375</c:v>
                </c:pt>
                <c:pt idx="31">
                  <c:v>1892.96875</c:v>
                </c:pt>
                <c:pt idx="32">
                  <c:v>1954</c:v>
                </c:pt>
                <c:pt idx="33">
                  <c:v>2015.03125</c:v>
                </c:pt>
                <c:pt idx="34">
                  <c:v>2076.0625</c:v>
                </c:pt>
                <c:pt idx="35">
                  <c:v>2137.09375</c:v>
                </c:pt>
                <c:pt idx="36">
                  <c:v>2198.125</c:v>
                </c:pt>
                <c:pt idx="37">
                  <c:v>2259.15625</c:v>
                </c:pt>
                <c:pt idx="38">
                  <c:v>2320.1875</c:v>
                </c:pt>
                <c:pt idx="39">
                  <c:v>2381.21875</c:v>
                </c:pt>
                <c:pt idx="40">
                  <c:v>2442.25</c:v>
                </c:pt>
                <c:pt idx="41">
                  <c:v>2503.28125</c:v>
                </c:pt>
                <c:pt idx="42">
                  <c:v>2564.3125</c:v>
                </c:pt>
                <c:pt idx="43">
                  <c:v>2625.34375</c:v>
                </c:pt>
                <c:pt idx="44">
                  <c:v>2686.375</c:v>
                </c:pt>
                <c:pt idx="45">
                  <c:v>2747.40625</c:v>
                </c:pt>
                <c:pt idx="46">
                  <c:v>2808.4375</c:v>
                </c:pt>
                <c:pt idx="47">
                  <c:v>2869.46875</c:v>
                </c:pt>
                <c:pt idx="48">
                  <c:v>2930.5</c:v>
                </c:pt>
                <c:pt idx="49">
                  <c:v>2991.53125</c:v>
                </c:pt>
                <c:pt idx="50">
                  <c:v>3052.5625</c:v>
                </c:pt>
                <c:pt idx="51">
                  <c:v>3113.59375</c:v>
                </c:pt>
                <c:pt idx="52">
                  <c:v>3174.625</c:v>
                </c:pt>
                <c:pt idx="53">
                  <c:v>3235.65625</c:v>
                </c:pt>
                <c:pt idx="54">
                  <c:v>3296.6875</c:v>
                </c:pt>
                <c:pt idx="55">
                  <c:v>3357.71875</c:v>
                </c:pt>
                <c:pt idx="56">
                  <c:v>3418.75</c:v>
                </c:pt>
                <c:pt idx="57">
                  <c:v>3479.78125</c:v>
                </c:pt>
                <c:pt idx="58">
                  <c:v>3540.8125</c:v>
                </c:pt>
                <c:pt idx="59">
                  <c:v>3601.84375</c:v>
                </c:pt>
                <c:pt idx="60">
                  <c:v>3662.875</c:v>
                </c:pt>
                <c:pt idx="61">
                  <c:v>3723.90625</c:v>
                </c:pt>
                <c:pt idx="62">
                  <c:v>3784.9375</c:v>
                </c:pt>
                <c:pt idx="63">
                  <c:v>3845.96875</c:v>
                </c:pt>
                <c:pt idx="64">
                  <c:v>3907</c:v>
                </c:pt>
                <c:pt idx="65">
                  <c:v>3968.03125</c:v>
                </c:pt>
                <c:pt idx="66">
                  <c:v>4029.0625</c:v>
                </c:pt>
                <c:pt idx="67">
                  <c:v>4090.09375</c:v>
                </c:pt>
                <c:pt idx="68">
                  <c:v>4151.125</c:v>
                </c:pt>
                <c:pt idx="69">
                  <c:v>4212.15625</c:v>
                </c:pt>
                <c:pt idx="70">
                  <c:v>4273.1875</c:v>
                </c:pt>
                <c:pt idx="71">
                  <c:v>4334.21875</c:v>
                </c:pt>
                <c:pt idx="72">
                  <c:v>4395.25</c:v>
                </c:pt>
                <c:pt idx="73">
                  <c:v>4456.28125</c:v>
                </c:pt>
                <c:pt idx="74">
                  <c:v>4517.3125</c:v>
                </c:pt>
                <c:pt idx="75">
                  <c:v>4578.34375</c:v>
                </c:pt>
                <c:pt idx="76">
                  <c:v>4639.375</c:v>
                </c:pt>
                <c:pt idx="77">
                  <c:v>4700.40625</c:v>
                </c:pt>
                <c:pt idx="78">
                  <c:v>4761.4375</c:v>
                </c:pt>
                <c:pt idx="79">
                  <c:v>4822.46875</c:v>
                </c:pt>
                <c:pt idx="80">
                  <c:v>4883.5</c:v>
                </c:pt>
                <c:pt idx="81">
                  <c:v>4944.53125</c:v>
                </c:pt>
                <c:pt idx="82">
                  <c:v>5005.5625</c:v>
                </c:pt>
                <c:pt idx="83">
                  <c:v>5066.59375</c:v>
                </c:pt>
                <c:pt idx="84">
                  <c:v>5127.625</c:v>
                </c:pt>
                <c:pt idx="85">
                  <c:v>5188.65625</c:v>
                </c:pt>
                <c:pt idx="86">
                  <c:v>5249.6875</c:v>
                </c:pt>
                <c:pt idx="87">
                  <c:v>5310.71875</c:v>
                </c:pt>
                <c:pt idx="88">
                  <c:v>5371.75</c:v>
                </c:pt>
                <c:pt idx="89">
                  <c:v>5432.78125</c:v>
                </c:pt>
                <c:pt idx="90">
                  <c:v>5493.8125</c:v>
                </c:pt>
                <c:pt idx="91">
                  <c:v>5554.84375</c:v>
                </c:pt>
                <c:pt idx="92">
                  <c:v>5615.875</c:v>
                </c:pt>
                <c:pt idx="93">
                  <c:v>5676.90625</c:v>
                </c:pt>
                <c:pt idx="94">
                  <c:v>5737.9375</c:v>
                </c:pt>
                <c:pt idx="95">
                  <c:v>5798.96875</c:v>
                </c:pt>
                <c:pt idx="96">
                  <c:v>5860</c:v>
                </c:pt>
                <c:pt idx="97">
                  <c:v>5921.03125</c:v>
                </c:pt>
                <c:pt idx="98">
                  <c:v>5982.0625</c:v>
                </c:pt>
                <c:pt idx="99">
                  <c:v>6043.09375</c:v>
                </c:pt>
                <c:pt idx="100">
                  <c:v>6104.125</c:v>
                </c:pt>
                <c:pt idx="101">
                  <c:v>6165.15625</c:v>
                </c:pt>
                <c:pt idx="102">
                  <c:v>6226.1875</c:v>
                </c:pt>
                <c:pt idx="103">
                  <c:v>6287.21875</c:v>
                </c:pt>
                <c:pt idx="104">
                  <c:v>6348.25</c:v>
                </c:pt>
                <c:pt idx="105">
                  <c:v>6409.28125</c:v>
                </c:pt>
                <c:pt idx="106">
                  <c:v>6470.3125</c:v>
                </c:pt>
                <c:pt idx="107">
                  <c:v>6531.34375</c:v>
                </c:pt>
                <c:pt idx="108">
                  <c:v>6592.375</c:v>
                </c:pt>
                <c:pt idx="109">
                  <c:v>6653.40625</c:v>
                </c:pt>
                <c:pt idx="110">
                  <c:v>6714.4375</c:v>
                </c:pt>
                <c:pt idx="111">
                  <c:v>6775.46875</c:v>
                </c:pt>
                <c:pt idx="112">
                  <c:v>6836.5</c:v>
                </c:pt>
                <c:pt idx="113">
                  <c:v>6897.53125</c:v>
                </c:pt>
                <c:pt idx="114">
                  <c:v>6958.5625</c:v>
                </c:pt>
                <c:pt idx="115">
                  <c:v>7019.59375</c:v>
                </c:pt>
                <c:pt idx="116">
                  <c:v>7080.625</c:v>
                </c:pt>
                <c:pt idx="117">
                  <c:v>7141.65625</c:v>
                </c:pt>
                <c:pt idx="118">
                  <c:v>7202.6875</c:v>
                </c:pt>
                <c:pt idx="119">
                  <c:v>7263.71875</c:v>
                </c:pt>
                <c:pt idx="120">
                  <c:v>7324.75</c:v>
                </c:pt>
                <c:pt idx="121">
                  <c:v>7385.78125</c:v>
                </c:pt>
                <c:pt idx="122">
                  <c:v>7446.8125</c:v>
                </c:pt>
                <c:pt idx="123">
                  <c:v>7507.84375</c:v>
                </c:pt>
                <c:pt idx="124">
                  <c:v>7568.875</c:v>
                </c:pt>
                <c:pt idx="125">
                  <c:v>7629.90625</c:v>
                </c:pt>
                <c:pt idx="126">
                  <c:v>7690.9375</c:v>
                </c:pt>
                <c:pt idx="127">
                  <c:v>7751.96875</c:v>
                </c:pt>
              </c:numCache>
            </c:numRef>
          </c:xVal>
          <c:yVal>
            <c:numRef>
              <c:f>data!$B$41:$DY$41</c:f>
              <c:numCache>
                <c:formatCode>General</c:formatCode>
                <c:ptCount val="128"/>
                <c:pt idx="0">
                  <c:v>394.272384797467</c:v>
                </c:pt>
                <c:pt idx="1">
                  <c:v>98.664713642952407</c:v>
                </c:pt>
                <c:pt idx="2">
                  <c:v>91.847422205951204</c:v>
                </c:pt>
                <c:pt idx="3">
                  <c:v>91.705763600784493</c:v>
                </c:pt>
                <c:pt idx="4">
                  <c:v>90.624885310455895</c:v>
                </c:pt>
                <c:pt idx="5">
                  <c:v>94.107506062478393</c:v>
                </c:pt>
                <c:pt idx="6">
                  <c:v>98.270634738654806</c:v>
                </c:pt>
                <c:pt idx="7">
                  <c:v>95.470517953775996</c:v>
                </c:pt>
                <c:pt idx="8">
                  <c:v>108.0412886179854</c:v>
                </c:pt>
                <c:pt idx="9">
                  <c:v>94.819588377440581</c:v>
                </c:pt>
                <c:pt idx="10">
                  <c:v>91.965092273154752</c:v>
                </c:pt>
                <c:pt idx="11">
                  <c:v>92.004231225392715</c:v>
                </c:pt>
                <c:pt idx="12">
                  <c:v>87.676117759775636</c:v>
                </c:pt>
                <c:pt idx="13">
                  <c:v>87.903759698110179</c:v>
                </c:pt>
                <c:pt idx="14">
                  <c:v>88.606227955416031</c:v>
                </c:pt>
                <c:pt idx="15">
                  <c:v>88.983525463620353</c:v>
                </c:pt>
                <c:pt idx="16">
                  <c:v>86.795513232685693</c:v>
                </c:pt>
                <c:pt idx="17">
                  <c:v>86.758451629010324</c:v>
                </c:pt>
                <c:pt idx="18">
                  <c:v>86.344321125918498</c:v>
                </c:pt>
                <c:pt idx="19">
                  <c:v>86.100330970982199</c:v>
                </c:pt>
                <c:pt idx="20">
                  <c:v>83.2045440399434</c:v>
                </c:pt>
                <c:pt idx="21">
                  <c:v>83.080150721568202</c:v>
                </c:pt>
                <c:pt idx="22">
                  <c:v>82.403342006256523</c:v>
                </c:pt>
                <c:pt idx="23">
                  <c:v>81.34154086748255</c:v>
                </c:pt>
                <c:pt idx="24">
                  <c:v>79.799142484427875</c:v>
                </c:pt>
                <c:pt idx="25">
                  <c:v>78.347209934571907</c:v>
                </c:pt>
                <c:pt idx="26">
                  <c:v>76.929673999644635</c:v>
                </c:pt>
                <c:pt idx="27">
                  <c:v>75.510705831968153</c:v>
                </c:pt>
                <c:pt idx="28">
                  <c:v>75.632471689824087</c:v>
                </c:pt>
                <c:pt idx="29">
                  <c:v>74.536927630863516</c:v>
                </c:pt>
                <c:pt idx="30">
                  <c:v>73.895346828657068</c:v>
                </c:pt>
                <c:pt idx="31">
                  <c:v>72.455109568349897</c:v>
                </c:pt>
                <c:pt idx="32">
                  <c:v>71.585105201872352</c:v>
                </c:pt>
                <c:pt idx="33">
                  <c:v>69.798743504923451</c:v>
                </c:pt>
                <c:pt idx="34">
                  <c:v>68.243181026435948</c:v>
                </c:pt>
                <c:pt idx="35">
                  <c:v>67.243605717235837</c:v>
                </c:pt>
                <c:pt idx="36">
                  <c:v>66.665715810040737</c:v>
                </c:pt>
                <c:pt idx="37">
                  <c:v>66.869360169728239</c:v>
                </c:pt>
                <c:pt idx="38">
                  <c:v>65.963601926324145</c:v>
                </c:pt>
                <c:pt idx="39">
                  <c:v>62.684371115822259</c:v>
                </c:pt>
                <c:pt idx="40">
                  <c:v>61.667096821987172</c:v>
                </c:pt>
                <c:pt idx="41">
                  <c:v>61.398023222159786</c:v>
                </c:pt>
                <c:pt idx="42">
                  <c:v>61.544736655821097</c:v>
                </c:pt>
                <c:pt idx="43">
                  <c:v>61.917959289842706</c:v>
                </c:pt>
                <c:pt idx="44">
                  <c:v>62.59037822417362</c:v>
                </c:pt>
                <c:pt idx="45">
                  <c:v>63.492423526764128</c:v>
                </c:pt>
                <c:pt idx="46">
                  <c:v>63.665376398100641</c:v>
                </c:pt>
                <c:pt idx="47">
                  <c:v>63.194178827976202</c:v>
                </c:pt>
                <c:pt idx="48">
                  <c:v>62.511373136086661</c:v>
                </c:pt>
                <c:pt idx="49">
                  <c:v>62.064642180709924</c:v>
                </c:pt>
                <c:pt idx="50">
                  <c:v>61.289970359127892</c:v>
                </c:pt>
                <c:pt idx="51">
                  <c:v>60.546661121949356</c:v>
                </c:pt>
                <c:pt idx="52">
                  <c:v>59.604356444701118</c:v>
                </c:pt>
                <c:pt idx="53">
                  <c:v>58.754470461802981</c:v>
                </c:pt>
                <c:pt idx="54">
                  <c:v>57.417976612983246</c:v>
                </c:pt>
                <c:pt idx="55">
                  <c:v>56.167345587237307</c:v>
                </c:pt>
                <c:pt idx="56">
                  <c:v>55.28667329720902</c:v>
                </c:pt>
                <c:pt idx="57">
                  <c:v>54.616172229200295</c:v>
                </c:pt>
                <c:pt idx="58">
                  <c:v>53.973137985415768</c:v>
                </c:pt>
                <c:pt idx="59">
                  <c:v>53.491749446253841</c:v>
                </c:pt>
                <c:pt idx="60">
                  <c:v>53.093152690470312</c:v>
                </c:pt>
                <c:pt idx="61">
                  <c:v>52.926579921958286</c:v>
                </c:pt>
                <c:pt idx="62">
                  <c:v>52.656565817809366</c:v>
                </c:pt>
                <c:pt idx="63">
                  <c:v>52.474059716484732</c:v>
                </c:pt>
                <c:pt idx="64">
                  <c:v>52.341017857169305</c:v>
                </c:pt>
                <c:pt idx="65">
                  <c:v>52.277719744055979</c:v>
                </c:pt>
                <c:pt idx="66">
                  <c:v>52.163358136991747</c:v>
                </c:pt>
                <c:pt idx="67">
                  <c:v>51.990334074291425</c:v>
                </c:pt>
                <c:pt idx="68">
                  <c:v>52.311659505538181</c:v>
                </c:pt>
                <c:pt idx="69">
                  <c:v>53.50143074875804</c:v>
                </c:pt>
                <c:pt idx="70">
                  <c:v>54.765446285410796</c:v>
                </c:pt>
                <c:pt idx="71">
                  <c:v>56.903127170387656</c:v>
                </c:pt>
                <c:pt idx="72">
                  <c:v>59.566559067257224</c:v>
                </c:pt>
                <c:pt idx="73">
                  <c:v>61.378025550903473</c:v>
                </c:pt>
                <c:pt idx="74">
                  <c:v>63.315777676794639</c:v>
                </c:pt>
                <c:pt idx="75">
                  <c:v>64.61726645126609</c:v>
                </c:pt>
                <c:pt idx="76">
                  <c:v>61.388390420835265</c:v>
                </c:pt>
                <c:pt idx="77">
                  <c:v>62.261275315544623</c:v>
                </c:pt>
                <c:pt idx="78">
                  <c:v>63.899575941431578</c:v>
                </c:pt>
                <c:pt idx="79">
                  <c:v>63.827152870973542</c:v>
                </c:pt>
                <c:pt idx="80">
                  <c:v>62.336476946512001</c:v>
                </c:pt>
                <c:pt idx="81">
                  <c:v>60.846475244475357</c:v>
                </c:pt>
                <c:pt idx="82">
                  <c:v>59.221486945784918</c:v>
                </c:pt>
                <c:pt idx="83">
                  <c:v>57.917068401204382</c:v>
                </c:pt>
                <c:pt idx="84">
                  <c:v>57.076174279659448</c:v>
                </c:pt>
                <c:pt idx="85">
                  <c:v>56.633634814800764</c:v>
                </c:pt>
                <c:pt idx="86">
                  <c:v>62.121481577323081</c:v>
                </c:pt>
                <c:pt idx="87">
                  <c:v>61.510941361337096</c:v>
                </c:pt>
                <c:pt idx="88">
                  <c:v>60.283569706750917</c:v>
                </c:pt>
                <c:pt idx="89">
                  <c:v>63.384678449669337</c:v>
                </c:pt>
                <c:pt idx="90">
                  <c:v>61.70535309762586</c:v>
                </c:pt>
                <c:pt idx="91">
                  <c:v>60.690621890661077</c:v>
                </c:pt>
                <c:pt idx="92">
                  <c:v>60.214362901548803</c:v>
                </c:pt>
                <c:pt idx="93">
                  <c:v>60.509930873292319</c:v>
                </c:pt>
                <c:pt idx="94">
                  <c:v>61.381675889972442</c:v>
                </c:pt>
                <c:pt idx="95">
                  <c:v>61.94512240362166</c:v>
                </c:pt>
                <c:pt idx="96">
                  <c:v>60.980345030440979</c:v>
                </c:pt>
                <c:pt idx="97">
                  <c:v>60.897264469415198</c:v>
                </c:pt>
                <c:pt idx="98">
                  <c:v>61.410379633009114</c:v>
                </c:pt>
                <c:pt idx="99">
                  <c:v>61.735512757659933</c:v>
                </c:pt>
                <c:pt idx="100">
                  <c:v>62.244261889723653</c:v>
                </c:pt>
                <c:pt idx="101">
                  <c:v>62.698602327801474</c:v>
                </c:pt>
                <c:pt idx="102">
                  <c:v>62.742069067851595</c:v>
                </c:pt>
                <c:pt idx="103">
                  <c:v>62.738285646062408</c:v>
                </c:pt>
                <c:pt idx="104">
                  <c:v>63.493215203748932</c:v>
                </c:pt>
                <c:pt idx="105">
                  <c:v>63.925929073836599</c:v>
                </c:pt>
                <c:pt idx="106">
                  <c:v>64.679440454752807</c:v>
                </c:pt>
                <c:pt idx="107">
                  <c:v>65.245682959814999</c:v>
                </c:pt>
                <c:pt idx="108">
                  <c:v>65.894383309253598</c:v>
                </c:pt>
                <c:pt idx="109">
                  <c:v>66.797072043270191</c:v>
                </c:pt>
                <c:pt idx="110">
                  <c:v>67.574978088388491</c:v>
                </c:pt>
                <c:pt idx="111">
                  <c:v>68.612309178914899</c:v>
                </c:pt>
                <c:pt idx="112">
                  <c:v>69.7358609964989</c:v>
                </c:pt>
                <c:pt idx="113">
                  <c:v>70.963052778596094</c:v>
                </c:pt>
                <c:pt idx="114">
                  <c:v>72.568891609799707</c:v>
                </c:pt>
                <c:pt idx="115">
                  <c:v>73.779455037207896</c:v>
                </c:pt>
                <c:pt idx="116">
                  <c:v>76.7329824761255</c:v>
                </c:pt>
                <c:pt idx="117">
                  <c:v>79.764448997456498</c:v>
                </c:pt>
                <c:pt idx="118">
                  <c:v>82.120108324212595</c:v>
                </c:pt>
                <c:pt idx="119">
                  <c:v>88.004851021613007</c:v>
                </c:pt>
                <c:pt idx="120">
                  <c:v>83.510641304797204</c:v>
                </c:pt>
                <c:pt idx="121">
                  <c:v>78.142469488122103</c:v>
                </c:pt>
                <c:pt idx="122">
                  <c:v>74.402351057537999</c:v>
                </c:pt>
                <c:pt idx="123">
                  <c:v>73.743286903522602</c:v>
                </c:pt>
                <c:pt idx="124">
                  <c:v>71.955858312582194</c:v>
                </c:pt>
                <c:pt idx="125">
                  <c:v>69.96103949085051</c:v>
                </c:pt>
                <c:pt idx="126">
                  <c:v>68.550079681286206</c:v>
                </c:pt>
                <c:pt idx="127">
                  <c:v>67.785432843801004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data!$A$42</c:f>
              <c:strCache>
                <c:ptCount val="1"/>
                <c:pt idx="0">
                  <c:v>B70_RS_P5_030_NewFoam_front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data!$B$31:$DY$31</c:f>
              <c:numCache>
                <c:formatCode>General</c:formatCode>
                <c:ptCount val="128"/>
                <c:pt idx="0">
                  <c:v>1</c:v>
                </c:pt>
                <c:pt idx="1">
                  <c:v>62.03125</c:v>
                </c:pt>
                <c:pt idx="2">
                  <c:v>123.0625</c:v>
                </c:pt>
                <c:pt idx="3">
                  <c:v>184.09375</c:v>
                </c:pt>
                <c:pt idx="4">
                  <c:v>245.125</c:v>
                </c:pt>
                <c:pt idx="5">
                  <c:v>306.15625</c:v>
                </c:pt>
                <c:pt idx="6">
                  <c:v>367.1875</c:v>
                </c:pt>
                <c:pt idx="7">
                  <c:v>428.21875</c:v>
                </c:pt>
                <c:pt idx="8">
                  <c:v>489.25</c:v>
                </c:pt>
                <c:pt idx="9">
                  <c:v>550.28125</c:v>
                </c:pt>
                <c:pt idx="10">
                  <c:v>611.3125</c:v>
                </c:pt>
                <c:pt idx="11">
                  <c:v>672.34375</c:v>
                </c:pt>
                <c:pt idx="12">
                  <c:v>733.375</c:v>
                </c:pt>
                <c:pt idx="13">
                  <c:v>794.40625</c:v>
                </c:pt>
                <c:pt idx="14">
                  <c:v>855.4375</c:v>
                </c:pt>
                <c:pt idx="15">
                  <c:v>916.46875</c:v>
                </c:pt>
                <c:pt idx="16">
                  <c:v>977.5</c:v>
                </c:pt>
                <c:pt idx="17">
                  <c:v>1038.53125</c:v>
                </c:pt>
                <c:pt idx="18">
                  <c:v>1099.5625</c:v>
                </c:pt>
                <c:pt idx="19">
                  <c:v>1160.59375</c:v>
                </c:pt>
                <c:pt idx="20">
                  <c:v>1221.625</c:v>
                </c:pt>
                <c:pt idx="21">
                  <c:v>1282.65625</c:v>
                </c:pt>
                <c:pt idx="22">
                  <c:v>1343.6875</c:v>
                </c:pt>
                <c:pt idx="23">
                  <c:v>1404.71875</c:v>
                </c:pt>
                <c:pt idx="24">
                  <c:v>1465.75</c:v>
                </c:pt>
                <c:pt idx="25">
                  <c:v>1526.78125</c:v>
                </c:pt>
                <c:pt idx="26">
                  <c:v>1587.8125</c:v>
                </c:pt>
                <c:pt idx="27">
                  <c:v>1648.84375</c:v>
                </c:pt>
                <c:pt idx="28">
                  <c:v>1709.875</c:v>
                </c:pt>
                <c:pt idx="29">
                  <c:v>1770.90625</c:v>
                </c:pt>
                <c:pt idx="30">
                  <c:v>1831.9375</c:v>
                </c:pt>
                <c:pt idx="31">
                  <c:v>1892.96875</c:v>
                </c:pt>
                <c:pt idx="32">
                  <c:v>1954</c:v>
                </c:pt>
                <c:pt idx="33">
                  <c:v>2015.03125</c:v>
                </c:pt>
                <c:pt idx="34">
                  <c:v>2076.0625</c:v>
                </c:pt>
                <c:pt idx="35">
                  <c:v>2137.09375</c:v>
                </c:pt>
                <c:pt idx="36">
                  <c:v>2198.125</c:v>
                </c:pt>
                <c:pt idx="37">
                  <c:v>2259.15625</c:v>
                </c:pt>
                <c:pt idx="38">
                  <c:v>2320.1875</c:v>
                </c:pt>
                <c:pt idx="39">
                  <c:v>2381.21875</c:v>
                </c:pt>
                <c:pt idx="40">
                  <c:v>2442.25</c:v>
                </c:pt>
                <c:pt idx="41">
                  <c:v>2503.28125</c:v>
                </c:pt>
                <c:pt idx="42">
                  <c:v>2564.3125</c:v>
                </c:pt>
                <c:pt idx="43">
                  <c:v>2625.34375</c:v>
                </c:pt>
                <c:pt idx="44">
                  <c:v>2686.375</c:v>
                </c:pt>
                <c:pt idx="45">
                  <c:v>2747.40625</c:v>
                </c:pt>
                <c:pt idx="46">
                  <c:v>2808.4375</c:v>
                </c:pt>
                <c:pt idx="47">
                  <c:v>2869.46875</c:v>
                </c:pt>
                <c:pt idx="48">
                  <c:v>2930.5</c:v>
                </c:pt>
                <c:pt idx="49">
                  <c:v>2991.53125</c:v>
                </c:pt>
                <c:pt idx="50">
                  <c:v>3052.5625</c:v>
                </c:pt>
                <c:pt idx="51">
                  <c:v>3113.59375</c:v>
                </c:pt>
                <c:pt idx="52">
                  <c:v>3174.625</c:v>
                </c:pt>
                <c:pt idx="53">
                  <c:v>3235.65625</c:v>
                </c:pt>
                <c:pt idx="54">
                  <c:v>3296.6875</c:v>
                </c:pt>
                <c:pt idx="55">
                  <c:v>3357.71875</c:v>
                </c:pt>
                <c:pt idx="56">
                  <c:v>3418.75</c:v>
                </c:pt>
                <c:pt idx="57">
                  <c:v>3479.78125</c:v>
                </c:pt>
                <c:pt idx="58">
                  <c:v>3540.8125</c:v>
                </c:pt>
                <c:pt idx="59">
                  <c:v>3601.84375</c:v>
                </c:pt>
                <c:pt idx="60">
                  <c:v>3662.875</c:v>
                </c:pt>
                <c:pt idx="61">
                  <c:v>3723.90625</c:v>
                </c:pt>
                <c:pt idx="62">
                  <c:v>3784.9375</c:v>
                </c:pt>
                <c:pt idx="63">
                  <c:v>3845.96875</c:v>
                </c:pt>
                <c:pt idx="64">
                  <c:v>3907</c:v>
                </c:pt>
                <c:pt idx="65">
                  <c:v>3968.03125</c:v>
                </c:pt>
                <c:pt idx="66">
                  <c:v>4029.0625</c:v>
                </c:pt>
                <c:pt idx="67">
                  <c:v>4090.09375</c:v>
                </c:pt>
                <c:pt idx="68">
                  <c:v>4151.125</c:v>
                </c:pt>
                <c:pt idx="69">
                  <c:v>4212.15625</c:v>
                </c:pt>
                <c:pt idx="70">
                  <c:v>4273.1875</c:v>
                </c:pt>
                <c:pt idx="71">
                  <c:v>4334.21875</c:v>
                </c:pt>
                <c:pt idx="72">
                  <c:v>4395.25</c:v>
                </c:pt>
                <c:pt idx="73">
                  <c:v>4456.28125</c:v>
                </c:pt>
                <c:pt idx="74">
                  <c:v>4517.3125</c:v>
                </c:pt>
                <c:pt idx="75">
                  <c:v>4578.34375</c:v>
                </c:pt>
                <c:pt idx="76">
                  <c:v>4639.375</c:v>
                </c:pt>
                <c:pt idx="77">
                  <c:v>4700.40625</c:v>
                </c:pt>
                <c:pt idx="78">
                  <c:v>4761.4375</c:v>
                </c:pt>
                <c:pt idx="79">
                  <c:v>4822.46875</c:v>
                </c:pt>
                <c:pt idx="80">
                  <c:v>4883.5</c:v>
                </c:pt>
                <c:pt idx="81">
                  <c:v>4944.53125</c:v>
                </c:pt>
                <c:pt idx="82">
                  <c:v>5005.5625</c:v>
                </c:pt>
                <c:pt idx="83">
                  <c:v>5066.59375</c:v>
                </c:pt>
                <c:pt idx="84">
                  <c:v>5127.625</c:v>
                </c:pt>
                <c:pt idx="85">
                  <c:v>5188.65625</c:v>
                </c:pt>
                <c:pt idx="86">
                  <c:v>5249.6875</c:v>
                </c:pt>
                <c:pt idx="87">
                  <c:v>5310.71875</c:v>
                </c:pt>
                <c:pt idx="88">
                  <c:v>5371.75</c:v>
                </c:pt>
                <c:pt idx="89">
                  <c:v>5432.78125</c:v>
                </c:pt>
                <c:pt idx="90">
                  <c:v>5493.8125</c:v>
                </c:pt>
                <c:pt idx="91">
                  <c:v>5554.84375</c:v>
                </c:pt>
                <c:pt idx="92">
                  <c:v>5615.875</c:v>
                </c:pt>
                <c:pt idx="93">
                  <c:v>5676.90625</c:v>
                </c:pt>
                <c:pt idx="94">
                  <c:v>5737.9375</c:v>
                </c:pt>
                <c:pt idx="95">
                  <c:v>5798.96875</c:v>
                </c:pt>
                <c:pt idx="96">
                  <c:v>5860</c:v>
                </c:pt>
                <c:pt idx="97">
                  <c:v>5921.03125</c:v>
                </c:pt>
                <c:pt idx="98">
                  <c:v>5982.0625</c:v>
                </c:pt>
                <c:pt idx="99">
                  <c:v>6043.09375</c:v>
                </c:pt>
                <c:pt idx="100">
                  <c:v>6104.125</c:v>
                </c:pt>
                <c:pt idx="101">
                  <c:v>6165.15625</c:v>
                </c:pt>
                <c:pt idx="102">
                  <c:v>6226.1875</c:v>
                </c:pt>
                <c:pt idx="103">
                  <c:v>6287.21875</c:v>
                </c:pt>
                <c:pt idx="104">
                  <c:v>6348.25</c:v>
                </c:pt>
                <c:pt idx="105">
                  <c:v>6409.28125</c:v>
                </c:pt>
                <c:pt idx="106">
                  <c:v>6470.3125</c:v>
                </c:pt>
                <c:pt idx="107">
                  <c:v>6531.34375</c:v>
                </c:pt>
                <c:pt idx="108">
                  <c:v>6592.375</c:v>
                </c:pt>
                <c:pt idx="109">
                  <c:v>6653.40625</c:v>
                </c:pt>
                <c:pt idx="110">
                  <c:v>6714.4375</c:v>
                </c:pt>
                <c:pt idx="111">
                  <c:v>6775.46875</c:v>
                </c:pt>
                <c:pt idx="112">
                  <c:v>6836.5</c:v>
                </c:pt>
                <c:pt idx="113">
                  <c:v>6897.53125</c:v>
                </c:pt>
                <c:pt idx="114">
                  <c:v>6958.5625</c:v>
                </c:pt>
                <c:pt idx="115">
                  <c:v>7019.59375</c:v>
                </c:pt>
                <c:pt idx="116">
                  <c:v>7080.625</c:v>
                </c:pt>
                <c:pt idx="117">
                  <c:v>7141.65625</c:v>
                </c:pt>
                <c:pt idx="118">
                  <c:v>7202.6875</c:v>
                </c:pt>
                <c:pt idx="119">
                  <c:v>7263.71875</c:v>
                </c:pt>
                <c:pt idx="120">
                  <c:v>7324.75</c:v>
                </c:pt>
                <c:pt idx="121">
                  <c:v>7385.78125</c:v>
                </c:pt>
                <c:pt idx="122">
                  <c:v>7446.8125</c:v>
                </c:pt>
                <c:pt idx="123">
                  <c:v>7507.84375</c:v>
                </c:pt>
                <c:pt idx="124">
                  <c:v>7568.875</c:v>
                </c:pt>
                <c:pt idx="125">
                  <c:v>7629.90625</c:v>
                </c:pt>
                <c:pt idx="126">
                  <c:v>7690.9375</c:v>
                </c:pt>
                <c:pt idx="127">
                  <c:v>7751.96875</c:v>
                </c:pt>
              </c:numCache>
            </c:numRef>
          </c:xVal>
          <c:yVal>
            <c:numRef>
              <c:f>data!$B$42:$DY$42</c:f>
              <c:numCache>
                <c:formatCode>General</c:formatCode>
                <c:ptCount val="128"/>
                <c:pt idx="0">
                  <c:v>387.989376509024</c:v>
                </c:pt>
                <c:pt idx="1">
                  <c:v>88.776237325488694</c:v>
                </c:pt>
                <c:pt idx="2">
                  <c:v>96.879596554789103</c:v>
                </c:pt>
                <c:pt idx="3">
                  <c:v>101.86096472877129</c:v>
                </c:pt>
                <c:pt idx="4">
                  <c:v>98.955163976656294</c:v>
                </c:pt>
                <c:pt idx="5">
                  <c:v>91.288572232598597</c:v>
                </c:pt>
                <c:pt idx="6">
                  <c:v>96.205449113001606</c:v>
                </c:pt>
                <c:pt idx="7">
                  <c:v>87.537255628366793</c:v>
                </c:pt>
                <c:pt idx="8">
                  <c:v>86.393152777889298</c:v>
                </c:pt>
                <c:pt idx="9">
                  <c:v>85.071813661936275</c:v>
                </c:pt>
                <c:pt idx="10">
                  <c:v>84.954630326725152</c:v>
                </c:pt>
                <c:pt idx="11">
                  <c:v>82.649550848480203</c:v>
                </c:pt>
                <c:pt idx="12">
                  <c:v>81.857860710323237</c:v>
                </c:pt>
                <c:pt idx="13">
                  <c:v>79.665777516430083</c:v>
                </c:pt>
                <c:pt idx="14">
                  <c:v>79.605053971419835</c:v>
                </c:pt>
                <c:pt idx="15">
                  <c:v>79.205888107878152</c:v>
                </c:pt>
                <c:pt idx="16">
                  <c:v>80.246127391457094</c:v>
                </c:pt>
                <c:pt idx="17">
                  <c:v>79.658804905802427</c:v>
                </c:pt>
                <c:pt idx="18">
                  <c:v>80.412838253293998</c:v>
                </c:pt>
                <c:pt idx="19">
                  <c:v>81.076517314750703</c:v>
                </c:pt>
                <c:pt idx="20">
                  <c:v>82.497607607018296</c:v>
                </c:pt>
                <c:pt idx="21">
                  <c:v>82.466826397384395</c:v>
                </c:pt>
                <c:pt idx="22">
                  <c:v>82.752046651093423</c:v>
                </c:pt>
                <c:pt idx="23">
                  <c:v>83.892046412783358</c:v>
                </c:pt>
                <c:pt idx="24">
                  <c:v>85.477286703229268</c:v>
                </c:pt>
                <c:pt idx="25">
                  <c:v>88.043682659577513</c:v>
                </c:pt>
                <c:pt idx="26">
                  <c:v>90.799191327915736</c:v>
                </c:pt>
                <c:pt idx="27">
                  <c:v>92.130059948782346</c:v>
                </c:pt>
                <c:pt idx="28">
                  <c:v>96.051863628170793</c:v>
                </c:pt>
                <c:pt idx="29">
                  <c:v>89.039537218476013</c:v>
                </c:pt>
                <c:pt idx="30">
                  <c:v>82.514403067576666</c:v>
                </c:pt>
                <c:pt idx="31">
                  <c:v>81.156334575563903</c:v>
                </c:pt>
                <c:pt idx="32">
                  <c:v>79.453717994683757</c:v>
                </c:pt>
                <c:pt idx="33">
                  <c:v>80.226665854053252</c:v>
                </c:pt>
                <c:pt idx="34">
                  <c:v>79.395644515909837</c:v>
                </c:pt>
                <c:pt idx="35">
                  <c:v>76.281587977751443</c:v>
                </c:pt>
                <c:pt idx="36">
                  <c:v>74.594728233565633</c:v>
                </c:pt>
                <c:pt idx="37">
                  <c:v>72.600295076775041</c:v>
                </c:pt>
                <c:pt idx="38">
                  <c:v>71.427260796282653</c:v>
                </c:pt>
                <c:pt idx="39">
                  <c:v>70.453916211466563</c:v>
                </c:pt>
                <c:pt idx="40">
                  <c:v>69.486338308634373</c:v>
                </c:pt>
                <c:pt idx="41">
                  <c:v>68.603637959045685</c:v>
                </c:pt>
                <c:pt idx="42">
                  <c:v>68.001960254671786</c:v>
                </c:pt>
                <c:pt idx="43">
                  <c:v>68.605611775355598</c:v>
                </c:pt>
                <c:pt idx="44">
                  <c:v>70.824012000355722</c:v>
                </c:pt>
                <c:pt idx="45">
                  <c:v>74.529793151498936</c:v>
                </c:pt>
                <c:pt idx="46">
                  <c:v>81.381472178317736</c:v>
                </c:pt>
                <c:pt idx="47">
                  <c:v>87.344792961042401</c:v>
                </c:pt>
                <c:pt idx="48">
                  <c:v>78.454897706434963</c:v>
                </c:pt>
                <c:pt idx="49">
                  <c:v>73.290276136153821</c:v>
                </c:pt>
                <c:pt idx="50">
                  <c:v>70.11467438496679</c:v>
                </c:pt>
                <c:pt idx="51">
                  <c:v>67.713671308200858</c:v>
                </c:pt>
                <c:pt idx="52">
                  <c:v>65.291739032032012</c:v>
                </c:pt>
                <c:pt idx="53">
                  <c:v>62.860175753989182</c:v>
                </c:pt>
                <c:pt idx="54">
                  <c:v>60.328785830433347</c:v>
                </c:pt>
                <c:pt idx="55">
                  <c:v>57.813306427601709</c:v>
                </c:pt>
                <c:pt idx="56">
                  <c:v>55.930756153895224</c:v>
                </c:pt>
                <c:pt idx="57">
                  <c:v>54.434949268280995</c:v>
                </c:pt>
                <c:pt idx="58">
                  <c:v>53.342860729061172</c:v>
                </c:pt>
                <c:pt idx="59">
                  <c:v>52.010688815734738</c:v>
                </c:pt>
                <c:pt idx="60">
                  <c:v>50.893807774078617</c:v>
                </c:pt>
                <c:pt idx="61">
                  <c:v>50.072898754989787</c:v>
                </c:pt>
                <c:pt idx="62">
                  <c:v>49.461624998549766</c:v>
                </c:pt>
                <c:pt idx="63">
                  <c:v>49.365421538760629</c:v>
                </c:pt>
                <c:pt idx="64">
                  <c:v>49.381631501783403</c:v>
                </c:pt>
                <c:pt idx="65">
                  <c:v>49.329300650217583</c:v>
                </c:pt>
                <c:pt idx="66">
                  <c:v>49.126740324071051</c:v>
                </c:pt>
                <c:pt idx="67">
                  <c:v>48.947433934178022</c:v>
                </c:pt>
                <c:pt idx="68">
                  <c:v>49.03675847227958</c:v>
                </c:pt>
                <c:pt idx="69">
                  <c:v>50.024595202611941</c:v>
                </c:pt>
                <c:pt idx="70">
                  <c:v>50.354989414760198</c:v>
                </c:pt>
                <c:pt idx="71">
                  <c:v>51.818537159495662</c:v>
                </c:pt>
                <c:pt idx="72">
                  <c:v>53.13037639935412</c:v>
                </c:pt>
                <c:pt idx="73">
                  <c:v>53.570666233582074</c:v>
                </c:pt>
                <c:pt idx="74">
                  <c:v>53.36807887911084</c:v>
                </c:pt>
                <c:pt idx="75">
                  <c:v>52.839476884308802</c:v>
                </c:pt>
                <c:pt idx="76">
                  <c:v>53.883645642456059</c:v>
                </c:pt>
                <c:pt idx="77">
                  <c:v>54.194870269095617</c:v>
                </c:pt>
                <c:pt idx="78">
                  <c:v>53.61374421425878</c:v>
                </c:pt>
                <c:pt idx="79">
                  <c:v>52.989588235156141</c:v>
                </c:pt>
                <c:pt idx="80">
                  <c:v>52.646946031329705</c:v>
                </c:pt>
                <c:pt idx="81">
                  <c:v>52.503136335107861</c:v>
                </c:pt>
                <c:pt idx="82">
                  <c:v>52.803234331507319</c:v>
                </c:pt>
                <c:pt idx="83">
                  <c:v>53.579013054707481</c:v>
                </c:pt>
                <c:pt idx="84">
                  <c:v>53.227941717171348</c:v>
                </c:pt>
                <c:pt idx="85">
                  <c:v>52.644230952763159</c:v>
                </c:pt>
                <c:pt idx="86">
                  <c:v>52.370435557824081</c:v>
                </c:pt>
                <c:pt idx="87">
                  <c:v>52.584443841007399</c:v>
                </c:pt>
                <c:pt idx="88">
                  <c:v>53.165577163614017</c:v>
                </c:pt>
                <c:pt idx="89">
                  <c:v>53.772799514478535</c:v>
                </c:pt>
                <c:pt idx="90">
                  <c:v>53.329454417796057</c:v>
                </c:pt>
                <c:pt idx="91">
                  <c:v>53.449875399401279</c:v>
                </c:pt>
                <c:pt idx="92">
                  <c:v>53.462310375260202</c:v>
                </c:pt>
                <c:pt idx="93">
                  <c:v>53.58623885878972</c:v>
                </c:pt>
                <c:pt idx="94">
                  <c:v>53.681262653066639</c:v>
                </c:pt>
                <c:pt idx="95">
                  <c:v>53.94215187228216</c:v>
                </c:pt>
                <c:pt idx="96">
                  <c:v>54.134405319441179</c:v>
                </c:pt>
                <c:pt idx="97">
                  <c:v>54.422059589926199</c:v>
                </c:pt>
                <c:pt idx="98">
                  <c:v>54.708927177406515</c:v>
                </c:pt>
                <c:pt idx="99">
                  <c:v>55.028848867797436</c:v>
                </c:pt>
                <c:pt idx="100">
                  <c:v>55.366573670327156</c:v>
                </c:pt>
                <c:pt idx="101">
                  <c:v>55.731230249095574</c:v>
                </c:pt>
                <c:pt idx="102">
                  <c:v>56.149170052965388</c:v>
                </c:pt>
                <c:pt idx="103">
                  <c:v>56.419884152549407</c:v>
                </c:pt>
                <c:pt idx="104">
                  <c:v>56.758669590501228</c:v>
                </c:pt>
                <c:pt idx="105">
                  <c:v>57.1351062610252</c:v>
                </c:pt>
                <c:pt idx="106">
                  <c:v>57.536469881257801</c:v>
                </c:pt>
                <c:pt idx="107">
                  <c:v>57.6660344900219</c:v>
                </c:pt>
                <c:pt idx="108">
                  <c:v>57.7398504390898</c:v>
                </c:pt>
                <c:pt idx="109">
                  <c:v>58.119785983292601</c:v>
                </c:pt>
                <c:pt idx="110">
                  <c:v>58.354650657992501</c:v>
                </c:pt>
                <c:pt idx="111">
                  <c:v>58.561637033190401</c:v>
                </c:pt>
                <c:pt idx="112">
                  <c:v>58.715924953448898</c:v>
                </c:pt>
                <c:pt idx="113">
                  <c:v>59.206417327309097</c:v>
                </c:pt>
                <c:pt idx="114">
                  <c:v>59.447697509321202</c:v>
                </c:pt>
                <c:pt idx="115">
                  <c:v>59.756328385260097</c:v>
                </c:pt>
                <c:pt idx="116">
                  <c:v>60.183244310206703</c:v>
                </c:pt>
                <c:pt idx="117">
                  <c:v>60.655321380454197</c:v>
                </c:pt>
                <c:pt idx="118">
                  <c:v>61.1971265303997</c:v>
                </c:pt>
                <c:pt idx="119">
                  <c:v>60.974677570699399</c:v>
                </c:pt>
                <c:pt idx="120">
                  <c:v>60.673648827953599</c:v>
                </c:pt>
                <c:pt idx="121">
                  <c:v>60.033690562440697</c:v>
                </c:pt>
                <c:pt idx="122">
                  <c:v>59.973910174826699</c:v>
                </c:pt>
                <c:pt idx="123">
                  <c:v>60.367443339890102</c:v>
                </c:pt>
                <c:pt idx="124">
                  <c:v>61.264657140222397</c:v>
                </c:pt>
                <c:pt idx="125">
                  <c:v>62.802889449406202</c:v>
                </c:pt>
                <c:pt idx="126">
                  <c:v>65.399382506717401</c:v>
                </c:pt>
                <c:pt idx="127">
                  <c:v>70.330052081714797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data!$A$43</c:f>
              <c:strCache>
                <c:ptCount val="1"/>
                <c:pt idx="0">
                  <c:v>B70_RS_P5_030_NewFoam_rear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data!$B$31:$DY$31</c:f>
              <c:numCache>
                <c:formatCode>General</c:formatCode>
                <c:ptCount val="128"/>
                <c:pt idx="0">
                  <c:v>1</c:v>
                </c:pt>
                <c:pt idx="1">
                  <c:v>62.03125</c:v>
                </c:pt>
                <c:pt idx="2">
                  <c:v>123.0625</c:v>
                </c:pt>
                <c:pt idx="3">
                  <c:v>184.09375</c:v>
                </c:pt>
                <c:pt idx="4">
                  <c:v>245.125</c:v>
                </c:pt>
                <c:pt idx="5">
                  <c:v>306.15625</c:v>
                </c:pt>
                <c:pt idx="6">
                  <c:v>367.1875</c:v>
                </c:pt>
                <c:pt idx="7">
                  <c:v>428.21875</c:v>
                </c:pt>
                <c:pt idx="8">
                  <c:v>489.25</c:v>
                </c:pt>
                <c:pt idx="9">
                  <c:v>550.28125</c:v>
                </c:pt>
                <c:pt idx="10">
                  <c:v>611.3125</c:v>
                </c:pt>
                <c:pt idx="11">
                  <c:v>672.34375</c:v>
                </c:pt>
                <c:pt idx="12">
                  <c:v>733.375</c:v>
                </c:pt>
                <c:pt idx="13">
                  <c:v>794.40625</c:v>
                </c:pt>
                <c:pt idx="14">
                  <c:v>855.4375</c:v>
                </c:pt>
                <c:pt idx="15">
                  <c:v>916.46875</c:v>
                </c:pt>
                <c:pt idx="16">
                  <c:v>977.5</c:v>
                </c:pt>
                <c:pt idx="17">
                  <c:v>1038.53125</c:v>
                </c:pt>
                <c:pt idx="18">
                  <c:v>1099.5625</c:v>
                </c:pt>
                <c:pt idx="19">
                  <c:v>1160.59375</c:v>
                </c:pt>
                <c:pt idx="20">
                  <c:v>1221.625</c:v>
                </c:pt>
                <c:pt idx="21">
                  <c:v>1282.65625</c:v>
                </c:pt>
                <c:pt idx="22">
                  <c:v>1343.6875</c:v>
                </c:pt>
                <c:pt idx="23">
                  <c:v>1404.71875</c:v>
                </c:pt>
                <c:pt idx="24">
                  <c:v>1465.75</c:v>
                </c:pt>
                <c:pt idx="25">
                  <c:v>1526.78125</c:v>
                </c:pt>
                <c:pt idx="26">
                  <c:v>1587.8125</c:v>
                </c:pt>
                <c:pt idx="27">
                  <c:v>1648.84375</c:v>
                </c:pt>
                <c:pt idx="28">
                  <c:v>1709.875</c:v>
                </c:pt>
                <c:pt idx="29">
                  <c:v>1770.90625</c:v>
                </c:pt>
                <c:pt idx="30">
                  <c:v>1831.9375</c:v>
                </c:pt>
                <c:pt idx="31">
                  <c:v>1892.96875</c:v>
                </c:pt>
                <c:pt idx="32">
                  <c:v>1954</c:v>
                </c:pt>
                <c:pt idx="33">
                  <c:v>2015.03125</c:v>
                </c:pt>
                <c:pt idx="34">
                  <c:v>2076.0625</c:v>
                </c:pt>
                <c:pt idx="35">
                  <c:v>2137.09375</c:v>
                </c:pt>
                <c:pt idx="36">
                  <c:v>2198.125</c:v>
                </c:pt>
                <c:pt idx="37">
                  <c:v>2259.15625</c:v>
                </c:pt>
                <c:pt idx="38">
                  <c:v>2320.1875</c:v>
                </c:pt>
                <c:pt idx="39">
                  <c:v>2381.21875</c:v>
                </c:pt>
                <c:pt idx="40">
                  <c:v>2442.25</c:v>
                </c:pt>
                <c:pt idx="41">
                  <c:v>2503.28125</c:v>
                </c:pt>
                <c:pt idx="42">
                  <c:v>2564.3125</c:v>
                </c:pt>
                <c:pt idx="43">
                  <c:v>2625.34375</c:v>
                </c:pt>
                <c:pt idx="44">
                  <c:v>2686.375</c:v>
                </c:pt>
                <c:pt idx="45">
                  <c:v>2747.40625</c:v>
                </c:pt>
                <c:pt idx="46">
                  <c:v>2808.4375</c:v>
                </c:pt>
                <c:pt idx="47">
                  <c:v>2869.46875</c:v>
                </c:pt>
                <c:pt idx="48">
                  <c:v>2930.5</c:v>
                </c:pt>
                <c:pt idx="49">
                  <c:v>2991.53125</c:v>
                </c:pt>
                <c:pt idx="50">
                  <c:v>3052.5625</c:v>
                </c:pt>
                <c:pt idx="51">
                  <c:v>3113.59375</c:v>
                </c:pt>
                <c:pt idx="52">
                  <c:v>3174.625</c:v>
                </c:pt>
                <c:pt idx="53">
                  <c:v>3235.65625</c:v>
                </c:pt>
                <c:pt idx="54">
                  <c:v>3296.6875</c:v>
                </c:pt>
                <c:pt idx="55">
                  <c:v>3357.71875</c:v>
                </c:pt>
                <c:pt idx="56">
                  <c:v>3418.75</c:v>
                </c:pt>
                <c:pt idx="57">
                  <c:v>3479.78125</c:v>
                </c:pt>
                <c:pt idx="58">
                  <c:v>3540.8125</c:v>
                </c:pt>
                <c:pt idx="59">
                  <c:v>3601.84375</c:v>
                </c:pt>
                <c:pt idx="60">
                  <c:v>3662.875</c:v>
                </c:pt>
                <c:pt idx="61">
                  <c:v>3723.90625</c:v>
                </c:pt>
                <c:pt idx="62">
                  <c:v>3784.9375</c:v>
                </c:pt>
                <c:pt idx="63">
                  <c:v>3845.96875</c:v>
                </c:pt>
                <c:pt idx="64">
                  <c:v>3907</c:v>
                </c:pt>
                <c:pt idx="65">
                  <c:v>3968.03125</c:v>
                </c:pt>
                <c:pt idx="66">
                  <c:v>4029.0625</c:v>
                </c:pt>
                <c:pt idx="67">
                  <c:v>4090.09375</c:v>
                </c:pt>
                <c:pt idx="68">
                  <c:v>4151.125</c:v>
                </c:pt>
                <c:pt idx="69">
                  <c:v>4212.15625</c:v>
                </c:pt>
                <c:pt idx="70">
                  <c:v>4273.1875</c:v>
                </c:pt>
                <c:pt idx="71">
                  <c:v>4334.21875</c:v>
                </c:pt>
                <c:pt idx="72">
                  <c:v>4395.25</c:v>
                </c:pt>
                <c:pt idx="73">
                  <c:v>4456.28125</c:v>
                </c:pt>
                <c:pt idx="74">
                  <c:v>4517.3125</c:v>
                </c:pt>
                <c:pt idx="75">
                  <c:v>4578.34375</c:v>
                </c:pt>
                <c:pt idx="76">
                  <c:v>4639.375</c:v>
                </c:pt>
                <c:pt idx="77">
                  <c:v>4700.40625</c:v>
                </c:pt>
                <c:pt idx="78">
                  <c:v>4761.4375</c:v>
                </c:pt>
                <c:pt idx="79">
                  <c:v>4822.46875</c:v>
                </c:pt>
                <c:pt idx="80">
                  <c:v>4883.5</c:v>
                </c:pt>
                <c:pt idx="81">
                  <c:v>4944.53125</c:v>
                </c:pt>
                <c:pt idx="82">
                  <c:v>5005.5625</c:v>
                </c:pt>
                <c:pt idx="83">
                  <c:v>5066.59375</c:v>
                </c:pt>
                <c:pt idx="84">
                  <c:v>5127.625</c:v>
                </c:pt>
                <c:pt idx="85">
                  <c:v>5188.65625</c:v>
                </c:pt>
                <c:pt idx="86">
                  <c:v>5249.6875</c:v>
                </c:pt>
                <c:pt idx="87">
                  <c:v>5310.71875</c:v>
                </c:pt>
                <c:pt idx="88">
                  <c:v>5371.75</c:v>
                </c:pt>
                <c:pt idx="89">
                  <c:v>5432.78125</c:v>
                </c:pt>
                <c:pt idx="90">
                  <c:v>5493.8125</c:v>
                </c:pt>
                <c:pt idx="91">
                  <c:v>5554.84375</c:v>
                </c:pt>
                <c:pt idx="92">
                  <c:v>5615.875</c:v>
                </c:pt>
                <c:pt idx="93">
                  <c:v>5676.90625</c:v>
                </c:pt>
                <c:pt idx="94">
                  <c:v>5737.9375</c:v>
                </c:pt>
                <c:pt idx="95">
                  <c:v>5798.96875</c:v>
                </c:pt>
                <c:pt idx="96">
                  <c:v>5860</c:v>
                </c:pt>
                <c:pt idx="97">
                  <c:v>5921.03125</c:v>
                </c:pt>
                <c:pt idx="98">
                  <c:v>5982.0625</c:v>
                </c:pt>
                <c:pt idx="99">
                  <c:v>6043.09375</c:v>
                </c:pt>
                <c:pt idx="100">
                  <c:v>6104.125</c:v>
                </c:pt>
                <c:pt idx="101">
                  <c:v>6165.15625</c:v>
                </c:pt>
                <c:pt idx="102">
                  <c:v>6226.1875</c:v>
                </c:pt>
                <c:pt idx="103">
                  <c:v>6287.21875</c:v>
                </c:pt>
                <c:pt idx="104">
                  <c:v>6348.25</c:v>
                </c:pt>
                <c:pt idx="105">
                  <c:v>6409.28125</c:v>
                </c:pt>
                <c:pt idx="106">
                  <c:v>6470.3125</c:v>
                </c:pt>
                <c:pt idx="107">
                  <c:v>6531.34375</c:v>
                </c:pt>
                <c:pt idx="108">
                  <c:v>6592.375</c:v>
                </c:pt>
                <c:pt idx="109">
                  <c:v>6653.40625</c:v>
                </c:pt>
                <c:pt idx="110">
                  <c:v>6714.4375</c:v>
                </c:pt>
                <c:pt idx="111">
                  <c:v>6775.46875</c:v>
                </c:pt>
                <c:pt idx="112">
                  <c:v>6836.5</c:v>
                </c:pt>
                <c:pt idx="113">
                  <c:v>6897.53125</c:v>
                </c:pt>
                <c:pt idx="114">
                  <c:v>6958.5625</c:v>
                </c:pt>
                <c:pt idx="115">
                  <c:v>7019.59375</c:v>
                </c:pt>
                <c:pt idx="116">
                  <c:v>7080.625</c:v>
                </c:pt>
                <c:pt idx="117">
                  <c:v>7141.65625</c:v>
                </c:pt>
                <c:pt idx="118">
                  <c:v>7202.6875</c:v>
                </c:pt>
                <c:pt idx="119">
                  <c:v>7263.71875</c:v>
                </c:pt>
                <c:pt idx="120">
                  <c:v>7324.75</c:v>
                </c:pt>
                <c:pt idx="121">
                  <c:v>7385.78125</c:v>
                </c:pt>
                <c:pt idx="122">
                  <c:v>7446.8125</c:v>
                </c:pt>
                <c:pt idx="123">
                  <c:v>7507.84375</c:v>
                </c:pt>
                <c:pt idx="124">
                  <c:v>7568.875</c:v>
                </c:pt>
                <c:pt idx="125">
                  <c:v>7629.90625</c:v>
                </c:pt>
                <c:pt idx="126">
                  <c:v>7690.9375</c:v>
                </c:pt>
                <c:pt idx="127">
                  <c:v>7751.96875</c:v>
                </c:pt>
              </c:numCache>
            </c:numRef>
          </c:xVal>
          <c:yVal>
            <c:numRef>
              <c:f>data!$B$43:$DY$43</c:f>
              <c:numCache>
                <c:formatCode>General</c:formatCode>
                <c:ptCount val="128"/>
                <c:pt idx="0">
                  <c:v>392.13849914762301</c:v>
                </c:pt>
                <c:pt idx="1">
                  <c:v>87.476591755954502</c:v>
                </c:pt>
                <c:pt idx="2">
                  <c:v>98.491338827747498</c:v>
                </c:pt>
                <c:pt idx="3">
                  <c:v>101.653297828189</c:v>
                </c:pt>
                <c:pt idx="4">
                  <c:v>100.2333445270076</c:v>
                </c:pt>
                <c:pt idx="5">
                  <c:v>96.5355534301153</c:v>
                </c:pt>
                <c:pt idx="6">
                  <c:v>104.0586954121043</c:v>
                </c:pt>
                <c:pt idx="7">
                  <c:v>104.9517277957051</c:v>
                </c:pt>
                <c:pt idx="8">
                  <c:v>99.973876688290801</c:v>
                </c:pt>
                <c:pt idx="9">
                  <c:v>100.50023551014498</c:v>
                </c:pt>
                <c:pt idx="10">
                  <c:v>95.768234924975658</c:v>
                </c:pt>
                <c:pt idx="11">
                  <c:v>91.716275982949909</c:v>
                </c:pt>
                <c:pt idx="12">
                  <c:v>95.813152098270038</c:v>
                </c:pt>
                <c:pt idx="13">
                  <c:v>90.671189429152591</c:v>
                </c:pt>
                <c:pt idx="14">
                  <c:v>95.170841369050535</c:v>
                </c:pt>
                <c:pt idx="15">
                  <c:v>95.742758237234455</c:v>
                </c:pt>
                <c:pt idx="16">
                  <c:v>92.706739762656781</c:v>
                </c:pt>
                <c:pt idx="17">
                  <c:v>92.45695950398563</c:v>
                </c:pt>
                <c:pt idx="18">
                  <c:v>93.220812353766803</c:v>
                </c:pt>
                <c:pt idx="19">
                  <c:v>92.623273919116897</c:v>
                </c:pt>
                <c:pt idx="20">
                  <c:v>89.885149508017705</c:v>
                </c:pt>
                <c:pt idx="21">
                  <c:v>87.330483609435404</c:v>
                </c:pt>
                <c:pt idx="22">
                  <c:v>86.91643064491052</c:v>
                </c:pt>
                <c:pt idx="23">
                  <c:v>86.632818679460655</c:v>
                </c:pt>
                <c:pt idx="24">
                  <c:v>85.565315363982677</c:v>
                </c:pt>
                <c:pt idx="25">
                  <c:v>84.192928371418205</c:v>
                </c:pt>
                <c:pt idx="26">
                  <c:v>82.672769020093128</c:v>
                </c:pt>
                <c:pt idx="27">
                  <c:v>80.297918840508444</c:v>
                </c:pt>
                <c:pt idx="28">
                  <c:v>77.898839596661489</c:v>
                </c:pt>
                <c:pt idx="29">
                  <c:v>75.734832746505219</c:v>
                </c:pt>
                <c:pt idx="30">
                  <c:v>74.206708330626967</c:v>
                </c:pt>
                <c:pt idx="31">
                  <c:v>74.735031246050596</c:v>
                </c:pt>
                <c:pt idx="32">
                  <c:v>74.706540116221049</c:v>
                </c:pt>
                <c:pt idx="33">
                  <c:v>73.760252542559058</c:v>
                </c:pt>
                <c:pt idx="34">
                  <c:v>72.331228768655052</c:v>
                </c:pt>
                <c:pt idx="35">
                  <c:v>70.501149414640437</c:v>
                </c:pt>
                <c:pt idx="36">
                  <c:v>68.759135136040641</c:v>
                </c:pt>
                <c:pt idx="37">
                  <c:v>67.096612007303733</c:v>
                </c:pt>
                <c:pt idx="38">
                  <c:v>65.979341884383942</c:v>
                </c:pt>
                <c:pt idx="39">
                  <c:v>65.163860755486965</c:v>
                </c:pt>
                <c:pt idx="40">
                  <c:v>65.182238827498878</c:v>
                </c:pt>
                <c:pt idx="41">
                  <c:v>65.063633066799582</c:v>
                </c:pt>
                <c:pt idx="42">
                  <c:v>65.112485964246588</c:v>
                </c:pt>
                <c:pt idx="43">
                  <c:v>64.483678811208307</c:v>
                </c:pt>
                <c:pt idx="44">
                  <c:v>63.542461581501321</c:v>
                </c:pt>
                <c:pt idx="45">
                  <c:v>62.96330964158993</c:v>
                </c:pt>
                <c:pt idx="46">
                  <c:v>62.124423351769934</c:v>
                </c:pt>
                <c:pt idx="47">
                  <c:v>61.205831771076305</c:v>
                </c:pt>
                <c:pt idx="48">
                  <c:v>60.583689910910067</c:v>
                </c:pt>
                <c:pt idx="49">
                  <c:v>60.282030531844327</c:v>
                </c:pt>
                <c:pt idx="50">
                  <c:v>59.723228190805585</c:v>
                </c:pt>
                <c:pt idx="51">
                  <c:v>59.446760617411357</c:v>
                </c:pt>
                <c:pt idx="52">
                  <c:v>59.444416807430017</c:v>
                </c:pt>
                <c:pt idx="53">
                  <c:v>59.828095545001581</c:v>
                </c:pt>
                <c:pt idx="54">
                  <c:v>59.761404823335241</c:v>
                </c:pt>
                <c:pt idx="55">
                  <c:v>59.022551443459307</c:v>
                </c:pt>
                <c:pt idx="56">
                  <c:v>58.665210215715518</c:v>
                </c:pt>
                <c:pt idx="57">
                  <c:v>57.400811316640294</c:v>
                </c:pt>
                <c:pt idx="58">
                  <c:v>56.159230180380774</c:v>
                </c:pt>
                <c:pt idx="59">
                  <c:v>54.544637788023138</c:v>
                </c:pt>
                <c:pt idx="60">
                  <c:v>53.372758140609911</c:v>
                </c:pt>
                <c:pt idx="61">
                  <c:v>52.49110266283099</c:v>
                </c:pt>
                <c:pt idx="62">
                  <c:v>51.905371681912655</c:v>
                </c:pt>
                <c:pt idx="63">
                  <c:v>51.446116762683531</c:v>
                </c:pt>
                <c:pt idx="64">
                  <c:v>51.275403451871405</c:v>
                </c:pt>
                <c:pt idx="65">
                  <c:v>51.191282741312882</c:v>
                </c:pt>
                <c:pt idx="66">
                  <c:v>51.37326256373855</c:v>
                </c:pt>
                <c:pt idx="67">
                  <c:v>51.656657699694122</c:v>
                </c:pt>
                <c:pt idx="68">
                  <c:v>52.591536151132182</c:v>
                </c:pt>
                <c:pt idx="69">
                  <c:v>54.314187229777744</c:v>
                </c:pt>
                <c:pt idx="70">
                  <c:v>55.563575163653894</c:v>
                </c:pt>
                <c:pt idx="71">
                  <c:v>58.071046461879156</c:v>
                </c:pt>
                <c:pt idx="72">
                  <c:v>60.070761653036321</c:v>
                </c:pt>
                <c:pt idx="73">
                  <c:v>63.326522167028983</c:v>
                </c:pt>
                <c:pt idx="74">
                  <c:v>67.154108940765838</c:v>
                </c:pt>
                <c:pt idx="75">
                  <c:v>71.605787612006793</c:v>
                </c:pt>
                <c:pt idx="76">
                  <c:v>67.698983539895963</c:v>
                </c:pt>
                <c:pt idx="77">
                  <c:v>64.723472884564615</c:v>
                </c:pt>
                <c:pt idx="78">
                  <c:v>62.174600177429681</c:v>
                </c:pt>
                <c:pt idx="79">
                  <c:v>60.998726813902842</c:v>
                </c:pt>
                <c:pt idx="80">
                  <c:v>59.816453353501203</c:v>
                </c:pt>
                <c:pt idx="81">
                  <c:v>59.209533183645661</c:v>
                </c:pt>
                <c:pt idx="82">
                  <c:v>60.152342596144322</c:v>
                </c:pt>
                <c:pt idx="83">
                  <c:v>61.148542427418285</c:v>
                </c:pt>
                <c:pt idx="84">
                  <c:v>56.738568224134845</c:v>
                </c:pt>
                <c:pt idx="85">
                  <c:v>55.111755385986058</c:v>
                </c:pt>
                <c:pt idx="86">
                  <c:v>54.543304371003579</c:v>
                </c:pt>
                <c:pt idx="87">
                  <c:v>54.975100897340397</c:v>
                </c:pt>
                <c:pt idx="88">
                  <c:v>57.175378143477019</c:v>
                </c:pt>
                <c:pt idx="89">
                  <c:v>59.087005781674137</c:v>
                </c:pt>
                <c:pt idx="90">
                  <c:v>56.25153306392626</c:v>
                </c:pt>
                <c:pt idx="91">
                  <c:v>56.37091746411518</c:v>
                </c:pt>
                <c:pt idx="92">
                  <c:v>56.689200862464702</c:v>
                </c:pt>
                <c:pt idx="93">
                  <c:v>57.00752864049322</c:v>
                </c:pt>
                <c:pt idx="94">
                  <c:v>57.409044534467142</c:v>
                </c:pt>
                <c:pt idx="95">
                  <c:v>57.926776488457961</c:v>
                </c:pt>
                <c:pt idx="96">
                  <c:v>57.91177569553998</c:v>
                </c:pt>
                <c:pt idx="97">
                  <c:v>58.251960137287895</c:v>
                </c:pt>
                <c:pt idx="98">
                  <c:v>58.597046971354018</c:v>
                </c:pt>
                <c:pt idx="99">
                  <c:v>58.935582669510431</c:v>
                </c:pt>
                <c:pt idx="100">
                  <c:v>59.597824282695953</c:v>
                </c:pt>
                <c:pt idx="101">
                  <c:v>60.247483395392372</c:v>
                </c:pt>
                <c:pt idx="102">
                  <c:v>60.884547419241393</c:v>
                </c:pt>
                <c:pt idx="103">
                  <c:v>61.285985444853011</c:v>
                </c:pt>
                <c:pt idx="104">
                  <c:v>61.40976546143893</c:v>
                </c:pt>
                <c:pt idx="105">
                  <c:v>61.622525785653202</c:v>
                </c:pt>
                <c:pt idx="106">
                  <c:v>61.762261404449298</c:v>
                </c:pt>
                <c:pt idx="107">
                  <c:v>61.686525749254599</c:v>
                </c:pt>
                <c:pt idx="108">
                  <c:v>61.308156080000003</c:v>
                </c:pt>
                <c:pt idx="109">
                  <c:v>61.352679943071898</c:v>
                </c:pt>
                <c:pt idx="110">
                  <c:v>60.951042821253097</c:v>
                </c:pt>
                <c:pt idx="111">
                  <c:v>60.940711748028299</c:v>
                </c:pt>
                <c:pt idx="112">
                  <c:v>60.874948618597799</c:v>
                </c:pt>
                <c:pt idx="113">
                  <c:v>61.880372460725901</c:v>
                </c:pt>
                <c:pt idx="114">
                  <c:v>61.407980542261598</c:v>
                </c:pt>
                <c:pt idx="115">
                  <c:v>61.016348222175502</c:v>
                </c:pt>
                <c:pt idx="116">
                  <c:v>61.341246889342202</c:v>
                </c:pt>
                <c:pt idx="117">
                  <c:v>61.734850704781202</c:v>
                </c:pt>
                <c:pt idx="118">
                  <c:v>61.798022870160302</c:v>
                </c:pt>
                <c:pt idx="119">
                  <c:v>61.151389957340399</c:v>
                </c:pt>
                <c:pt idx="120">
                  <c:v>60.601416116757697</c:v>
                </c:pt>
                <c:pt idx="121">
                  <c:v>60.420970051928499</c:v>
                </c:pt>
                <c:pt idx="122">
                  <c:v>61.176435840558597</c:v>
                </c:pt>
                <c:pt idx="123">
                  <c:v>62.085839109983198</c:v>
                </c:pt>
                <c:pt idx="124">
                  <c:v>63.132441457194602</c:v>
                </c:pt>
                <c:pt idx="125">
                  <c:v>63.766570920887702</c:v>
                </c:pt>
                <c:pt idx="126">
                  <c:v>65.255302360839806</c:v>
                </c:pt>
                <c:pt idx="127">
                  <c:v>66.802144231489308</c:v>
                </c:pt>
              </c:numCache>
            </c:numRef>
          </c:yVal>
          <c:smooth val="1"/>
        </c:ser>
        <c:ser>
          <c:idx val="12"/>
          <c:order val="12"/>
          <c:tx>
            <c:strRef>
              <c:f>data!$A$44</c:f>
              <c:strCache>
                <c:ptCount val="1"/>
                <c:pt idx="0">
                  <c:v>B70_RS_P5_030_RECOVER_front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data!$B$31:$DY$31</c:f>
              <c:numCache>
                <c:formatCode>General</c:formatCode>
                <c:ptCount val="128"/>
                <c:pt idx="0">
                  <c:v>1</c:v>
                </c:pt>
                <c:pt idx="1">
                  <c:v>62.03125</c:v>
                </c:pt>
                <c:pt idx="2">
                  <c:v>123.0625</c:v>
                </c:pt>
                <c:pt idx="3">
                  <c:v>184.09375</c:v>
                </c:pt>
                <c:pt idx="4">
                  <c:v>245.125</c:v>
                </c:pt>
                <c:pt idx="5">
                  <c:v>306.15625</c:v>
                </c:pt>
                <c:pt idx="6">
                  <c:v>367.1875</c:v>
                </c:pt>
                <c:pt idx="7">
                  <c:v>428.21875</c:v>
                </c:pt>
                <c:pt idx="8">
                  <c:v>489.25</c:v>
                </c:pt>
                <c:pt idx="9">
                  <c:v>550.28125</c:v>
                </c:pt>
                <c:pt idx="10">
                  <c:v>611.3125</c:v>
                </c:pt>
                <c:pt idx="11">
                  <c:v>672.34375</c:v>
                </c:pt>
                <c:pt idx="12">
                  <c:v>733.375</c:v>
                </c:pt>
                <c:pt idx="13">
                  <c:v>794.40625</c:v>
                </c:pt>
                <c:pt idx="14">
                  <c:v>855.4375</c:v>
                </c:pt>
                <c:pt idx="15">
                  <c:v>916.46875</c:v>
                </c:pt>
                <c:pt idx="16">
                  <c:v>977.5</c:v>
                </c:pt>
                <c:pt idx="17">
                  <c:v>1038.53125</c:v>
                </c:pt>
                <c:pt idx="18">
                  <c:v>1099.5625</c:v>
                </c:pt>
                <c:pt idx="19">
                  <c:v>1160.59375</c:v>
                </c:pt>
                <c:pt idx="20">
                  <c:v>1221.625</c:v>
                </c:pt>
                <c:pt idx="21">
                  <c:v>1282.65625</c:v>
                </c:pt>
                <c:pt idx="22">
                  <c:v>1343.6875</c:v>
                </c:pt>
                <c:pt idx="23">
                  <c:v>1404.71875</c:v>
                </c:pt>
                <c:pt idx="24">
                  <c:v>1465.75</c:v>
                </c:pt>
                <c:pt idx="25">
                  <c:v>1526.78125</c:v>
                </c:pt>
                <c:pt idx="26">
                  <c:v>1587.8125</c:v>
                </c:pt>
                <c:pt idx="27">
                  <c:v>1648.84375</c:v>
                </c:pt>
                <c:pt idx="28">
                  <c:v>1709.875</c:v>
                </c:pt>
                <c:pt idx="29">
                  <c:v>1770.90625</c:v>
                </c:pt>
                <c:pt idx="30">
                  <c:v>1831.9375</c:v>
                </c:pt>
                <c:pt idx="31">
                  <c:v>1892.96875</c:v>
                </c:pt>
                <c:pt idx="32">
                  <c:v>1954</c:v>
                </c:pt>
                <c:pt idx="33">
                  <c:v>2015.03125</c:v>
                </c:pt>
                <c:pt idx="34">
                  <c:v>2076.0625</c:v>
                </c:pt>
                <c:pt idx="35">
                  <c:v>2137.09375</c:v>
                </c:pt>
                <c:pt idx="36">
                  <c:v>2198.125</c:v>
                </c:pt>
                <c:pt idx="37">
                  <c:v>2259.15625</c:v>
                </c:pt>
                <c:pt idx="38">
                  <c:v>2320.1875</c:v>
                </c:pt>
                <c:pt idx="39">
                  <c:v>2381.21875</c:v>
                </c:pt>
                <c:pt idx="40">
                  <c:v>2442.25</c:v>
                </c:pt>
                <c:pt idx="41">
                  <c:v>2503.28125</c:v>
                </c:pt>
                <c:pt idx="42">
                  <c:v>2564.3125</c:v>
                </c:pt>
                <c:pt idx="43">
                  <c:v>2625.34375</c:v>
                </c:pt>
                <c:pt idx="44">
                  <c:v>2686.375</c:v>
                </c:pt>
                <c:pt idx="45">
                  <c:v>2747.40625</c:v>
                </c:pt>
                <c:pt idx="46">
                  <c:v>2808.4375</c:v>
                </c:pt>
                <c:pt idx="47">
                  <c:v>2869.46875</c:v>
                </c:pt>
                <c:pt idx="48">
                  <c:v>2930.5</c:v>
                </c:pt>
                <c:pt idx="49">
                  <c:v>2991.53125</c:v>
                </c:pt>
                <c:pt idx="50">
                  <c:v>3052.5625</c:v>
                </c:pt>
                <c:pt idx="51">
                  <c:v>3113.59375</c:v>
                </c:pt>
                <c:pt idx="52">
                  <c:v>3174.625</c:v>
                </c:pt>
                <c:pt idx="53">
                  <c:v>3235.65625</c:v>
                </c:pt>
                <c:pt idx="54">
                  <c:v>3296.6875</c:v>
                </c:pt>
                <c:pt idx="55">
                  <c:v>3357.71875</c:v>
                </c:pt>
                <c:pt idx="56">
                  <c:v>3418.75</c:v>
                </c:pt>
                <c:pt idx="57">
                  <c:v>3479.78125</c:v>
                </c:pt>
                <c:pt idx="58">
                  <c:v>3540.8125</c:v>
                </c:pt>
                <c:pt idx="59">
                  <c:v>3601.84375</c:v>
                </c:pt>
                <c:pt idx="60">
                  <c:v>3662.875</c:v>
                </c:pt>
                <c:pt idx="61">
                  <c:v>3723.90625</c:v>
                </c:pt>
                <c:pt idx="62">
                  <c:v>3784.9375</c:v>
                </c:pt>
                <c:pt idx="63">
                  <c:v>3845.96875</c:v>
                </c:pt>
                <c:pt idx="64">
                  <c:v>3907</c:v>
                </c:pt>
                <c:pt idx="65">
                  <c:v>3968.03125</c:v>
                </c:pt>
                <c:pt idx="66">
                  <c:v>4029.0625</c:v>
                </c:pt>
                <c:pt idx="67">
                  <c:v>4090.09375</c:v>
                </c:pt>
                <c:pt idx="68">
                  <c:v>4151.125</c:v>
                </c:pt>
                <c:pt idx="69">
                  <c:v>4212.15625</c:v>
                </c:pt>
                <c:pt idx="70">
                  <c:v>4273.1875</c:v>
                </c:pt>
                <c:pt idx="71">
                  <c:v>4334.21875</c:v>
                </c:pt>
                <c:pt idx="72">
                  <c:v>4395.25</c:v>
                </c:pt>
                <c:pt idx="73">
                  <c:v>4456.28125</c:v>
                </c:pt>
                <c:pt idx="74">
                  <c:v>4517.3125</c:v>
                </c:pt>
                <c:pt idx="75">
                  <c:v>4578.34375</c:v>
                </c:pt>
                <c:pt idx="76">
                  <c:v>4639.375</c:v>
                </c:pt>
                <c:pt idx="77">
                  <c:v>4700.40625</c:v>
                </c:pt>
                <c:pt idx="78">
                  <c:v>4761.4375</c:v>
                </c:pt>
                <c:pt idx="79">
                  <c:v>4822.46875</c:v>
                </c:pt>
                <c:pt idx="80">
                  <c:v>4883.5</c:v>
                </c:pt>
                <c:pt idx="81">
                  <c:v>4944.53125</c:v>
                </c:pt>
                <c:pt idx="82">
                  <c:v>5005.5625</c:v>
                </c:pt>
                <c:pt idx="83">
                  <c:v>5066.59375</c:v>
                </c:pt>
                <c:pt idx="84">
                  <c:v>5127.625</c:v>
                </c:pt>
                <c:pt idx="85">
                  <c:v>5188.65625</c:v>
                </c:pt>
                <c:pt idx="86">
                  <c:v>5249.6875</c:v>
                </c:pt>
                <c:pt idx="87">
                  <c:v>5310.71875</c:v>
                </c:pt>
                <c:pt idx="88">
                  <c:v>5371.75</c:v>
                </c:pt>
                <c:pt idx="89">
                  <c:v>5432.78125</c:v>
                </c:pt>
                <c:pt idx="90">
                  <c:v>5493.8125</c:v>
                </c:pt>
                <c:pt idx="91">
                  <c:v>5554.84375</c:v>
                </c:pt>
                <c:pt idx="92">
                  <c:v>5615.875</c:v>
                </c:pt>
                <c:pt idx="93">
                  <c:v>5676.90625</c:v>
                </c:pt>
                <c:pt idx="94">
                  <c:v>5737.9375</c:v>
                </c:pt>
                <c:pt idx="95">
                  <c:v>5798.96875</c:v>
                </c:pt>
                <c:pt idx="96">
                  <c:v>5860</c:v>
                </c:pt>
                <c:pt idx="97">
                  <c:v>5921.03125</c:v>
                </c:pt>
                <c:pt idx="98">
                  <c:v>5982.0625</c:v>
                </c:pt>
                <c:pt idx="99">
                  <c:v>6043.09375</c:v>
                </c:pt>
                <c:pt idx="100">
                  <c:v>6104.125</c:v>
                </c:pt>
                <c:pt idx="101">
                  <c:v>6165.15625</c:v>
                </c:pt>
                <c:pt idx="102">
                  <c:v>6226.1875</c:v>
                </c:pt>
                <c:pt idx="103">
                  <c:v>6287.21875</c:v>
                </c:pt>
                <c:pt idx="104">
                  <c:v>6348.25</c:v>
                </c:pt>
                <c:pt idx="105">
                  <c:v>6409.28125</c:v>
                </c:pt>
                <c:pt idx="106">
                  <c:v>6470.3125</c:v>
                </c:pt>
                <c:pt idx="107">
                  <c:v>6531.34375</c:v>
                </c:pt>
                <c:pt idx="108">
                  <c:v>6592.375</c:v>
                </c:pt>
                <c:pt idx="109">
                  <c:v>6653.40625</c:v>
                </c:pt>
                <c:pt idx="110">
                  <c:v>6714.4375</c:v>
                </c:pt>
                <c:pt idx="111">
                  <c:v>6775.46875</c:v>
                </c:pt>
                <c:pt idx="112">
                  <c:v>6836.5</c:v>
                </c:pt>
                <c:pt idx="113">
                  <c:v>6897.53125</c:v>
                </c:pt>
                <c:pt idx="114">
                  <c:v>6958.5625</c:v>
                </c:pt>
                <c:pt idx="115">
                  <c:v>7019.59375</c:v>
                </c:pt>
                <c:pt idx="116">
                  <c:v>7080.625</c:v>
                </c:pt>
                <c:pt idx="117">
                  <c:v>7141.65625</c:v>
                </c:pt>
                <c:pt idx="118">
                  <c:v>7202.6875</c:v>
                </c:pt>
                <c:pt idx="119">
                  <c:v>7263.71875</c:v>
                </c:pt>
                <c:pt idx="120">
                  <c:v>7324.75</c:v>
                </c:pt>
                <c:pt idx="121">
                  <c:v>7385.78125</c:v>
                </c:pt>
                <c:pt idx="122">
                  <c:v>7446.8125</c:v>
                </c:pt>
                <c:pt idx="123">
                  <c:v>7507.84375</c:v>
                </c:pt>
                <c:pt idx="124">
                  <c:v>7568.875</c:v>
                </c:pt>
                <c:pt idx="125">
                  <c:v>7629.90625</c:v>
                </c:pt>
                <c:pt idx="126">
                  <c:v>7690.9375</c:v>
                </c:pt>
                <c:pt idx="127">
                  <c:v>7751.96875</c:v>
                </c:pt>
              </c:numCache>
            </c:numRef>
          </c:xVal>
          <c:yVal>
            <c:numRef>
              <c:f>data!$B$44:$DY$44</c:f>
              <c:numCache>
                <c:formatCode>General</c:formatCode>
                <c:ptCount val="128"/>
                <c:pt idx="0">
                  <c:v>410.86692191051702</c:v>
                </c:pt>
                <c:pt idx="1">
                  <c:v>88.676254677330803</c:v>
                </c:pt>
                <c:pt idx="2">
                  <c:v>91.980874990637204</c:v>
                </c:pt>
                <c:pt idx="3">
                  <c:v>92.514408337652299</c:v>
                </c:pt>
                <c:pt idx="4">
                  <c:v>79.140317768373905</c:v>
                </c:pt>
                <c:pt idx="5">
                  <c:v>82.617243757010996</c:v>
                </c:pt>
                <c:pt idx="6">
                  <c:v>83.240260021165795</c:v>
                </c:pt>
                <c:pt idx="7">
                  <c:v>85.978440450611402</c:v>
                </c:pt>
                <c:pt idx="8">
                  <c:v>86.352945390984303</c:v>
                </c:pt>
                <c:pt idx="9">
                  <c:v>84.936871945417678</c:v>
                </c:pt>
                <c:pt idx="10">
                  <c:v>82.983511617545659</c:v>
                </c:pt>
                <c:pt idx="11">
                  <c:v>81.172311173114707</c:v>
                </c:pt>
                <c:pt idx="12">
                  <c:v>81.389869113382531</c:v>
                </c:pt>
                <c:pt idx="13">
                  <c:v>78.077396362737886</c:v>
                </c:pt>
                <c:pt idx="14">
                  <c:v>76.700979403823737</c:v>
                </c:pt>
                <c:pt idx="15">
                  <c:v>75.81495457191815</c:v>
                </c:pt>
                <c:pt idx="16">
                  <c:v>76.35474858423828</c:v>
                </c:pt>
                <c:pt idx="17">
                  <c:v>76.626667110550514</c:v>
                </c:pt>
                <c:pt idx="18">
                  <c:v>77.74090678041361</c:v>
                </c:pt>
                <c:pt idx="19">
                  <c:v>77.303483699106806</c:v>
                </c:pt>
                <c:pt idx="20">
                  <c:v>78.206187155325409</c:v>
                </c:pt>
                <c:pt idx="21">
                  <c:v>79.042133073505099</c:v>
                </c:pt>
                <c:pt idx="22">
                  <c:v>79.823429303532819</c:v>
                </c:pt>
                <c:pt idx="23">
                  <c:v>80.667071692088655</c:v>
                </c:pt>
                <c:pt idx="24">
                  <c:v>82.469344028288276</c:v>
                </c:pt>
                <c:pt idx="25">
                  <c:v>82.600365153869205</c:v>
                </c:pt>
                <c:pt idx="26">
                  <c:v>83.303733380938226</c:v>
                </c:pt>
                <c:pt idx="27">
                  <c:v>83.117060740358042</c:v>
                </c:pt>
                <c:pt idx="28">
                  <c:v>84.25444515883818</c:v>
                </c:pt>
                <c:pt idx="29">
                  <c:v>87.060247720427014</c:v>
                </c:pt>
                <c:pt idx="30">
                  <c:v>80.817179887720158</c:v>
                </c:pt>
                <c:pt idx="31">
                  <c:v>76.416132573079096</c:v>
                </c:pt>
                <c:pt idx="32">
                  <c:v>75.62169074852045</c:v>
                </c:pt>
                <c:pt idx="33">
                  <c:v>74.786054943510351</c:v>
                </c:pt>
                <c:pt idx="34">
                  <c:v>73.145182051032151</c:v>
                </c:pt>
                <c:pt idx="35">
                  <c:v>71.365066801118843</c:v>
                </c:pt>
                <c:pt idx="36">
                  <c:v>69.758526092837542</c:v>
                </c:pt>
                <c:pt idx="37">
                  <c:v>68.089769989768243</c:v>
                </c:pt>
                <c:pt idx="38">
                  <c:v>66.619969872720148</c:v>
                </c:pt>
                <c:pt idx="39">
                  <c:v>65.415311275086566</c:v>
                </c:pt>
                <c:pt idx="40">
                  <c:v>64.425164683661677</c:v>
                </c:pt>
                <c:pt idx="41">
                  <c:v>64.016690696685586</c:v>
                </c:pt>
                <c:pt idx="42">
                  <c:v>63.979873444420797</c:v>
                </c:pt>
                <c:pt idx="43">
                  <c:v>63.99199040409561</c:v>
                </c:pt>
                <c:pt idx="44">
                  <c:v>64.506444470812113</c:v>
                </c:pt>
                <c:pt idx="45">
                  <c:v>64.826268809445423</c:v>
                </c:pt>
                <c:pt idx="46">
                  <c:v>64.444865971308147</c:v>
                </c:pt>
                <c:pt idx="47">
                  <c:v>63.98803245218231</c:v>
                </c:pt>
                <c:pt idx="48">
                  <c:v>64.339570866798269</c:v>
                </c:pt>
                <c:pt idx="49">
                  <c:v>64.734903158948924</c:v>
                </c:pt>
                <c:pt idx="50">
                  <c:v>66.054908108186495</c:v>
                </c:pt>
                <c:pt idx="51">
                  <c:v>68.665594190412946</c:v>
                </c:pt>
                <c:pt idx="52">
                  <c:v>71.887647279031412</c:v>
                </c:pt>
                <c:pt idx="53">
                  <c:v>73.195180358552079</c:v>
                </c:pt>
                <c:pt idx="54">
                  <c:v>68.04445232437584</c:v>
                </c:pt>
                <c:pt idx="55">
                  <c:v>63.660715719912808</c:v>
                </c:pt>
                <c:pt idx="56">
                  <c:v>61.00259840398482</c:v>
                </c:pt>
                <c:pt idx="57">
                  <c:v>59.169711203746296</c:v>
                </c:pt>
                <c:pt idx="58">
                  <c:v>57.606742171401471</c:v>
                </c:pt>
                <c:pt idx="59">
                  <c:v>56.222998147362638</c:v>
                </c:pt>
                <c:pt idx="60">
                  <c:v>54.722805919927715</c:v>
                </c:pt>
                <c:pt idx="61">
                  <c:v>53.394502960491188</c:v>
                </c:pt>
                <c:pt idx="62">
                  <c:v>52.148677815252555</c:v>
                </c:pt>
                <c:pt idx="63">
                  <c:v>50.988439778218634</c:v>
                </c:pt>
                <c:pt idx="64">
                  <c:v>49.797703222994805</c:v>
                </c:pt>
                <c:pt idx="65">
                  <c:v>48.93076757203238</c:v>
                </c:pt>
                <c:pt idx="66">
                  <c:v>47.93014103839095</c:v>
                </c:pt>
                <c:pt idx="67">
                  <c:v>46.593341563817226</c:v>
                </c:pt>
                <c:pt idx="68">
                  <c:v>45.304679568734379</c:v>
                </c:pt>
                <c:pt idx="69">
                  <c:v>44.865924165105042</c:v>
                </c:pt>
                <c:pt idx="70">
                  <c:v>44.956718978420696</c:v>
                </c:pt>
                <c:pt idx="71">
                  <c:v>45.076165431011759</c:v>
                </c:pt>
                <c:pt idx="72">
                  <c:v>45.56610714300912</c:v>
                </c:pt>
                <c:pt idx="73">
                  <c:v>46.415239285081682</c:v>
                </c:pt>
                <c:pt idx="74">
                  <c:v>47.476534121484335</c:v>
                </c:pt>
                <c:pt idx="75">
                  <c:v>48.855324117535702</c:v>
                </c:pt>
                <c:pt idx="76">
                  <c:v>50.038259982237165</c:v>
                </c:pt>
                <c:pt idx="77">
                  <c:v>50.545997554599225</c:v>
                </c:pt>
                <c:pt idx="78">
                  <c:v>51.421812762786281</c:v>
                </c:pt>
                <c:pt idx="79">
                  <c:v>52.250062055868241</c:v>
                </c:pt>
                <c:pt idx="80">
                  <c:v>52.712385326294104</c:v>
                </c:pt>
                <c:pt idx="81">
                  <c:v>53.128656987187355</c:v>
                </c:pt>
                <c:pt idx="82">
                  <c:v>53.666206081774924</c:v>
                </c:pt>
                <c:pt idx="83">
                  <c:v>54.563733211201985</c:v>
                </c:pt>
                <c:pt idx="84">
                  <c:v>55.915948752011644</c:v>
                </c:pt>
                <c:pt idx="85">
                  <c:v>56.880099819500863</c:v>
                </c:pt>
                <c:pt idx="86">
                  <c:v>56.911454534724584</c:v>
                </c:pt>
                <c:pt idx="87">
                  <c:v>56.623004896174699</c:v>
                </c:pt>
                <c:pt idx="88">
                  <c:v>56.325186074558715</c:v>
                </c:pt>
                <c:pt idx="89">
                  <c:v>56.008042550783045</c:v>
                </c:pt>
                <c:pt idx="90">
                  <c:v>55.543415809933464</c:v>
                </c:pt>
                <c:pt idx="91">
                  <c:v>55.309259638724086</c:v>
                </c:pt>
                <c:pt idx="92">
                  <c:v>55.003434341151504</c:v>
                </c:pt>
                <c:pt idx="93">
                  <c:v>54.845497507788721</c:v>
                </c:pt>
                <c:pt idx="94">
                  <c:v>54.633852726159141</c:v>
                </c:pt>
                <c:pt idx="95">
                  <c:v>54.729295227648862</c:v>
                </c:pt>
                <c:pt idx="96">
                  <c:v>54.831373864632575</c:v>
                </c:pt>
                <c:pt idx="97">
                  <c:v>55.058607536114394</c:v>
                </c:pt>
                <c:pt idx="98">
                  <c:v>55.244276250313717</c:v>
                </c:pt>
                <c:pt idx="99">
                  <c:v>55.337074047808436</c:v>
                </c:pt>
                <c:pt idx="100">
                  <c:v>55.635728239579151</c:v>
                </c:pt>
                <c:pt idx="101">
                  <c:v>56.025068342288371</c:v>
                </c:pt>
                <c:pt idx="102">
                  <c:v>56.28841311086029</c:v>
                </c:pt>
                <c:pt idx="103">
                  <c:v>56.573169003927312</c:v>
                </c:pt>
                <c:pt idx="104">
                  <c:v>57.00452495316113</c:v>
                </c:pt>
                <c:pt idx="105">
                  <c:v>57.343293814913103</c:v>
                </c:pt>
                <c:pt idx="106">
                  <c:v>57.711403379279602</c:v>
                </c:pt>
                <c:pt idx="107">
                  <c:v>58.071805684165099</c:v>
                </c:pt>
                <c:pt idx="108">
                  <c:v>58.312296981783803</c:v>
                </c:pt>
                <c:pt idx="109">
                  <c:v>58.240592254959502</c:v>
                </c:pt>
                <c:pt idx="110">
                  <c:v>58.436905072521299</c:v>
                </c:pt>
                <c:pt idx="111">
                  <c:v>58.570642704783701</c:v>
                </c:pt>
                <c:pt idx="112">
                  <c:v>58.5993313693697</c:v>
                </c:pt>
                <c:pt idx="113">
                  <c:v>58.809801162613397</c:v>
                </c:pt>
                <c:pt idx="114">
                  <c:v>59.2444809931701</c:v>
                </c:pt>
                <c:pt idx="115">
                  <c:v>59.1598291077608</c:v>
                </c:pt>
                <c:pt idx="116">
                  <c:v>59.069422024865801</c:v>
                </c:pt>
                <c:pt idx="117">
                  <c:v>59.203410645865503</c:v>
                </c:pt>
                <c:pt idx="118">
                  <c:v>59.082664998728099</c:v>
                </c:pt>
                <c:pt idx="119">
                  <c:v>58.983161598554702</c:v>
                </c:pt>
                <c:pt idx="120">
                  <c:v>58.966840355848298</c:v>
                </c:pt>
                <c:pt idx="121">
                  <c:v>59.224172692314099</c:v>
                </c:pt>
                <c:pt idx="122">
                  <c:v>60.120643862321501</c:v>
                </c:pt>
                <c:pt idx="123">
                  <c:v>61.424750027150203</c:v>
                </c:pt>
                <c:pt idx="124">
                  <c:v>62.830263617403503</c:v>
                </c:pt>
                <c:pt idx="125">
                  <c:v>65.0671655396376</c:v>
                </c:pt>
                <c:pt idx="126">
                  <c:v>67.775079284165301</c:v>
                </c:pt>
                <c:pt idx="127">
                  <c:v>71.348564922667194</c:v>
                </c:pt>
              </c:numCache>
            </c:numRef>
          </c:yVal>
          <c:smooth val="1"/>
        </c:ser>
        <c:ser>
          <c:idx val="13"/>
          <c:order val="13"/>
          <c:tx>
            <c:strRef>
              <c:f>data!$A$45</c:f>
              <c:strCache>
                <c:ptCount val="1"/>
                <c:pt idx="0">
                  <c:v>B70_RS_P5_030_RECOVER_rear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data!$B$31:$DY$31</c:f>
              <c:numCache>
                <c:formatCode>General</c:formatCode>
                <c:ptCount val="128"/>
                <c:pt idx="0">
                  <c:v>1</c:v>
                </c:pt>
                <c:pt idx="1">
                  <c:v>62.03125</c:v>
                </c:pt>
                <c:pt idx="2">
                  <c:v>123.0625</c:v>
                </c:pt>
                <c:pt idx="3">
                  <c:v>184.09375</c:v>
                </c:pt>
                <c:pt idx="4">
                  <c:v>245.125</c:v>
                </c:pt>
                <c:pt idx="5">
                  <c:v>306.15625</c:v>
                </c:pt>
                <c:pt idx="6">
                  <c:v>367.1875</c:v>
                </c:pt>
                <c:pt idx="7">
                  <c:v>428.21875</c:v>
                </c:pt>
                <c:pt idx="8">
                  <c:v>489.25</c:v>
                </c:pt>
                <c:pt idx="9">
                  <c:v>550.28125</c:v>
                </c:pt>
                <c:pt idx="10">
                  <c:v>611.3125</c:v>
                </c:pt>
                <c:pt idx="11">
                  <c:v>672.34375</c:v>
                </c:pt>
                <c:pt idx="12">
                  <c:v>733.375</c:v>
                </c:pt>
                <c:pt idx="13">
                  <c:v>794.40625</c:v>
                </c:pt>
                <c:pt idx="14">
                  <c:v>855.4375</c:v>
                </c:pt>
                <c:pt idx="15">
                  <c:v>916.46875</c:v>
                </c:pt>
                <c:pt idx="16">
                  <c:v>977.5</c:v>
                </c:pt>
                <c:pt idx="17">
                  <c:v>1038.53125</c:v>
                </c:pt>
                <c:pt idx="18">
                  <c:v>1099.5625</c:v>
                </c:pt>
                <c:pt idx="19">
                  <c:v>1160.59375</c:v>
                </c:pt>
                <c:pt idx="20">
                  <c:v>1221.625</c:v>
                </c:pt>
                <c:pt idx="21">
                  <c:v>1282.65625</c:v>
                </c:pt>
                <c:pt idx="22">
                  <c:v>1343.6875</c:v>
                </c:pt>
                <c:pt idx="23">
                  <c:v>1404.71875</c:v>
                </c:pt>
                <c:pt idx="24">
                  <c:v>1465.75</c:v>
                </c:pt>
                <c:pt idx="25">
                  <c:v>1526.78125</c:v>
                </c:pt>
                <c:pt idx="26">
                  <c:v>1587.8125</c:v>
                </c:pt>
                <c:pt idx="27">
                  <c:v>1648.84375</c:v>
                </c:pt>
                <c:pt idx="28">
                  <c:v>1709.875</c:v>
                </c:pt>
                <c:pt idx="29">
                  <c:v>1770.90625</c:v>
                </c:pt>
                <c:pt idx="30">
                  <c:v>1831.9375</c:v>
                </c:pt>
                <c:pt idx="31">
                  <c:v>1892.96875</c:v>
                </c:pt>
                <c:pt idx="32">
                  <c:v>1954</c:v>
                </c:pt>
                <c:pt idx="33">
                  <c:v>2015.03125</c:v>
                </c:pt>
                <c:pt idx="34">
                  <c:v>2076.0625</c:v>
                </c:pt>
                <c:pt idx="35">
                  <c:v>2137.09375</c:v>
                </c:pt>
                <c:pt idx="36">
                  <c:v>2198.125</c:v>
                </c:pt>
                <c:pt idx="37">
                  <c:v>2259.15625</c:v>
                </c:pt>
                <c:pt idx="38">
                  <c:v>2320.1875</c:v>
                </c:pt>
                <c:pt idx="39">
                  <c:v>2381.21875</c:v>
                </c:pt>
                <c:pt idx="40">
                  <c:v>2442.25</c:v>
                </c:pt>
                <c:pt idx="41">
                  <c:v>2503.28125</c:v>
                </c:pt>
                <c:pt idx="42">
                  <c:v>2564.3125</c:v>
                </c:pt>
                <c:pt idx="43">
                  <c:v>2625.34375</c:v>
                </c:pt>
                <c:pt idx="44">
                  <c:v>2686.375</c:v>
                </c:pt>
                <c:pt idx="45">
                  <c:v>2747.40625</c:v>
                </c:pt>
                <c:pt idx="46">
                  <c:v>2808.4375</c:v>
                </c:pt>
                <c:pt idx="47">
                  <c:v>2869.46875</c:v>
                </c:pt>
                <c:pt idx="48">
                  <c:v>2930.5</c:v>
                </c:pt>
                <c:pt idx="49">
                  <c:v>2991.53125</c:v>
                </c:pt>
                <c:pt idx="50">
                  <c:v>3052.5625</c:v>
                </c:pt>
                <c:pt idx="51">
                  <c:v>3113.59375</c:v>
                </c:pt>
                <c:pt idx="52">
                  <c:v>3174.625</c:v>
                </c:pt>
                <c:pt idx="53">
                  <c:v>3235.65625</c:v>
                </c:pt>
                <c:pt idx="54">
                  <c:v>3296.6875</c:v>
                </c:pt>
                <c:pt idx="55">
                  <c:v>3357.71875</c:v>
                </c:pt>
                <c:pt idx="56">
                  <c:v>3418.75</c:v>
                </c:pt>
                <c:pt idx="57">
                  <c:v>3479.78125</c:v>
                </c:pt>
                <c:pt idx="58">
                  <c:v>3540.8125</c:v>
                </c:pt>
                <c:pt idx="59">
                  <c:v>3601.84375</c:v>
                </c:pt>
                <c:pt idx="60">
                  <c:v>3662.875</c:v>
                </c:pt>
                <c:pt idx="61">
                  <c:v>3723.90625</c:v>
                </c:pt>
                <c:pt idx="62">
                  <c:v>3784.9375</c:v>
                </c:pt>
                <c:pt idx="63">
                  <c:v>3845.96875</c:v>
                </c:pt>
                <c:pt idx="64">
                  <c:v>3907</c:v>
                </c:pt>
                <c:pt idx="65">
                  <c:v>3968.03125</c:v>
                </c:pt>
                <c:pt idx="66">
                  <c:v>4029.0625</c:v>
                </c:pt>
                <c:pt idx="67">
                  <c:v>4090.09375</c:v>
                </c:pt>
                <c:pt idx="68">
                  <c:v>4151.125</c:v>
                </c:pt>
                <c:pt idx="69">
                  <c:v>4212.15625</c:v>
                </c:pt>
                <c:pt idx="70">
                  <c:v>4273.1875</c:v>
                </c:pt>
                <c:pt idx="71">
                  <c:v>4334.21875</c:v>
                </c:pt>
                <c:pt idx="72">
                  <c:v>4395.25</c:v>
                </c:pt>
                <c:pt idx="73">
                  <c:v>4456.28125</c:v>
                </c:pt>
                <c:pt idx="74">
                  <c:v>4517.3125</c:v>
                </c:pt>
                <c:pt idx="75">
                  <c:v>4578.34375</c:v>
                </c:pt>
                <c:pt idx="76">
                  <c:v>4639.375</c:v>
                </c:pt>
                <c:pt idx="77">
                  <c:v>4700.40625</c:v>
                </c:pt>
                <c:pt idx="78">
                  <c:v>4761.4375</c:v>
                </c:pt>
                <c:pt idx="79">
                  <c:v>4822.46875</c:v>
                </c:pt>
                <c:pt idx="80">
                  <c:v>4883.5</c:v>
                </c:pt>
                <c:pt idx="81">
                  <c:v>4944.53125</c:v>
                </c:pt>
                <c:pt idx="82">
                  <c:v>5005.5625</c:v>
                </c:pt>
                <c:pt idx="83">
                  <c:v>5066.59375</c:v>
                </c:pt>
                <c:pt idx="84">
                  <c:v>5127.625</c:v>
                </c:pt>
                <c:pt idx="85">
                  <c:v>5188.65625</c:v>
                </c:pt>
                <c:pt idx="86">
                  <c:v>5249.6875</c:v>
                </c:pt>
                <c:pt idx="87">
                  <c:v>5310.71875</c:v>
                </c:pt>
                <c:pt idx="88">
                  <c:v>5371.75</c:v>
                </c:pt>
                <c:pt idx="89">
                  <c:v>5432.78125</c:v>
                </c:pt>
                <c:pt idx="90">
                  <c:v>5493.8125</c:v>
                </c:pt>
                <c:pt idx="91">
                  <c:v>5554.84375</c:v>
                </c:pt>
                <c:pt idx="92">
                  <c:v>5615.875</c:v>
                </c:pt>
                <c:pt idx="93">
                  <c:v>5676.90625</c:v>
                </c:pt>
                <c:pt idx="94">
                  <c:v>5737.9375</c:v>
                </c:pt>
                <c:pt idx="95">
                  <c:v>5798.96875</c:v>
                </c:pt>
                <c:pt idx="96">
                  <c:v>5860</c:v>
                </c:pt>
                <c:pt idx="97">
                  <c:v>5921.03125</c:v>
                </c:pt>
                <c:pt idx="98">
                  <c:v>5982.0625</c:v>
                </c:pt>
                <c:pt idx="99">
                  <c:v>6043.09375</c:v>
                </c:pt>
                <c:pt idx="100">
                  <c:v>6104.125</c:v>
                </c:pt>
                <c:pt idx="101">
                  <c:v>6165.15625</c:v>
                </c:pt>
                <c:pt idx="102">
                  <c:v>6226.1875</c:v>
                </c:pt>
                <c:pt idx="103">
                  <c:v>6287.21875</c:v>
                </c:pt>
                <c:pt idx="104">
                  <c:v>6348.25</c:v>
                </c:pt>
                <c:pt idx="105">
                  <c:v>6409.28125</c:v>
                </c:pt>
                <c:pt idx="106">
                  <c:v>6470.3125</c:v>
                </c:pt>
                <c:pt idx="107">
                  <c:v>6531.34375</c:v>
                </c:pt>
                <c:pt idx="108">
                  <c:v>6592.375</c:v>
                </c:pt>
                <c:pt idx="109">
                  <c:v>6653.40625</c:v>
                </c:pt>
                <c:pt idx="110">
                  <c:v>6714.4375</c:v>
                </c:pt>
                <c:pt idx="111">
                  <c:v>6775.46875</c:v>
                </c:pt>
                <c:pt idx="112">
                  <c:v>6836.5</c:v>
                </c:pt>
                <c:pt idx="113">
                  <c:v>6897.53125</c:v>
                </c:pt>
                <c:pt idx="114">
                  <c:v>6958.5625</c:v>
                </c:pt>
                <c:pt idx="115">
                  <c:v>7019.59375</c:v>
                </c:pt>
                <c:pt idx="116">
                  <c:v>7080.625</c:v>
                </c:pt>
                <c:pt idx="117">
                  <c:v>7141.65625</c:v>
                </c:pt>
                <c:pt idx="118">
                  <c:v>7202.6875</c:v>
                </c:pt>
                <c:pt idx="119">
                  <c:v>7263.71875</c:v>
                </c:pt>
                <c:pt idx="120">
                  <c:v>7324.75</c:v>
                </c:pt>
                <c:pt idx="121">
                  <c:v>7385.78125</c:v>
                </c:pt>
                <c:pt idx="122">
                  <c:v>7446.8125</c:v>
                </c:pt>
                <c:pt idx="123">
                  <c:v>7507.84375</c:v>
                </c:pt>
                <c:pt idx="124">
                  <c:v>7568.875</c:v>
                </c:pt>
                <c:pt idx="125">
                  <c:v>7629.90625</c:v>
                </c:pt>
                <c:pt idx="126">
                  <c:v>7690.9375</c:v>
                </c:pt>
                <c:pt idx="127">
                  <c:v>7751.96875</c:v>
                </c:pt>
              </c:numCache>
            </c:numRef>
          </c:xVal>
          <c:yVal>
            <c:numRef>
              <c:f>data!$B$45:$DY$45</c:f>
              <c:numCache>
                <c:formatCode>General</c:formatCode>
                <c:ptCount val="128"/>
                <c:pt idx="0">
                  <c:v>391.24056616987201</c:v>
                </c:pt>
                <c:pt idx="1">
                  <c:v>108.9649919969344</c:v>
                </c:pt>
                <c:pt idx="2">
                  <c:v>91.885580910890198</c:v>
                </c:pt>
                <c:pt idx="3">
                  <c:v>94.688577962523098</c:v>
                </c:pt>
                <c:pt idx="4">
                  <c:v>96.181159481597604</c:v>
                </c:pt>
                <c:pt idx="5">
                  <c:v>101.6296269207633</c:v>
                </c:pt>
                <c:pt idx="6">
                  <c:v>99.758135237938106</c:v>
                </c:pt>
                <c:pt idx="7">
                  <c:v>99.339356692509597</c:v>
                </c:pt>
                <c:pt idx="8">
                  <c:v>92.272838191901798</c:v>
                </c:pt>
                <c:pt idx="9">
                  <c:v>94.448736302629783</c:v>
                </c:pt>
                <c:pt idx="10">
                  <c:v>89.769114539284047</c:v>
                </c:pt>
                <c:pt idx="11">
                  <c:v>83.305999492213203</c:v>
                </c:pt>
                <c:pt idx="12">
                  <c:v>81.667205219068535</c:v>
                </c:pt>
                <c:pt idx="13">
                  <c:v>81.423587202304191</c:v>
                </c:pt>
                <c:pt idx="14">
                  <c:v>83.244712417698736</c:v>
                </c:pt>
                <c:pt idx="15">
                  <c:v>81.927009379321348</c:v>
                </c:pt>
                <c:pt idx="16">
                  <c:v>83.887533855160783</c:v>
                </c:pt>
                <c:pt idx="17">
                  <c:v>84.561366463758418</c:v>
                </c:pt>
                <c:pt idx="18">
                  <c:v>85.855221267445998</c:v>
                </c:pt>
                <c:pt idx="19">
                  <c:v>87.912250945386006</c:v>
                </c:pt>
                <c:pt idx="20">
                  <c:v>88.868068349750402</c:v>
                </c:pt>
                <c:pt idx="21">
                  <c:v>90.318412944709095</c:v>
                </c:pt>
                <c:pt idx="22">
                  <c:v>90.449359735463915</c:v>
                </c:pt>
                <c:pt idx="23">
                  <c:v>96.22401559360965</c:v>
                </c:pt>
                <c:pt idx="24">
                  <c:v>100.46516557070927</c:v>
                </c:pt>
                <c:pt idx="25">
                  <c:v>98.21436261120391</c:v>
                </c:pt>
                <c:pt idx="26">
                  <c:v>93.647860025679933</c:v>
                </c:pt>
                <c:pt idx="27">
                  <c:v>93.450662144981749</c:v>
                </c:pt>
                <c:pt idx="28">
                  <c:v>89.236882492184591</c:v>
                </c:pt>
                <c:pt idx="29">
                  <c:v>87.535761017500818</c:v>
                </c:pt>
                <c:pt idx="30">
                  <c:v>79.315662353987165</c:v>
                </c:pt>
                <c:pt idx="31">
                  <c:v>77.198311992597809</c:v>
                </c:pt>
                <c:pt idx="32">
                  <c:v>75.910176964267748</c:v>
                </c:pt>
                <c:pt idx="33">
                  <c:v>74.795640885412951</c:v>
                </c:pt>
                <c:pt idx="34">
                  <c:v>72.811343204760846</c:v>
                </c:pt>
                <c:pt idx="35">
                  <c:v>71.214858875121735</c:v>
                </c:pt>
                <c:pt idx="36">
                  <c:v>69.517664128337145</c:v>
                </c:pt>
                <c:pt idx="37">
                  <c:v>67.799406266933232</c:v>
                </c:pt>
                <c:pt idx="38">
                  <c:v>65.937350595660149</c:v>
                </c:pt>
                <c:pt idx="39">
                  <c:v>63.993209632672958</c:v>
                </c:pt>
                <c:pt idx="40">
                  <c:v>62.744486599570472</c:v>
                </c:pt>
                <c:pt idx="41">
                  <c:v>61.435968482941583</c:v>
                </c:pt>
                <c:pt idx="42">
                  <c:v>60.795774718197293</c:v>
                </c:pt>
                <c:pt idx="43">
                  <c:v>59.875476510188911</c:v>
                </c:pt>
                <c:pt idx="44">
                  <c:v>59.406662939761922</c:v>
                </c:pt>
                <c:pt idx="45">
                  <c:v>59.007802264868332</c:v>
                </c:pt>
                <c:pt idx="46">
                  <c:v>58.439784720453041</c:v>
                </c:pt>
                <c:pt idx="47">
                  <c:v>57.94104896467951</c:v>
                </c:pt>
                <c:pt idx="48">
                  <c:v>57.74044685587856</c:v>
                </c:pt>
                <c:pt idx="49">
                  <c:v>57.574600501773332</c:v>
                </c:pt>
                <c:pt idx="50">
                  <c:v>57.285736622009495</c:v>
                </c:pt>
                <c:pt idx="51">
                  <c:v>57.092487520782754</c:v>
                </c:pt>
                <c:pt idx="52">
                  <c:v>56.700951029989518</c:v>
                </c:pt>
                <c:pt idx="53">
                  <c:v>56.634839728547078</c:v>
                </c:pt>
                <c:pt idx="54">
                  <c:v>56.181605762968843</c:v>
                </c:pt>
                <c:pt idx="55">
                  <c:v>55.988075054150904</c:v>
                </c:pt>
                <c:pt idx="56">
                  <c:v>56.172625043985619</c:v>
                </c:pt>
                <c:pt idx="57">
                  <c:v>56.250708357884797</c:v>
                </c:pt>
                <c:pt idx="58">
                  <c:v>56.034794903669173</c:v>
                </c:pt>
                <c:pt idx="59">
                  <c:v>55.423912009957142</c:v>
                </c:pt>
                <c:pt idx="60">
                  <c:v>54.899378827967311</c:v>
                </c:pt>
                <c:pt idx="61">
                  <c:v>54.458925918650188</c:v>
                </c:pt>
                <c:pt idx="62">
                  <c:v>54.486019367474967</c:v>
                </c:pt>
                <c:pt idx="63">
                  <c:v>54.003869203005529</c:v>
                </c:pt>
                <c:pt idx="64">
                  <c:v>53.965695044797208</c:v>
                </c:pt>
                <c:pt idx="65">
                  <c:v>54.301788298397177</c:v>
                </c:pt>
                <c:pt idx="66">
                  <c:v>53.485810578573847</c:v>
                </c:pt>
                <c:pt idx="67">
                  <c:v>52.105315080949225</c:v>
                </c:pt>
                <c:pt idx="68">
                  <c:v>50.698159957617982</c:v>
                </c:pt>
                <c:pt idx="69">
                  <c:v>49.918235537230139</c:v>
                </c:pt>
                <c:pt idx="70">
                  <c:v>50.121238267575094</c:v>
                </c:pt>
                <c:pt idx="71">
                  <c:v>50.63617514619186</c:v>
                </c:pt>
                <c:pt idx="72">
                  <c:v>51.447312961002822</c:v>
                </c:pt>
                <c:pt idx="73">
                  <c:v>53.013515469830182</c:v>
                </c:pt>
                <c:pt idx="74">
                  <c:v>55.194695542106537</c:v>
                </c:pt>
                <c:pt idx="75">
                  <c:v>58.119571028845101</c:v>
                </c:pt>
                <c:pt idx="76">
                  <c:v>60.849556726822961</c:v>
                </c:pt>
                <c:pt idx="77">
                  <c:v>61.745221793426225</c:v>
                </c:pt>
                <c:pt idx="78">
                  <c:v>68.115916445354983</c:v>
                </c:pt>
                <c:pt idx="79">
                  <c:v>75.151420994828754</c:v>
                </c:pt>
                <c:pt idx="80">
                  <c:v>66.583307118985203</c:v>
                </c:pt>
                <c:pt idx="81">
                  <c:v>61.929908169587655</c:v>
                </c:pt>
                <c:pt idx="82">
                  <c:v>58.810474678189223</c:v>
                </c:pt>
                <c:pt idx="83">
                  <c:v>56.896218558681582</c:v>
                </c:pt>
                <c:pt idx="84">
                  <c:v>57.795722093169744</c:v>
                </c:pt>
                <c:pt idx="85">
                  <c:v>64.64353797786697</c:v>
                </c:pt>
                <c:pt idx="86">
                  <c:v>77.836624278495393</c:v>
                </c:pt>
                <c:pt idx="87">
                  <c:v>72.473353010328111</c:v>
                </c:pt>
                <c:pt idx="88">
                  <c:v>68.090709625531716</c:v>
                </c:pt>
                <c:pt idx="89">
                  <c:v>65.450722462208645</c:v>
                </c:pt>
                <c:pt idx="90">
                  <c:v>62.977083133890261</c:v>
                </c:pt>
                <c:pt idx="91">
                  <c:v>61.198490610312774</c:v>
                </c:pt>
                <c:pt idx="92">
                  <c:v>59.758666338462405</c:v>
                </c:pt>
                <c:pt idx="93">
                  <c:v>58.878440803045322</c:v>
                </c:pt>
                <c:pt idx="94">
                  <c:v>58.578020214773638</c:v>
                </c:pt>
                <c:pt idx="95">
                  <c:v>59.946408353666456</c:v>
                </c:pt>
                <c:pt idx="96">
                  <c:v>59.615349637113276</c:v>
                </c:pt>
                <c:pt idx="97">
                  <c:v>58.975732662809399</c:v>
                </c:pt>
                <c:pt idx="98">
                  <c:v>58.348933845072914</c:v>
                </c:pt>
                <c:pt idx="99">
                  <c:v>57.964325322406538</c:v>
                </c:pt>
                <c:pt idx="100">
                  <c:v>57.965018834655652</c:v>
                </c:pt>
                <c:pt idx="101">
                  <c:v>58.34509501645617</c:v>
                </c:pt>
                <c:pt idx="102">
                  <c:v>59.03128287344029</c:v>
                </c:pt>
                <c:pt idx="103">
                  <c:v>59.664684666986609</c:v>
                </c:pt>
                <c:pt idx="104">
                  <c:v>60.611021072533731</c:v>
                </c:pt>
                <c:pt idx="105">
                  <c:v>61.224071169837998</c:v>
                </c:pt>
                <c:pt idx="106">
                  <c:v>62.099285944335001</c:v>
                </c:pt>
                <c:pt idx="107">
                  <c:v>62.2446342974064</c:v>
                </c:pt>
                <c:pt idx="108">
                  <c:v>62.743242059944599</c:v>
                </c:pt>
                <c:pt idx="109">
                  <c:v>62.748454434348702</c:v>
                </c:pt>
                <c:pt idx="110">
                  <c:v>62.633728977756597</c:v>
                </c:pt>
                <c:pt idx="111">
                  <c:v>62.562825757782903</c:v>
                </c:pt>
                <c:pt idx="112">
                  <c:v>62.597292789058997</c:v>
                </c:pt>
                <c:pt idx="113">
                  <c:v>63.212542793549297</c:v>
                </c:pt>
                <c:pt idx="114">
                  <c:v>63.244959278447602</c:v>
                </c:pt>
                <c:pt idx="115">
                  <c:v>62.599626684120203</c:v>
                </c:pt>
                <c:pt idx="116">
                  <c:v>62.079076826324801</c:v>
                </c:pt>
                <c:pt idx="117">
                  <c:v>61.950316991266398</c:v>
                </c:pt>
                <c:pt idx="118">
                  <c:v>61.8845955710702</c:v>
                </c:pt>
                <c:pt idx="119">
                  <c:v>61.290838946047003</c:v>
                </c:pt>
                <c:pt idx="120">
                  <c:v>60.756768089683497</c:v>
                </c:pt>
                <c:pt idx="121">
                  <c:v>60.704171538265498</c:v>
                </c:pt>
                <c:pt idx="122">
                  <c:v>61.270429845738597</c:v>
                </c:pt>
                <c:pt idx="123">
                  <c:v>61.908932223053903</c:v>
                </c:pt>
                <c:pt idx="124">
                  <c:v>62.760224715405499</c:v>
                </c:pt>
                <c:pt idx="125">
                  <c:v>63.625214573400498</c:v>
                </c:pt>
                <c:pt idx="126">
                  <c:v>64.953354746537897</c:v>
                </c:pt>
                <c:pt idx="127">
                  <c:v>65.604601798945396</c:v>
                </c:pt>
              </c:numCache>
            </c:numRef>
          </c:yVal>
          <c:smooth val="1"/>
        </c:ser>
        <c:ser>
          <c:idx val="14"/>
          <c:order val="14"/>
          <c:tx>
            <c:strRef>
              <c:f>data!$A$46</c:f>
              <c:strCache>
                <c:ptCount val="1"/>
                <c:pt idx="0">
                  <c:v>B70_SH_P5_236_NewFoam_front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data!$B$31:$DY$31</c:f>
              <c:numCache>
                <c:formatCode>General</c:formatCode>
                <c:ptCount val="128"/>
                <c:pt idx="0">
                  <c:v>1</c:v>
                </c:pt>
                <c:pt idx="1">
                  <c:v>62.03125</c:v>
                </c:pt>
                <c:pt idx="2">
                  <c:v>123.0625</c:v>
                </c:pt>
                <c:pt idx="3">
                  <c:v>184.09375</c:v>
                </c:pt>
                <c:pt idx="4">
                  <c:v>245.125</c:v>
                </c:pt>
                <c:pt idx="5">
                  <c:v>306.15625</c:v>
                </c:pt>
                <c:pt idx="6">
                  <c:v>367.1875</c:v>
                </c:pt>
                <c:pt idx="7">
                  <c:v>428.21875</c:v>
                </c:pt>
                <c:pt idx="8">
                  <c:v>489.25</c:v>
                </c:pt>
                <c:pt idx="9">
                  <c:v>550.28125</c:v>
                </c:pt>
                <c:pt idx="10">
                  <c:v>611.3125</c:v>
                </c:pt>
                <c:pt idx="11">
                  <c:v>672.34375</c:v>
                </c:pt>
                <c:pt idx="12">
                  <c:v>733.375</c:v>
                </c:pt>
                <c:pt idx="13">
                  <c:v>794.40625</c:v>
                </c:pt>
                <c:pt idx="14">
                  <c:v>855.4375</c:v>
                </c:pt>
                <c:pt idx="15">
                  <c:v>916.46875</c:v>
                </c:pt>
                <c:pt idx="16">
                  <c:v>977.5</c:v>
                </c:pt>
                <c:pt idx="17">
                  <c:v>1038.53125</c:v>
                </c:pt>
                <c:pt idx="18">
                  <c:v>1099.5625</c:v>
                </c:pt>
                <c:pt idx="19">
                  <c:v>1160.59375</c:v>
                </c:pt>
                <c:pt idx="20">
                  <c:v>1221.625</c:v>
                </c:pt>
                <c:pt idx="21">
                  <c:v>1282.65625</c:v>
                </c:pt>
                <c:pt idx="22">
                  <c:v>1343.6875</c:v>
                </c:pt>
                <c:pt idx="23">
                  <c:v>1404.71875</c:v>
                </c:pt>
                <c:pt idx="24">
                  <c:v>1465.75</c:v>
                </c:pt>
                <c:pt idx="25">
                  <c:v>1526.78125</c:v>
                </c:pt>
                <c:pt idx="26">
                  <c:v>1587.8125</c:v>
                </c:pt>
                <c:pt idx="27">
                  <c:v>1648.84375</c:v>
                </c:pt>
                <c:pt idx="28">
                  <c:v>1709.875</c:v>
                </c:pt>
                <c:pt idx="29">
                  <c:v>1770.90625</c:v>
                </c:pt>
                <c:pt idx="30">
                  <c:v>1831.9375</c:v>
                </c:pt>
                <c:pt idx="31">
                  <c:v>1892.96875</c:v>
                </c:pt>
                <c:pt idx="32">
                  <c:v>1954</c:v>
                </c:pt>
                <c:pt idx="33">
                  <c:v>2015.03125</c:v>
                </c:pt>
                <c:pt idx="34">
                  <c:v>2076.0625</c:v>
                </c:pt>
                <c:pt idx="35">
                  <c:v>2137.09375</c:v>
                </c:pt>
                <c:pt idx="36">
                  <c:v>2198.125</c:v>
                </c:pt>
                <c:pt idx="37">
                  <c:v>2259.15625</c:v>
                </c:pt>
                <c:pt idx="38">
                  <c:v>2320.1875</c:v>
                </c:pt>
                <c:pt idx="39">
                  <c:v>2381.21875</c:v>
                </c:pt>
                <c:pt idx="40">
                  <c:v>2442.25</c:v>
                </c:pt>
                <c:pt idx="41">
                  <c:v>2503.28125</c:v>
                </c:pt>
                <c:pt idx="42">
                  <c:v>2564.3125</c:v>
                </c:pt>
                <c:pt idx="43">
                  <c:v>2625.34375</c:v>
                </c:pt>
                <c:pt idx="44">
                  <c:v>2686.375</c:v>
                </c:pt>
                <c:pt idx="45">
                  <c:v>2747.40625</c:v>
                </c:pt>
                <c:pt idx="46">
                  <c:v>2808.4375</c:v>
                </c:pt>
                <c:pt idx="47">
                  <c:v>2869.46875</c:v>
                </c:pt>
                <c:pt idx="48">
                  <c:v>2930.5</c:v>
                </c:pt>
                <c:pt idx="49">
                  <c:v>2991.53125</c:v>
                </c:pt>
                <c:pt idx="50">
                  <c:v>3052.5625</c:v>
                </c:pt>
                <c:pt idx="51">
                  <c:v>3113.59375</c:v>
                </c:pt>
                <c:pt idx="52">
                  <c:v>3174.625</c:v>
                </c:pt>
                <c:pt idx="53">
                  <c:v>3235.65625</c:v>
                </c:pt>
                <c:pt idx="54">
                  <c:v>3296.6875</c:v>
                </c:pt>
                <c:pt idx="55">
                  <c:v>3357.71875</c:v>
                </c:pt>
                <c:pt idx="56">
                  <c:v>3418.75</c:v>
                </c:pt>
                <c:pt idx="57">
                  <c:v>3479.78125</c:v>
                </c:pt>
                <c:pt idx="58">
                  <c:v>3540.8125</c:v>
                </c:pt>
                <c:pt idx="59">
                  <c:v>3601.84375</c:v>
                </c:pt>
                <c:pt idx="60">
                  <c:v>3662.875</c:v>
                </c:pt>
                <c:pt idx="61">
                  <c:v>3723.90625</c:v>
                </c:pt>
                <c:pt idx="62">
                  <c:v>3784.9375</c:v>
                </c:pt>
                <c:pt idx="63">
                  <c:v>3845.96875</c:v>
                </c:pt>
                <c:pt idx="64">
                  <c:v>3907</c:v>
                </c:pt>
                <c:pt idx="65">
                  <c:v>3968.03125</c:v>
                </c:pt>
                <c:pt idx="66">
                  <c:v>4029.0625</c:v>
                </c:pt>
                <c:pt idx="67">
                  <c:v>4090.09375</c:v>
                </c:pt>
                <c:pt idx="68">
                  <c:v>4151.125</c:v>
                </c:pt>
                <c:pt idx="69">
                  <c:v>4212.15625</c:v>
                </c:pt>
                <c:pt idx="70">
                  <c:v>4273.1875</c:v>
                </c:pt>
                <c:pt idx="71">
                  <c:v>4334.21875</c:v>
                </c:pt>
                <c:pt idx="72">
                  <c:v>4395.25</c:v>
                </c:pt>
                <c:pt idx="73">
                  <c:v>4456.28125</c:v>
                </c:pt>
                <c:pt idx="74">
                  <c:v>4517.3125</c:v>
                </c:pt>
                <c:pt idx="75">
                  <c:v>4578.34375</c:v>
                </c:pt>
                <c:pt idx="76">
                  <c:v>4639.375</c:v>
                </c:pt>
                <c:pt idx="77">
                  <c:v>4700.40625</c:v>
                </c:pt>
                <c:pt idx="78">
                  <c:v>4761.4375</c:v>
                </c:pt>
                <c:pt idx="79">
                  <c:v>4822.46875</c:v>
                </c:pt>
                <c:pt idx="80">
                  <c:v>4883.5</c:v>
                </c:pt>
                <c:pt idx="81">
                  <c:v>4944.53125</c:v>
                </c:pt>
                <c:pt idx="82">
                  <c:v>5005.5625</c:v>
                </c:pt>
                <c:pt idx="83">
                  <c:v>5066.59375</c:v>
                </c:pt>
                <c:pt idx="84">
                  <c:v>5127.625</c:v>
                </c:pt>
                <c:pt idx="85">
                  <c:v>5188.65625</c:v>
                </c:pt>
                <c:pt idx="86">
                  <c:v>5249.6875</c:v>
                </c:pt>
                <c:pt idx="87">
                  <c:v>5310.71875</c:v>
                </c:pt>
                <c:pt idx="88">
                  <c:v>5371.75</c:v>
                </c:pt>
                <c:pt idx="89">
                  <c:v>5432.78125</c:v>
                </c:pt>
                <c:pt idx="90">
                  <c:v>5493.8125</c:v>
                </c:pt>
                <c:pt idx="91">
                  <c:v>5554.84375</c:v>
                </c:pt>
                <c:pt idx="92">
                  <c:v>5615.875</c:v>
                </c:pt>
                <c:pt idx="93">
                  <c:v>5676.90625</c:v>
                </c:pt>
                <c:pt idx="94">
                  <c:v>5737.9375</c:v>
                </c:pt>
                <c:pt idx="95">
                  <c:v>5798.96875</c:v>
                </c:pt>
                <c:pt idx="96">
                  <c:v>5860</c:v>
                </c:pt>
                <c:pt idx="97">
                  <c:v>5921.03125</c:v>
                </c:pt>
                <c:pt idx="98">
                  <c:v>5982.0625</c:v>
                </c:pt>
                <c:pt idx="99">
                  <c:v>6043.09375</c:v>
                </c:pt>
                <c:pt idx="100">
                  <c:v>6104.125</c:v>
                </c:pt>
                <c:pt idx="101">
                  <c:v>6165.15625</c:v>
                </c:pt>
                <c:pt idx="102">
                  <c:v>6226.1875</c:v>
                </c:pt>
                <c:pt idx="103">
                  <c:v>6287.21875</c:v>
                </c:pt>
                <c:pt idx="104">
                  <c:v>6348.25</c:v>
                </c:pt>
                <c:pt idx="105">
                  <c:v>6409.28125</c:v>
                </c:pt>
                <c:pt idx="106">
                  <c:v>6470.3125</c:v>
                </c:pt>
                <c:pt idx="107">
                  <c:v>6531.34375</c:v>
                </c:pt>
                <c:pt idx="108">
                  <c:v>6592.375</c:v>
                </c:pt>
                <c:pt idx="109">
                  <c:v>6653.40625</c:v>
                </c:pt>
                <c:pt idx="110">
                  <c:v>6714.4375</c:v>
                </c:pt>
                <c:pt idx="111">
                  <c:v>6775.46875</c:v>
                </c:pt>
                <c:pt idx="112">
                  <c:v>6836.5</c:v>
                </c:pt>
                <c:pt idx="113">
                  <c:v>6897.53125</c:v>
                </c:pt>
                <c:pt idx="114">
                  <c:v>6958.5625</c:v>
                </c:pt>
                <c:pt idx="115">
                  <c:v>7019.59375</c:v>
                </c:pt>
                <c:pt idx="116">
                  <c:v>7080.625</c:v>
                </c:pt>
                <c:pt idx="117">
                  <c:v>7141.65625</c:v>
                </c:pt>
                <c:pt idx="118">
                  <c:v>7202.6875</c:v>
                </c:pt>
                <c:pt idx="119">
                  <c:v>7263.71875</c:v>
                </c:pt>
                <c:pt idx="120">
                  <c:v>7324.75</c:v>
                </c:pt>
                <c:pt idx="121">
                  <c:v>7385.78125</c:v>
                </c:pt>
                <c:pt idx="122">
                  <c:v>7446.8125</c:v>
                </c:pt>
                <c:pt idx="123">
                  <c:v>7507.84375</c:v>
                </c:pt>
                <c:pt idx="124">
                  <c:v>7568.875</c:v>
                </c:pt>
                <c:pt idx="125">
                  <c:v>7629.90625</c:v>
                </c:pt>
                <c:pt idx="126">
                  <c:v>7690.9375</c:v>
                </c:pt>
                <c:pt idx="127">
                  <c:v>7751.96875</c:v>
                </c:pt>
              </c:numCache>
            </c:numRef>
          </c:xVal>
          <c:yVal>
            <c:numRef>
              <c:f>data!$B$46:$DY$46</c:f>
              <c:numCache>
                <c:formatCode>General</c:formatCode>
                <c:ptCount val="128"/>
                <c:pt idx="0">
                  <c:v>383.75244852635899</c:v>
                </c:pt>
                <c:pt idx="1">
                  <c:v>96.691794295738305</c:v>
                </c:pt>
                <c:pt idx="2">
                  <c:v>105.9781827848368</c:v>
                </c:pt>
                <c:pt idx="3">
                  <c:v>87.671497608949494</c:v>
                </c:pt>
                <c:pt idx="4">
                  <c:v>90.556534567872603</c:v>
                </c:pt>
                <c:pt idx="5">
                  <c:v>91.384056577499805</c:v>
                </c:pt>
                <c:pt idx="6">
                  <c:v>87.455767694662299</c:v>
                </c:pt>
                <c:pt idx="7">
                  <c:v>88.552833510752706</c:v>
                </c:pt>
                <c:pt idx="8">
                  <c:v>88.163828721466899</c:v>
                </c:pt>
                <c:pt idx="9">
                  <c:v>83.256317899597576</c:v>
                </c:pt>
                <c:pt idx="10">
                  <c:v>83.922987577590348</c:v>
                </c:pt>
                <c:pt idx="11">
                  <c:v>81.305748982786113</c:v>
                </c:pt>
                <c:pt idx="12">
                  <c:v>79.004179368623838</c:v>
                </c:pt>
                <c:pt idx="13">
                  <c:v>77.743289903837891</c:v>
                </c:pt>
                <c:pt idx="14">
                  <c:v>76.111024912043831</c:v>
                </c:pt>
                <c:pt idx="15">
                  <c:v>76.053874987444246</c:v>
                </c:pt>
                <c:pt idx="16">
                  <c:v>76.43392764099508</c:v>
                </c:pt>
                <c:pt idx="17">
                  <c:v>76.439690292144022</c:v>
                </c:pt>
                <c:pt idx="18">
                  <c:v>77.2181431274727</c:v>
                </c:pt>
                <c:pt idx="19">
                  <c:v>77.029796771950203</c:v>
                </c:pt>
                <c:pt idx="20">
                  <c:v>77.089603155175411</c:v>
                </c:pt>
                <c:pt idx="21">
                  <c:v>76.998808184047192</c:v>
                </c:pt>
                <c:pt idx="22">
                  <c:v>77.008039230769313</c:v>
                </c:pt>
                <c:pt idx="23">
                  <c:v>77.551910324387748</c:v>
                </c:pt>
                <c:pt idx="24">
                  <c:v>78.331956123132272</c:v>
                </c:pt>
                <c:pt idx="25">
                  <c:v>78.379679488888613</c:v>
                </c:pt>
                <c:pt idx="26">
                  <c:v>78.192543749815229</c:v>
                </c:pt>
                <c:pt idx="27">
                  <c:v>79.475318845815849</c:v>
                </c:pt>
                <c:pt idx="28">
                  <c:v>79.583332867117292</c:v>
                </c:pt>
                <c:pt idx="29">
                  <c:v>80.244527085102519</c:v>
                </c:pt>
                <c:pt idx="30">
                  <c:v>80.109061782685458</c:v>
                </c:pt>
                <c:pt idx="31">
                  <c:v>80.106402071136301</c:v>
                </c:pt>
                <c:pt idx="32">
                  <c:v>77.956489299868551</c:v>
                </c:pt>
                <c:pt idx="33">
                  <c:v>78.950437070205453</c:v>
                </c:pt>
                <c:pt idx="34">
                  <c:v>77.455017621445748</c:v>
                </c:pt>
                <c:pt idx="35">
                  <c:v>78.821471345260846</c:v>
                </c:pt>
                <c:pt idx="36">
                  <c:v>78.56624101842354</c:v>
                </c:pt>
                <c:pt idx="37">
                  <c:v>77.606838334224136</c:v>
                </c:pt>
                <c:pt idx="38">
                  <c:v>81.113435711645948</c:v>
                </c:pt>
                <c:pt idx="39">
                  <c:v>92.561987829752866</c:v>
                </c:pt>
                <c:pt idx="40">
                  <c:v>73.43574373337087</c:v>
                </c:pt>
                <c:pt idx="41">
                  <c:v>68.869265924052385</c:v>
                </c:pt>
                <c:pt idx="42">
                  <c:v>67.615608515110694</c:v>
                </c:pt>
                <c:pt idx="43">
                  <c:v>67.402834254409711</c:v>
                </c:pt>
                <c:pt idx="44">
                  <c:v>67.674073313198718</c:v>
                </c:pt>
                <c:pt idx="45">
                  <c:v>68.098628313577336</c:v>
                </c:pt>
                <c:pt idx="46">
                  <c:v>68.132723193113748</c:v>
                </c:pt>
                <c:pt idx="47">
                  <c:v>67.464265350823396</c:v>
                </c:pt>
                <c:pt idx="48">
                  <c:v>66.445092859103866</c:v>
                </c:pt>
                <c:pt idx="49">
                  <c:v>65.078585714228524</c:v>
                </c:pt>
                <c:pt idx="50">
                  <c:v>63.792674938776685</c:v>
                </c:pt>
                <c:pt idx="51">
                  <c:v>62.005897251722757</c:v>
                </c:pt>
                <c:pt idx="52">
                  <c:v>60.14057972965562</c:v>
                </c:pt>
                <c:pt idx="53">
                  <c:v>58.722659659923679</c:v>
                </c:pt>
                <c:pt idx="54">
                  <c:v>57.425800467339847</c:v>
                </c:pt>
                <c:pt idx="55">
                  <c:v>56.379651071128308</c:v>
                </c:pt>
                <c:pt idx="56">
                  <c:v>55.952050415500324</c:v>
                </c:pt>
                <c:pt idx="57">
                  <c:v>55.449696944747998</c:v>
                </c:pt>
                <c:pt idx="58">
                  <c:v>54.96153934164807</c:v>
                </c:pt>
                <c:pt idx="59">
                  <c:v>54.394735031196639</c:v>
                </c:pt>
                <c:pt idx="60">
                  <c:v>53.759937348550416</c:v>
                </c:pt>
                <c:pt idx="61">
                  <c:v>53.141593065694991</c:v>
                </c:pt>
                <c:pt idx="62">
                  <c:v>52.489265359846854</c:v>
                </c:pt>
                <c:pt idx="63">
                  <c:v>51.900090417701733</c:v>
                </c:pt>
                <c:pt idx="64">
                  <c:v>51.249823341649005</c:v>
                </c:pt>
                <c:pt idx="65">
                  <c:v>50.877388231652183</c:v>
                </c:pt>
                <c:pt idx="66">
                  <c:v>50.547001662847052</c:v>
                </c:pt>
                <c:pt idx="67">
                  <c:v>50.090461680395727</c:v>
                </c:pt>
                <c:pt idx="68">
                  <c:v>49.653435129952179</c:v>
                </c:pt>
                <c:pt idx="69">
                  <c:v>49.465434009684444</c:v>
                </c:pt>
                <c:pt idx="70">
                  <c:v>49.623666587491194</c:v>
                </c:pt>
                <c:pt idx="71">
                  <c:v>49.23651737635096</c:v>
                </c:pt>
                <c:pt idx="72">
                  <c:v>48.972192850553121</c:v>
                </c:pt>
                <c:pt idx="73">
                  <c:v>49.18169193899098</c:v>
                </c:pt>
                <c:pt idx="74">
                  <c:v>49.939656541086336</c:v>
                </c:pt>
                <c:pt idx="75">
                  <c:v>51.652302196718303</c:v>
                </c:pt>
                <c:pt idx="76">
                  <c:v>50.391273274727659</c:v>
                </c:pt>
                <c:pt idx="77">
                  <c:v>50.811843162382516</c:v>
                </c:pt>
                <c:pt idx="78">
                  <c:v>51.752359071045682</c:v>
                </c:pt>
                <c:pt idx="79">
                  <c:v>52.120740251066842</c:v>
                </c:pt>
                <c:pt idx="80">
                  <c:v>52.388946443801402</c:v>
                </c:pt>
                <c:pt idx="81">
                  <c:v>51.806899718103459</c:v>
                </c:pt>
                <c:pt idx="82">
                  <c:v>51.522637683028023</c:v>
                </c:pt>
                <c:pt idx="83">
                  <c:v>51.985333490319583</c:v>
                </c:pt>
                <c:pt idx="84">
                  <c:v>53.263318018935145</c:v>
                </c:pt>
                <c:pt idx="85">
                  <c:v>54.924065471943862</c:v>
                </c:pt>
                <c:pt idx="86">
                  <c:v>57.603158467705278</c:v>
                </c:pt>
                <c:pt idx="87">
                  <c:v>60.767071624633303</c:v>
                </c:pt>
                <c:pt idx="88">
                  <c:v>62.155123643310816</c:v>
                </c:pt>
                <c:pt idx="89">
                  <c:v>62.180935928942034</c:v>
                </c:pt>
                <c:pt idx="90">
                  <c:v>61.527764238025753</c:v>
                </c:pt>
                <c:pt idx="91">
                  <c:v>60.229511709457284</c:v>
                </c:pt>
                <c:pt idx="92">
                  <c:v>59.449891089511205</c:v>
                </c:pt>
                <c:pt idx="93">
                  <c:v>59.23909015666532</c:v>
                </c:pt>
                <c:pt idx="94">
                  <c:v>58.951906329252942</c:v>
                </c:pt>
                <c:pt idx="95">
                  <c:v>59.18396260343966</c:v>
                </c:pt>
                <c:pt idx="96">
                  <c:v>59.03807405012428</c:v>
                </c:pt>
                <c:pt idx="97">
                  <c:v>59.276837869491295</c:v>
                </c:pt>
                <c:pt idx="98">
                  <c:v>59.477108573671913</c:v>
                </c:pt>
                <c:pt idx="99">
                  <c:v>59.808660741598537</c:v>
                </c:pt>
                <c:pt idx="100">
                  <c:v>60.211584413238455</c:v>
                </c:pt>
                <c:pt idx="101">
                  <c:v>60.492503381434176</c:v>
                </c:pt>
                <c:pt idx="102">
                  <c:v>61.150080998622393</c:v>
                </c:pt>
                <c:pt idx="103">
                  <c:v>61.501052926707409</c:v>
                </c:pt>
                <c:pt idx="104">
                  <c:v>61.938725881407528</c:v>
                </c:pt>
                <c:pt idx="105">
                  <c:v>62.1550193732499</c:v>
                </c:pt>
                <c:pt idx="106">
                  <c:v>62.620598558350103</c:v>
                </c:pt>
                <c:pt idx="107">
                  <c:v>62.886596773036104</c:v>
                </c:pt>
                <c:pt idx="108">
                  <c:v>62.9789434826193</c:v>
                </c:pt>
                <c:pt idx="109">
                  <c:v>63.023601904156997</c:v>
                </c:pt>
                <c:pt idx="110">
                  <c:v>63.417327882531403</c:v>
                </c:pt>
                <c:pt idx="111">
                  <c:v>63.121291689512098</c:v>
                </c:pt>
                <c:pt idx="112">
                  <c:v>62.355751442798798</c:v>
                </c:pt>
                <c:pt idx="113">
                  <c:v>62.284344172245497</c:v>
                </c:pt>
                <c:pt idx="114">
                  <c:v>62.943116742991798</c:v>
                </c:pt>
                <c:pt idx="115">
                  <c:v>64.506033618505001</c:v>
                </c:pt>
                <c:pt idx="116">
                  <c:v>65.622497893899208</c:v>
                </c:pt>
                <c:pt idx="117">
                  <c:v>66.0450443120248</c:v>
                </c:pt>
                <c:pt idx="118">
                  <c:v>66.516162697077803</c:v>
                </c:pt>
                <c:pt idx="119">
                  <c:v>66.078681540771896</c:v>
                </c:pt>
                <c:pt idx="120">
                  <c:v>65.433222725392909</c:v>
                </c:pt>
                <c:pt idx="121">
                  <c:v>64.701860304924395</c:v>
                </c:pt>
                <c:pt idx="122">
                  <c:v>65.109836084883</c:v>
                </c:pt>
                <c:pt idx="123">
                  <c:v>65.008409886288902</c:v>
                </c:pt>
                <c:pt idx="124">
                  <c:v>65.631704454010702</c:v>
                </c:pt>
                <c:pt idx="125">
                  <c:v>66.2678879006654</c:v>
                </c:pt>
                <c:pt idx="126">
                  <c:v>67.974480116616093</c:v>
                </c:pt>
                <c:pt idx="127">
                  <c:v>70.709916956008101</c:v>
                </c:pt>
              </c:numCache>
            </c:numRef>
          </c:yVal>
          <c:smooth val="1"/>
        </c:ser>
        <c:ser>
          <c:idx val="15"/>
          <c:order val="15"/>
          <c:tx>
            <c:strRef>
              <c:f>data!$A$47</c:f>
              <c:strCache>
                <c:ptCount val="1"/>
                <c:pt idx="0">
                  <c:v>B70_SH_P5_236_NewFoam_rear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data!$B$31:$DY$31</c:f>
              <c:numCache>
                <c:formatCode>General</c:formatCode>
                <c:ptCount val="128"/>
                <c:pt idx="0">
                  <c:v>1</c:v>
                </c:pt>
                <c:pt idx="1">
                  <c:v>62.03125</c:v>
                </c:pt>
                <c:pt idx="2">
                  <c:v>123.0625</c:v>
                </c:pt>
                <c:pt idx="3">
                  <c:v>184.09375</c:v>
                </c:pt>
                <c:pt idx="4">
                  <c:v>245.125</c:v>
                </c:pt>
                <c:pt idx="5">
                  <c:v>306.15625</c:v>
                </c:pt>
                <c:pt idx="6">
                  <c:v>367.1875</c:v>
                </c:pt>
                <c:pt idx="7">
                  <c:v>428.21875</c:v>
                </c:pt>
                <c:pt idx="8">
                  <c:v>489.25</c:v>
                </c:pt>
                <c:pt idx="9">
                  <c:v>550.28125</c:v>
                </c:pt>
                <c:pt idx="10">
                  <c:v>611.3125</c:v>
                </c:pt>
                <c:pt idx="11">
                  <c:v>672.34375</c:v>
                </c:pt>
                <c:pt idx="12">
                  <c:v>733.375</c:v>
                </c:pt>
                <c:pt idx="13">
                  <c:v>794.40625</c:v>
                </c:pt>
                <c:pt idx="14">
                  <c:v>855.4375</c:v>
                </c:pt>
                <c:pt idx="15">
                  <c:v>916.46875</c:v>
                </c:pt>
                <c:pt idx="16">
                  <c:v>977.5</c:v>
                </c:pt>
                <c:pt idx="17">
                  <c:v>1038.53125</c:v>
                </c:pt>
                <c:pt idx="18">
                  <c:v>1099.5625</c:v>
                </c:pt>
                <c:pt idx="19">
                  <c:v>1160.59375</c:v>
                </c:pt>
                <c:pt idx="20">
                  <c:v>1221.625</c:v>
                </c:pt>
                <c:pt idx="21">
                  <c:v>1282.65625</c:v>
                </c:pt>
                <c:pt idx="22">
                  <c:v>1343.6875</c:v>
                </c:pt>
                <c:pt idx="23">
                  <c:v>1404.71875</c:v>
                </c:pt>
                <c:pt idx="24">
                  <c:v>1465.75</c:v>
                </c:pt>
                <c:pt idx="25">
                  <c:v>1526.78125</c:v>
                </c:pt>
                <c:pt idx="26">
                  <c:v>1587.8125</c:v>
                </c:pt>
                <c:pt idx="27">
                  <c:v>1648.84375</c:v>
                </c:pt>
                <c:pt idx="28">
                  <c:v>1709.875</c:v>
                </c:pt>
                <c:pt idx="29">
                  <c:v>1770.90625</c:v>
                </c:pt>
                <c:pt idx="30">
                  <c:v>1831.9375</c:v>
                </c:pt>
                <c:pt idx="31">
                  <c:v>1892.96875</c:v>
                </c:pt>
                <c:pt idx="32">
                  <c:v>1954</c:v>
                </c:pt>
                <c:pt idx="33">
                  <c:v>2015.03125</c:v>
                </c:pt>
                <c:pt idx="34">
                  <c:v>2076.0625</c:v>
                </c:pt>
                <c:pt idx="35">
                  <c:v>2137.09375</c:v>
                </c:pt>
                <c:pt idx="36">
                  <c:v>2198.125</c:v>
                </c:pt>
                <c:pt idx="37">
                  <c:v>2259.15625</c:v>
                </c:pt>
                <c:pt idx="38">
                  <c:v>2320.1875</c:v>
                </c:pt>
                <c:pt idx="39">
                  <c:v>2381.21875</c:v>
                </c:pt>
                <c:pt idx="40">
                  <c:v>2442.25</c:v>
                </c:pt>
                <c:pt idx="41">
                  <c:v>2503.28125</c:v>
                </c:pt>
                <c:pt idx="42">
                  <c:v>2564.3125</c:v>
                </c:pt>
                <c:pt idx="43">
                  <c:v>2625.34375</c:v>
                </c:pt>
                <c:pt idx="44">
                  <c:v>2686.375</c:v>
                </c:pt>
                <c:pt idx="45">
                  <c:v>2747.40625</c:v>
                </c:pt>
                <c:pt idx="46">
                  <c:v>2808.4375</c:v>
                </c:pt>
                <c:pt idx="47">
                  <c:v>2869.46875</c:v>
                </c:pt>
                <c:pt idx="48">
                  <c:v>2930.5</c:v>
                </c:pt>
                <c:pt idx="49">
                  <c:v>2991.53125</c:v>
                </c:pt>
                <c:pt idx="50">
                  <c:v>3052.5625</c:v>
                </c:pt>
                <c:pt idx="51">
                  <c:v>3113.59375</c:v>
                </c:pt>
                <c:pt idx="52">
                  <c:v>3174.625</c:v>
                </c:pt>
                <c:pt idx="53">
                  <c:v>3235.65625</c:v>
                </c:pt>
                <c:pt idx="54">
                  <c:v>3296.6875</c:v>
                </c:pt>
                <c:pt idx="55">
                  <c:v>3357.71875</c:v>
                </c:pt>
                <c:pt idx="56">
                  <c:v>3418.75</c:v>
                </c:pt>
                <c:pt idx="57">
                  <c:v>3479.78125</c:v>
                </c:pt>
                <c:pt idx="58">
                  <c:v>3540.8125</c:v>
                </c:pt>
                <c:pt idx="59">
                  <c:v>3601.84375</c:v>
                </c:pt>
                <c:pt idx="60">
                  <c:v>3662.875</c:v>
                </c:pt>
                <c:pt idx="61">
                  <c:v>3723.90625</c:v>
                </c:pt>
                <c:pt idx="62">
                  <c:v>3784.9375</c:v>
                </c:pt>
                <c:pt idx="63">
                  <c:v>3845.96875</c:v>
                </c:pt>
                <c:pt idx="64">
                  <c:v>3907</c:v>
                </c:pt>
                <c:pt idx="65">
                  <c:v>3968.03125</c:v>
                </c:pt>
                <c:pt idx="66">
                  <c:v>4029.0625</c:v>
                </c:pt>
                <c:pt idx="67">
                  <c:v>4090.09375</c:v>
                </c:pt>
                <c:pt idx="68">
                  <c:v>4151.125</c:v>
                </c:pt>
                <c:pt idx="69">
                  <c:v>4212.15625</c:v>
                </c:pt>
                <c:pt idx="70">
                  <c:v>4273.1875</c:v>
                </c:pt>
                <c:pt idx="71">
                  <c:v>4334.21875</c:v>
                </c:pt>
                <c:pt idx="72">
                  <c:v>4395.25</c:v>
                </c:pt>
                <c:pt idx="73">
                  <c:v>4456.28125</c:v>
                </c:pt>
                <c:pt idx="74">
                  <c:v>4517.3125</c:v>
                </c:pt>
                <c:pt idx="75">
                  <c:v>4578.34375</c:v>
                </c:pt>
                <c:pt idx="76">
                  <c:v>4639.375</c:v>
                </c:pt>
                <c:pt idx="77">
                  <c:v>4700.40625</c:v>
                </c:pt>
                <c:pt idx="78">
                  <c:v>4761.4375</c:v>
                </c:pt>
                <c:pt idx="79">
                  <c:v>4822.46875</c:v>
                </c:pt>
                <c:pt idx="80">
                  <c:v>4883.5</c:v>
                </c:pt>
                <c:pt idx="81">
                  <c:v>4944.53125</c:v>
                </c:pt>
                <c:pt idx="82">
                  <c:v>5005.5625</c:v>
                </c:pt>
                <c:pt idx="83">
                  <c:v>5066.59375</c:v>
                </c:pt>
                <c:pt idx="84">
                  <c:v>5127.625</c:v>
                </c:pt>
                <c:pt idx="85">
                  <c:v>5188.65625</c:v>
                </c:pt>
                <c:pt idx="86">
                  <c:v>5249.6875</c:v>
                </c:pt>
                <c:pt idx="87">
                  <c:v>5310.71875</c:v>
                </c:pt>
                <c:pt idx="88">
                  <c:v>5371.75</c:v>
                </c:pt>
                <c:pt idx="89">
                  <c:v>5432.78125</c:v>
                </c:pt>
                <c:pt idx="90">
                  <c:v>5493.8125</c:v>
                </c:pt>
                <c:pt idx="91">
                  <c:v>5554.84375</c:v>
                </c:pt>
                <c:pt idx="92">
                  <c:v>5615.875</c:v>
                </c:pt>
                <c:pt idx="93">
                  <c:v>5676.90625</c:v>
                </c:pt>
                <c:pt idx="94">
                  <c:v>5737.9375</c:v>
                </c:pt>
                <c:pt idx="95">
                  <c:v>5798.96875</c:v>
                </c:pt>
                <c:pt idx="96">
                  <c:v>5860</c:v>
                </c:pt>
                <c:pt idx="97">
                  <c:v>5921.03125</c:v>
                </c:pt>
                <c:pt idx="98">
                  <c:v>5982.0625</c:v>
                </c:pt>
                <c:pt idx="99">
                  <c:v>6043.09375</c:v>
                </c:pt>
                <c:pt idx="100">
                  <c:v>6104.125</c:v>
                </c:pt>
                <c:pt idx="101">
                  <c:v>6165.15625</c:v>
                </c:pt>
                <c:pt idx="102">
                  <c:v>6226.1875</c:v>
                </c:pt>
                <c:pt idx="103">
                  <c:v>6287.21875</c:v>
                </c:pt>
                <c:pt idx="104">
                  <c:v>6348.25</c:v>
                </c:pt>
                <c:pt idx="105">
                  <c:v>6409.28125</c:v>
                </c:pt>
                <c:pt idx="106">
                  <c:v>6470.3125</c:v>
                </c:pt>
                <c:pt idx="107">
                  <c:v>6531.34375</c:v>
                </c:pt>
                <c:pt idx="108">
                  <c:v>6592.375</c:v>
                </c:pt>
                <c:pt idx="109">
                  <c:v>6653.40625</c:v>
                </c:pt>
                <c:pt idx="110">
                  <c:v>6714.4375</c:v>
                </c:pt>
                <c:pt idx="111">
                  <c:v>6775.46875</c:v>
                </c:pt>
                <c:pt idx="112">
                  <c:v>6836.5</c:v>
                </c:pt>
                <c:pt idx="113">
                  <c:v>6897.53125</c:v>
                </c:pt>
                <c:pt idx="114">
                  <c:v>6958.5625</c:v>
                </c:pt>
                <c:pt idx="115">
                  <c:v>7019.59375</c:v>
                </c:pt>
                <c:pt idx="116">
                  <c:v>7080.625</c:v>
                </c:pt>
                <c:pt idx="117">
                  <c:v>7141.65625</c:v>
                </c:pt>
                <c:pt idx="118">
                  <c:v>7202.6875</c:v>
                </c:pt>
                <c:pt idx="119">
                  <c:v>7263.71875</c:v>
                </c:pt>
                <c:pt idx="120">
                  <c:v>7324.75</c:v>
                </c:pt>
                <c:pt idx="121">
                  <c:v>7385.78125</c:v>
                </c:pt>
                <c:pt idx="122">
                  <c:v>7446.8125</c:v>
                </c:pt>
                <c:pt idx="123">
                  <c:v>7507.84375</c:v>
                </c:pt>
                <c:pt idx="124">
                  <c:v>7568.875</c:v>
                </c:pt>
                <c:pt idx="125">
                  <c:v>7629.90625</c:v>
                </c:pt>
                <c:pt idx="126">
                  <c:v>7690.9375</c:v>
                </c:pt>
                <c:pt idx="127">
                  <c:v>7751.96875</c:v>
                </c:pt>
              </c:numCache>
            </c:numRef>
          </c:xVal>
          <c:yVal>
            <c:numRef>
              <c:f>data!$B$47:$DY$47</c:f>
              <c:numCache>
                <c:formatCode>General</c:formatCode>
                <c:ptCount val="128"/>
                <c:pt idx="0">
                  <c:v>383.35846309201401</c:v>
                </c:pt>
                <c:pt idx="1">
                  <c:v>90.439416321403201</c:v>
                </c:pt>
                <c:pt idx="2">
                  <c:v>112.9068523422257</c:v>
                </c:pt>
                <c:pt idx="3">
                  <c:v>97.363957310161098</c:v>
                </c:pt>
                <c:pt idx="4">
                  <c:v>90.984653539185103</c:v>
                </c:pt>
                <c:pt idx="5">
                  <c:v>96.130269458734901</c:v>
                </c:pt>
                <c:pt idx="6">
                  <c:v>98.0917747280008</c:v>
                </c:pt>
                <c:pt idx="7">
                  <c:v>90.378643162582605</c:v>
                </c:pt>
                <c:pt idx="8">
                  <c:v>84.386862133583904</c:v>
                </c:pt>
                <c:pt idx="9">
                  <c:v>86.616855387323085</c:v>
                </c:pt>
                <c:pt idx="10">
                  <c:v>89.002080757714353</c:v>
                </c:pt>
                <c:pt idx="11">
                  <c:v>98.656107539679908</c:v>
                </c:pt>
                <c:pt idx="12">
                  <c:v>92.498615885585437</c:v>
                </c:pt>
                <c:pt idx="13">
                  <c:v>87.930551302457786</c:v>
                </c:pt>
                <c:pt idx="14">
                  <c:v>88.726174064898728</c:v>
                </c:pt>
                <c:pt idx="15">
                  <c:v>88.334883978729451</c:v>
                </c:pt>
                <c:pt idx="16">
                  <c:v>93.12786284696449</c:v>
                </c:pt>
                <c:pt idx="17">
                  <c:v>93.820488585758724</c:v>
                </c:pt>
                <c:pt idx="18">
                  <c:v>98.182594062176307</c:v>
                </c:pt>
                <c:pt idx="19">
                  <c:v>103.86482286469329</c:v>
                </c:pt>
                <c:pt idx="20">
                  <c:v>105.2774347242469</c:v>
                </c:pt>
                <c:pt idx="21">
                  <c:v>97.234269932029704</c:v>
                </c:pt>
                <c:pt idx="22">
                  <c:v>98.475810921552721</c:v>
                </c:pt>
                <c:pt idx="23">
                  <c:v>98.447837567068959</c:v>
                </c:pt>
                <c:pt idx="24">
                  <c:v>93.272671527749679</c:v>
                </c:pt>
                <c:pt idx="25">
                  <c:v>89.842941252323016</c:v>
                </c:pt>
                <c:pt idx="26">
                  <c:v>88.484794562902238</c:v>
                </c:pt>
                <c:pt idx="27">
                  <c:v>85.391771946955743</c:v>
                </c:pt>
                <c:pt idx="28">
                  <c:v>83.588200791720482</c:v>
                </c:pt>
                <c:pt idx="29">
                  <c:v>81.75172643502232</c:v>
                </c:pt>
                <c:pt idx="30">
                  <c:v>79.587301576579563</c:v>
                </c:pt>
                <c:pt idx="31">
                  <c:v>79.281135082564504</c:v>
                </c:pt>
                <c:pt idx="32">
                  <c:v>77.608571545026649</c:v>
                </c:pt>
                <c:pt idx="33">
                  <c:v>75.711591530155658</c:v>
                </c:pt>
                <c:pt idx="34">
                  <c:v>73.72942092066404</c:v>
                </c:pt>
                <c:pt idx="35">
                  <c:v>71.344775850475443</c:v>
                </c:pt>
                <c:pt idx="36">
                  <c:v>70.07509778474423</c:v>
                </c:pt>
                <c:pt idx="37">
                  <c:v>68.213549014454642</c:v>
                </c:pt>
                <c:pt idx="38">
                  <c:v>66.187810348382442</c:v>
                </c:pt>
                <c:pt idx="39">
                  <c:v>66.146148312700163</c:v>
                </c:pt>
                <c:pt idx="40">
                  <c:v>66.859018581928169</c:v>
                </c:pt>
                <c:pt idx="41">
                  <c:v>67.281901728265893</c:v>
                </c:pt>
                <c:pt idx="42">
                  <c:v>66.817057186974196</c:v>
                </c:pt>
                <c:pt idx="43">
                  <c:v>65.98415083784181</c:v>
                </c:pt>
                <c:pt idx="44">
                  <c:v>65.529077283817216</c:v>
                </c:pt>
                <c:pt idx="45">
                  <c:v>64.754658363309332</c:v>
                </c:pt>
                <c:pt idx="46">
                  <c:v>64.182812647835945</c:v>
                </c:pt>
                <c:pt idx="47">
                  <c:v>63.28315407273081</c:v>
                </c:pt>
                <c:pt idx="48">
                  <c:v>62.400203791767268</c:v>
                </c:pt>
                <c:pt idx="49">
                  <c:v>61.390336995985834</c:v>
                </c:pt>
                <c:pt idx="50">
                  <c:v>60.410113592917085</c:v>
                </c:pt>
                <c:pt idx="51">
                  <c:v>59.356441362673451</c:v>
                </c:pt>
                <c:pt idx="52">
                  <c:v>58.429311238117222</c:v>
                </c:pt>
                <c:pt idx="53">
                  <c:v>57.80672702207918</c:v>
                </c:pt>
                <c:pt idx="54">
                  <c:v>58.017655264568646</c:v>
                </c:pt>
                <c:pt idx="55">
                  <c:v>58.294947851101909</c:v>
                </c:pt>
                <c:pt idx="56">
                  <c:v>58.116095094165622</c:v>
                </c:pt>
                <c:pt idx="57">
                  <c:v>57.015562753598694</c:v>
                </c:pt>
                <c:pt idx="58">
                  <c:v>55.60027395580547</c:v>
                </c:pt>
                <c:pt idx="59">
                  <c:v>54.425740814818639</c:v>
                </c:pt>
                <c:pt idx="60">
                  <c:v>53.263360627084914</c:v>
                </c:pt>
                <c:pt idx="61">
                  <c:v>52.182306334911885</c:v>
                </c:pt>
                <c:pt idx="62">
                  <c:v>51.170388696811358</c:v>
                </c:pt>
                <c:pt idx="63">
                  <c:v>50.340457737462231</c:v>
                </c:pt>
                <c:pt idx="64">
                  <c:v>49.583930417734507</c:v>
                </c:pt>
                <c:pt idx="65">
                  <c:v>49.119425499617478</c:v>
                </c:pt>
                <c:pt idx="66">
                  <c:v>48.742249368740652</c:v>
                </c:pt>
                <c:pt idx="67">
                  <c:v>48.320813543105821</c:v>
                </c:pt>
                <c:pt idx="68">
                  <c:v>48.049186306167982</c:v>
                </c:pt>
                <c:pt idx="69">
                  <c:v>48.156794214422142</c:v>
                </c:pt>
                <c:pt idx="70">
                  <c:v>48.671631662875996</c:v>
                </c:pt>
                <c:pt idx="71">
                  <c:v>48.256045191346161</c:v>
                </c:pt>
                <c:pt idx="72">
                  <c:v>48.36495349537492</c:v>
                </c:pt>
                <c:pt idx="73">
                  <c:v>48.833766828155774</c:v>
                </c:pt>
                <c:pt idx="74">
                  <c:v>49.93871566404934</c:v>
                </c:pt>
                <c:pt idx="75">
                  <c:v>53.261154996530003</c:v>
                </c:pt>
                <c:pt idx="76">
                  <c:v>53.215542828003862</c:v>
                </c:pt>
                <c:pt idx="77">
                  <c:v>53.430361231394926</c:v>
                </c:pt>
                <c:pt idx="78">
                  <c:v>56.509749816101483</c:v>
                </c:pt>
                <c:pt idx="79">
                  <c:v>57.393143331581641</c:v>
                </c:pt>
                <c:pt idx="80">
                  <c:v>62.132343802770507</c:v>
                </c:pt>
                <c:pt idx="81">
                  <c:v>60.953769669630361</c:v>
                </c:pt>
                <c:pt idx="82">
                  <c:v>58.621012892535724</c:v>
                </c:pt>
                <c:pt idx="83">
                  <c:v>57.266750387141585</c:v>
                </c:pt>
                <c:pt idx="84">
                  <c:v>56.739077118177946</c:v>
                </c:pt>
                <c:pt idx="85">
                  <c:v>56.21356407448836</c:v>
                </c:pt>
                <c:pt idx="86">
                  <c:v>56.699500698782678</c:v>
                </c:pt>
                <c:pt idx="87">
                  <c:v>60.673806477539202</c:v>
                </c:pt>
                <c:pt idx="88">
                  <c:v>62.85369692793612</c:v>
                </c:pt>
                <c:pt idx="89">
                  <c:v>62.582049723776137</c:v>
                </c:pt>
                <c:pt idx="90">
                  <c:v>65.297182595517356</c:v>
                </c:pt>
                <c:pt idx="91">
                  <c:v>70.111740551832284</c:v>
                </c:pt>
                <c:pt idx="92">
                  <c:v>74.4354915719519</c:v>
                </c:pt>
                <c:pt idx="93">
                  <c:v>78.233038933127119</c:v>
                </c:pt>
                <c:pt idx="94">
                  <c:v>82.205313089682946</c:v>
                </c:pt>
                <c:pt idx="95">
                  <c:v>72.415432513705852</c:v>
                </c:pt>
                <c:pt idx="96">
                  <c:v>68.828503865589667</c:v>
                </c:pt>
                <c:pt idx="97">
                  <c:v>67.830768723544395</c:v>
                </c:pt>
                <c:pt idx="98">
                  <c:v>67.226125266815117</c:v>
                </c:pt>
                <c:pt idx="99">
                  <c:v>66.887423564490632</c:v>
                </c:pt>
                <c:pt idx="100">
                  <c:v>66.731877539602351</c:v>
                </c:pt>
                <c:pt idx="101">
                  <c:v>66.566153600284778</c:v>
                </c:pt>
                <c:pt idx="102">
                  <c:v>67.10010609626049</c:v>
                </c:pt>
                <c:pt idx="103">
                  <c:v>66.981998136131011</c:v>
                </c:pt>
                <c:pt idx="104">
                  <c:v>66.400246453611928</c:v>
                </c:pt>
                <c:pt idx="105">
                  <c:v>65.113665072889802</c:v>
                </c:pt>
                <c:pt idx="106">
                  <c:v>64.033428306795599</c:v>
                </c:pt>
                <c:pt idx="107">
                  <c:v>63.602559861477502</c:v>
                </c:pt>
                <c:pt idx="108">
                  <c:v>63.5369158007409</c:v>
                </c:pt>
                <c:pt idx="109">
                  <c:v>64.020540371625202</c:v>
                </c:pt>
                <c:pt idx="110">
                  <c:v>64.267983837611808</c:v>
                </c:pt>
                <c:pt idx="111">
                  <c:v>64.343968574705201</c:v>
                </c:pt>
                <c:pt idx="112">
                  <c:v>63.380240826653299</c:v>
                </c:pt>
                <c:pt idx="113">
                  <c:v>63.085061683103199</c:v>
                </c:pt>
                <c:pt idx="114">
                  <c:v>63.594710219543202</c:v>
                </c:pt>
                <c:pt idx="115">
                  <c:v>64.456657748011793</c:v>
                </c:pt>
                <c:pt idx="116">
                  <c:v>65.5403777629883</c:v>
                </c:pt>
                <c:pt idx="117">
                  <c:v>66.773213798011</c:v>
                </c:pt>
                <c:pt idx="118">
                  <c:v>69.046861431835595</c:v>
                </c:pt>
                <c:pt idx="119">
                  <c:v>71.2878707730614</c:v>
                </c:pt>
                <c:pt idx="120">
                  <c:v>72.854622037333399</c:v>
                </c:pt>
                <c:pt idx="121">
                  <c:v>71.523799990126605</c:v>
                </c:pt>
                <c:pt idx="122">
                  <c:v>70.542377418397294</c:v>
                </c:pt>
                <c:pt idx="123">
                  <c:v>68.884828220350002</c:v>
                </c:pt>
                <c:pt idx="124">
                  <c:v>68.376564144291393</c:v>
                </c:pt>
                <c:pt idx="125">
                  <c:v>67.98708416755801</c:v>
                </c:pt>
                <c:pt idx="126">
                  <c:v>67.459458579887496</c:v>
                </c:pt>
                <c:pt idx="127">
                  <c:v>66.628595382801905</c:v>
                </c:pt>
              </c:numCache>
            </c:numRef>
          </c:yVal>
          <c:smooth val="1"/>
        </c:ser>
        <c:ser>
          <c:idx val="16"/>
          <c:order val="16"/>
          <c:tx>
            <c:strRef>
              <c:f>data!$A$48</c:f>
              <c:strCache>
                <c:ptCount val="1"/>
                <c:pt idx="0">
                  <c:v>B70_SH_P5_236_RECOVER_front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data!$B$31:$DY$31</c:f>
              <c:numCache>
                <c:formatCode>General</c:formatCode>
                <c:ptCount val="128"/>
                <c:pt idx="0">
                  <c:v>1</c:v>
                </c:pt>
                <c:pt idx="1">
                  <c:v>62.03125</c:v>
                </c:pt>
                <c:pt idx="2">
                  <c:v>123.0625</c:v>
                </c:pt>
                <c:pt idx="3">
                  <c:v>184.09375</c:v>
                </c:pt>
                <c:pt idx="4">
                  <c:v>245.125</c:v>
                </c:pt>
                <c:pt idx="5">
                  <c:v>306.15625</c:v>
                </c:pt>
                <c:pt idx="6">
                  <c:v>367.1875</c:v>
                </c:pt>
                <c:pt idx="7">
                  <c:v>428.21875</c:v>
                </c:pt>
                <c:pt idx="8">
                  <c:v>489.25</c:v>
                </c:pt>
                <c:pt idx="9">
                  <c:v>550.28125</c:v>
                </c:pt>
                <c:pt idx="10">
                  <c:v>611.3125</c:v>
                </c:pt>
                <c:pt idx="11">
                  <c:v>672.34375</c:v>
                </c:pt>
                <c:pt idx="12">
                  <c:v>733.375</c:v>
                </c:pt>
                <c:pt idx="13">
                  <c:v>794.40625</c:v>
                </c:pt>
                <c:pt idx="14">
                  <c:v>855.4375</c:v>
                </c:pt>
                <c:pt idx="15">
                  <c:v>916.46875</c:v>
                </c:pt>
                <c:pt idx="16">
                  <c:v>977.5</c:v>
                </c:pt>
                <c:pt idx="17">
                  <c:v>1038.53125</c:v>
                </c:pt>
                <c:pt idx="18">
                  <c:v>1099.5625</c:v>
                </c:pt>
                <c:pt idx="19">
                  <c:v>1160.59375</c:v>
                </c:pt>
                <c:pt idx="20">
                  <c:v>1221.625</c:v>
                </c:pt>
                <c:pt idx="21">
                  <c:v>1282.65625</c:v>
                </c:pt>
                <c:pt idx="22">
                  <c:v>1343.6875</c:v>
                </c:pt>
                <c:pt idx="23">
                  <c:v>1404.71875</c:v>
                </c:pt>
                <c:pt idx="24">
                  <c:v>1465.75</c:v>
                </c:pt>
                <c:pt idx="25">
                  <c:v>1526.78125</c:v>
                </c:pt>
                <c:pt idx="26">
                  <c:v>1587.8125</c:v>
                </c:pt>
                <c:pt idx="27">
                  <c:v>1648.84375</c:v>
                </c:pt>
                <c:pt idx="28">
                  <c:v>1709.875</c:v>
                </c:pt>
                <c:pt idx="29">
                  <c:v>1770.90625</c:v>
                </c:pt>
                <c:pt idx="30">
                  <c:v>1831.9375</c:v>
                </c:pt>
                <c:pt idx="31">
                  <c:v>1892.96875</c:v>
                </c:pt>
                <c:pt idx="32">
                  <c:v>1954</c:v>
                </c:pt>
                <c:pt idx="33">
                  <c:v>2015.03125</c:v>
                </c:pt>
                <c:pt idx="34">
                  <c:v>2076.0625</c:v>
                </c:pt>
                <c:pt idx="35">
                  <c:v>2137.09375</c:v>
                </c:pt>
                <c:pt idx="36">
                  <c:v>2198.125</c:v>
                </c:pt>
                <c:pt idx="37">
                  <c:v>2259.15625</c:v>
                </c:pt>
                <c:pt idx="38">
                  <c:v>2320.1875</c:v>
                </c:pt>
                <c:pt idx="39">
                  <c:v>2381.21875</c:v>
                </c:pt>
                <c:pt idx="40">
                  <c:v>2442.25</c:v>
                </c:pt>
                <c:pt idx="41">
                  <c:v>2503.28125</c:v>
                </c:pt>
                <c:pt idx="42">
                  <c:v>2564.3125</c:v>
                </c:pt>
                <c:pt idx="43">
                  <c:v>2625.34375</c:v>
                </c:pt>
                <c:pt idx="44">
                  <c:v>2686.375</c:v>
                </c:pt>
                <c:pt idx="45">
                  <c:v>2747.40625</c:v>
                </c:pt>
                <c:pt idx="46">
                  <c:v>2808.4375</c:v>
                </c:pt>
                <c:pt idx="47">
                  <c:v>2869.46875</c:v>
                </c:pt>
                <c:pt idx="48">
                  <c:v>2930.5</c:v>
                </c:pt>
                <c:pt idx="49">
                  <c:v>2991.53125</c:v>
                </c:pt>
                <c:pt idx="50">
                  <c:v>3052.5625</c:v>
                </c:pt>
                <c:pt idx="51">
                  <c:v>3113.59375</c:v>
                </c:pt>
                <c:pt idx="52">
                  <c:v>3174.625</c:v>
                </c:pt>
                <c:pt idx="53">
                  <c:v>3235.65625</c:v>
                </c:pt>
                <c:pt idx="54">
                  <c:v>3296.6875</c:v>
                </c:pt>
                <c:pt idx="55">
                  <c:v>3357.71875</c:v>
                </c:pt>
                <c:pt idx="56">
                  <c:v>3418.75</c:v>
                </c:pt>
                <c:pt idx="57">
                  <c:v>3479.78125</c:v>
                </c:pt>
                <c:pt idx="58">
                  <c:v>3540.8125</c:v>
                </c:pt>
                <c:pt idx="59">
                  <c:v>3601.84375</c:v>
                </c:pt>
                <c:pt idx="60">
                  <c:v>3662.875</c:v>
                </c:pt>
                <c:pt idx="61">
                  <c:v>3723.90625</c:v>
                </c:pt>
                <c:pt idx="62">
                  <c:v>3784.9375</c:v>
                </c:pt>
                <c:pt idx="63">
                  <c:v>3845.96875</c:v>
                </c:pt>
                <c:pt idx="64">
                  <c:v>3907</c:v>
                </c:pt>
                <c:pt idx="65">
                  <c:v>3968.03125</c:v>
                </c:pt>
                <c:pt idx="66">
                  <c:v>4029.0625</c:v>
                </c:pt>
                <c:pt idx="67">
                  <c:v>4090.09375</c:v>
                </c:pt>
                <c:pt idx="68">
                  <c:v>4151.125</c:v>
                </c:pt>
                <c:pt idx="69">
                  <c:v>4212.15625</c:v>
                </c:pt>
                <c:pt idx="70">
                  <c:v>4273.1875</c:v>
                </c:pt>
                <c:pt idx="71">
                  <c:v>4334.21875</c:v>
                </c:pt>
                <c:pt idx="72">
                  <c:v>4395.25</c:v>
                </c:pt>
                <c:pt idx="73">
                  <c:v>4456.28125</c:v>
                </c:pt>
                <c:pt idx="74">
                  <c:v>4517.3125</c:v>
                </c:pt>
                <c:pt idx="75">
                  <c:v>4578.34375</c:v>
                </c:pt>
                <c:pt idx="76">
                  <c:v>4639.375</c:v>
                </c:pt>
                <c:pt idx="77">
                  <c:v>4700.40625</c:v>
                </c:pt>
                <c:pt idx="78">
                  <c:v>4761.4375</c:v>
                </c:pt>
                <c:pt idx="79">
                  <c:v>4822.46875</c:v>
                </c:pt>
                <c:pt idx="80">
                  <c:v>4883.5</c:v>
                </c:pt>
                <c:pt idx="81">
                  <c:v>4944.53125</c:v>
                </c:pt>
                <c:pt idx="82">
                  <c:v>5005.5625</c:v>
                </c:pt>
                <c:pt idx="83">
                  <c:v>5066.59375</c:v>
                </c:pt>
                <c:pt idx="84">
                  <c:v>5127.625</c:v>
                </c:pt>
                <c:pt idx="85">
                  <c:v>5188.65625</c:v>
                </c:pt>
                <c:pt idx="86">
                  <c:v>5249.6875</c:v>
                </c:pt>
                <c:pt idx="87">
                  <c:v>5310.71875</c:v>
                </c:pt>
                <c:pt idx="88">
                  <c:v>5371.75</c:v>
                </c:pt>
                <c:pt idx="89">
                  <c:v>5432.78125</c:v>
                </c:pt>
                <c:pt idx="90">
                  <c:v>5493.8125</c:v>
                </c:pt>
                <c:pt idx="91">
                  <c:v>5554.84375</c:v>
                </c:pt>
                <c:pt idx="92">
                  <c:v>5615.875</c:v>
                </c:pt>
                <c:pt idx="93">
                  <c:v>5676.90625</c:v>
                </c:pt>
                <c:pt idx="94">
                  <c:v>5737.9375</c:v>
                </c:pt>
                <c:pt idx="95">
                  <c:v>5798.96875</c:v>
                </c:pt>
                <c:pt idx="96">
                  <c:v>5860</c:v>
                </c:pt>
                <c:pt idx="97">
                  <c:v>5921.03125</c:v>
                </c:pt>
                <c:pt idx="98">
                  <c:v>5982.0625</c:v>
                </c:pt>
                <c:pt idx="99">
                  <c:v>6043.09375</c:v>
                </c:pt>
                <c:pt idx="100">
                  <c:v>6104.125</c:v>
                </c:pt>
                <c:pt idx="101">
                  <c:v>6165.15625</c:v>
                </c:pt>
                <c:pt idx="102">
                  <c:v>6226.1875</c:v>
                </c:pt>
                <c:pt idx="103">
                  <c:v>6287.21875</c:v>
                </c:pt>
                <c:pt idx="104">
                  <c:v>6348.25</c:v>
                </c:pt>
                <c:pt idx="105">
                  <c:v>6409.28125</c:v>
                </c:pt>
                <c:pt idx="106">
                  <c:v>6470.3125</c:v>
                </c:pt>
                <c:pt idx="107">
                  <c:v>6531.34375</c:v>
                </c:pt>
                <c:pt idx="108">
                  <c:v>6592.375</c:v>
                </c:pt>
                <c:pt idx="109">
                  <c:v>6653.40625</c:v>
                </c:pt>
                <c:pt idx="110">
                  <c:v>6714.4375</c:v>
                </c:pt>
                <c:pt idx="111">
                  <c:v>6775.46875</c:v>
                </c:pt>
                <c:pt idx="112">
                  <c:v>6836.5</c:v>
                </c:pt>
                <c:pt idx="113">
                  <c:v>6897.53125</c:v>
                </c:pt>
                <c:pt idx="114">
                  <c:v>6958.5625</c:v>
                </c:pt>
                <c:pt idx="115">
                  <c:v>7019.59375</c:v>
                </c:pt>
                <c:pt idx="116">
                  <c:v>7080.625</c:v>
                </c:pt>
                <c:pt idx="117">
                  <c:v>7141.65625</c:v>
                </c:pt>
                <c:pt idx="118">
                  <c:v>7202.6875</c:v>
                </c:pt>
                <c:pt idx="119">
                  <c:v>7263.71875</c:v>
                </c:pt>
                <c:pt idx="120">
                  <c:v>7324.75</c:v>
                </c:pt>
                <c:pt idx="121">
                  <c:v>7385.78125</c:v>
                </c:pt>
                <c:pt idx="122">
                  <c:v>7446.8125</c:v>
                </c:pt>
                <c:pt idx="123">
                  <c:v>7507.84375</c:v>
                </c:pt>
                <c:pt idx="124">
                  <c:v>7568.875</c:v>
                </c:pt>
                <c:pt idx="125">
                  <c:v>7629.90625</c:v>
                </c:pt>
                <c:pt idx="126">
                  <c:v>7690.9375</c:v>
                </c:pt>
                <c:pt idx="127">
                  <c:v>7751.96875</c:v>
                </c:pt>
              </c:numCache>
            </c:numRef>
          </c:xVal>
          <c:yVal>
            <c:numRef>
              <c:f>data!$B$48:$DY$48</c:f>
              <c:numCache>
                <c:formatCode>General</c:formatCode>
                <c:ptCount val="128"/>
                <c:pt idx="0">
                  <c:v>399.63359837484398</c:v>
                </c:pt>
                <c:pt idx="1">
                  <c:v>101.33275479425249</c:v>
                </c:pt>
                <c:pt idx="2">
                  <c:v>98.011570872870493</c:v>
                </c:pt>
                <c:pt idx="3">
                  <c:v>98.955993968271898</c:v>
                </c:pt>
                <c:pt idx="4">
                  <c:v>87.090085099474095</c:v>
                </c:pt>
                <c:pt idx="5">
                  <c:v>85.7287740493732</c:v>
                </c:pt>
                <c:pt idx="6">
                  <c:v>84.139908337927693</c:v>
                </c:pt>
                <c:pt idx="7">
                  <c:v>84.369456467965804</c:v>
                </c:pt>
                <c:pt idx="8">
                  <c:v>83.144223990685504</c:v>
                </c:pt>
                <c:pt idx="9">
                  <c:v>81.748640380896987</c:v>
                </c:pt>
                <c:pt idx="10">
                  <c:v>81.486668404456751</c:v>
                </c:pt>
                <c:pt idx="11">
                  <c:v>80.343670668649111</c:v>
                </c:pt>
                <c:pt idx="12">
                  <c:v>79.039277974927131</c:v>
                </c:pt>
                <c:pt idx="13">
                  <c:v>76.68646821062319</c:v>
                </c:pt>
                <c:pt idx="14">
                  <c:v>75.981105694047741</c:v>
                </c:pt>
                <c:pt idx="15">
                  <c:v>75.286434083732146</c:v>
                </c:pt>
                <c:pt idx="16">
                  <c:v>75.877437929048384</c:v>
                </c:pt>
                <c:pt idx="17">
                  <c:v>76.391617327886024</c:v>
                </c:pt>
                <c:pt idx="18">
                  <c:v>76.926827850064697</c:v>
                </c:pt>
                <c:pt idx="19">
                  <c:v>77.19441703270499</c:v>
                </c:pt>
                <c:pt idx="20">
                  <c:v>77.380174384630493</c:v>
                </c:pt>
                <c:pt idx="21">
                  <c:v>78.272711172255896</c:v>
                </c:pt>
                <c:pt idx="22">
                  <c:v>77.673022799951113</c:v>
                </c:pt>
                <c:pt idx="23">
                  <c:v>78.487506816098147</c:v>
                </c:pt>
                <c:pt idx="24">
                  <c:v>78.023677865111082</c:v>
                </c:pt>
                <c:pt idx="25">
                  <c:v>78.774964008142405</c:v>
                </c:pt>
                <c:pt idx="26">
                  <c:v>78.609531288142534</c:v>
                </c:pt>
                <c:pt idx="27">
                  <c:v>78.865771285060944</c:v>
                </c:pt>
                <c:pt idx="28">
                  <c:v>79.667213242685193</c:v>
                </c:pt>
                <c:pt idx="29">
                  <c:v>80.649073633246417</c:v>
                </c:pt>
                <c:pt idx="30">
                  <c:v>81.046426784263261</c:v>
                </c:pt>
                <c:pt idx="31">
                  <c:v>81.629199394651508</c:v>
                </c:pt>
                <c:pt idx="32">
                  <c:v>81.574031499725052</c:v>
                </c:pt>
                <c:pt idx="33">
                  <c:v>82.506795754771559</c:v>
                </c:pt>
                <c:pt idx="34">
                  <c:v>82.355543899294048</c:v>
                </c:pt>
                <c:pt idx="35">
                  <c:v>82.126781598899441</c:v>
                </c:pt>
                <c:pt idx="36">
                  <c:v>81.263018558861035</c:v>
                </c:pt>
                <c:pt idx="37">
                  <c:v>79.684953155467227</c:v>
                </c:pt>
                <c:pt idx="38">
                  <c:v>77.222615111085247</c:v>
                </c:pt>
                <c:pt idx="39">
                  <c:v>76.375182558396659</c:v>
                </c:pt>
                <c:pt idx="40">
                  <c:v>77.446441742958683</c:v>
                </c:pt>
                <c:pt idx="41">
                  <c:v>91.965025625794595</c:v>
                </c:pt>
                <c:pt idx="42">
                  <c:v>82.068223010580283</c:v>
                </c:pt>
                <c:pt idx="43">
                  <c:v>75.134119093071803</c:v>
                </c:pt>
                <c:pt idx="44">
                  <c:v>73.819409132123113</c:v>
                </c:pt>
                <c:pt idx="45">
                  <c:v>74.872260334847525</c:v>
                </c:pt>
                <c:pt idx="46">
                  <c:v>77.748842734525738</c:v>
                </c:pt>
                <c:pt idx="47">
                  <c:v>82.384341804950495</c:v>
                </c:pt>
                <c:pt idx="48">
                  <c:v>87.957022066352167</c:v>
                </c:pt>
                <c:pt idx="49">
                  <c:v>79.842220325005826</c:v>
                </c:pt>
                <c:pt idx="50">
                  <c:v>73.044517073534493</c:v>
                </c:pt>
                <c:pt idx="51">
                  <c:v>69.002476894192455</c:v>
                </c:pt>
                <c:pt idx="52">
                  <c:v>65.681561751692513</c:v>
                </c:pt>
                <c:pt idx="53">
                  <c:v>63.895002791531283</c:v>
                </c:pt>
                <c:pt idx="54">
                  <c:v>62.453056099131345</c:v>
                </c:pt>
                <c:pt idx="55">
                  <c:v>61.450149133337305</c:v>
                </c:pt>
                <c:pt idx="56">
                  <c:v>60.893361033808524</c:v>
                </c:pt>
                <c:pt idx="57">
                  <c:v>60.138617482481699</c:v>
                </c:pt>
                <c:pt idx="58">
                  <c:v>58.894063542887373</c:v>
                </c:pt>
                <c:pt idx="59">
                  <c:v>57.339030263014436</c:v>
                </c:pt>
                <c:pt idx="60">
                  <c:v>55.838140251453915</c:v>
                </c:pt>
                <c:pt idx="61">
                  <c:v>54.589915586947292</c:v>
                </c:pt>
                <c:pt idx="62">
                  <c:v>53.471967434678461</c:v>
                </c:pt>
                <c:pt idx="63">
                  <c:v>52.43193580042773</c:v>
                </c:pt>
                <c:pt idx="64">
                  <c:v>51.528920748379605</c:v>
                </c:pt>
                <c:pt idx="65">
                  <c:v>51.063162873928277</c:v>
                </c:pt>
                <c:pt idx="66">
                  <c:v>50.729361283244145</c:v>
                </c:pt>
                <c:pt idx="67">
                  <c:v>50.661022496038626</c:v>
                </c:pt>
                <c:pt idx="68">
                  <c:v>50.522031290826177</c:v>
                </c:pt>
                <c:pt idx="69">
                  <c:v>50.909970943336944</c:v>
                </c:pt>
                <c:pt idx="70">
                  <c:v>51.517900683845696</c:v>
                </c:pt>
                <c:pt idx="71">
                  <c:v>51.728315180816956</c:v>
                </c:pt>
                <c:pt idx="72">
                  <c:v>51.979164395325817</c:v>
                </c:pt>
                <c:pt idx="73">
                  <c:v>52.438449144374673</c:v>
                </c:pt>
                <c:pt idx="74">
                  <c:v>52.991666312092839</c:v>
                </c:pt>
                <c:pt idx="75">
                  <c:v>53.571440401997997</c:v>
                </c:pt>
                <c:pt idx="76">
                  <c:v>54.143746342184862</c:v>
                </c:pt>
                <c:pt idx="77">
                  <c:v>54.391836308165423</c:v>
                </c:pt>
                <c:pt idx="78">
                  <c:v>54.780110941249276</c:v>
                </c:pt>
                <c:pt idx="79">
                  <c:v>55.505050282415141</c:v>
                </c:pt>
                <c:pt idx="80">
                  <c:v>56.033986307957306</c:v>
                </c:pt>
                <c:pt idx="81">
                  <c:v>56.554659145642958</c:v>
                </c:pt>
                <c:pt idx="82">
                  <c:v>56.98552292134562</c:v>
                </c:pt>
                <c:pt idx="83">
                  <c:v>57.583280872521982</c:v>
                </c:pt>
                <c:pt idx="84">
                  <c:v>58.247560346255547</c:v>
                </c:pt>
                <c:pt idx="85">
                  <c:v>58.954095371515962</c:v>
                </c:pt>
                <c:pt idx="86">
                  <c:v>60.689844677242078</c:v>
                </c:pt>
                <c:pt idx="87">
                  <c:v>63.106636420845696</c:v>
                </c:pt>
                <c:pt idx="88">
                  <c:v>65.260192099182916</c:v>
                </c:pt>
                <c:pt idx="89">
                  <c:v>65.252966515775043</c:v>
                </c:pt>
                <c:pt idx="90">
                  <c:v>64.392751124265956</c:v>
                </c:pt>
                <c:pt idx="91">
                  <c:v>63.558249690346884</c:v>
                </c:pt>
                <c:pt idx="92">
                  <c:v>62.568022996712799</c:v>
                </c:pt>
                <c:pt idx="93">
                  <c:v>61.912508670963419</c:v>
                </c:pt>
                <c:pt idx="94">
                  <c:v>61.270044587615942</c:v>
                </c:pt>
                <c:pt idx="95">
                  <c:v>60.730419214197056</c:v>
                </c:pt>
                <c:pt idx="96">
                  <c:v>61.125336083254979</c:v>
                </c:pt>
                <c:pt idx="97">
                  <c:v>61.339431832311995</c:v>
                </c:pt>
                <c:pt idx="98">
                  <c:v>61.115089892885713</c:v>
                </c:pt>
                <c:pt idx="99">
                  <c:v>61.136247259769235</c:v>
                </c:pt>
                <c:pt idx="100">
                  <c:v>61.233570235648656</c:v>
                </c:pt>
                <c:pt idx="101">
                  <c:v>61.518753248599573</c:v>
                </c:pt>
                <c:pt idx="102">
                  <c:v>61.800594431577792</c:v>
                </c:pt>
                <c:pt idx="103">
                  <c:v>61.999543045925712</c:v>
                </c:pt>
                <c:pt idx="104">
                  <c:v>62.152211541097728</c:v>
                </c:pt>
                <c:pt idx="105">
                  <c:v>62.489950492254302</c:v>
                </c:pt>
                <c:pt idx="106">
                  <c:v>62.833471606024801</c:v>
                </c:pt>
                <c:pt idx="107">
                  <c:v>62.713761984477301</c:v>
                </c:pt>
                <c:pt idx="108">
                  <c:v>62.605250907258899</c:v>
                </c:pt>
                <c:pt idx="109">
                  <c:v>62.747141157690997</c:v>
                </c:pt>
                <c:pt idx="110">
                  <c:v>63.3939834729102</c:v>
                </c:pt>
                <c:pt idx="111">
                  <c:v>64.065055573900793</c:v>
                </c:pt>
                <c:pt idx="112">
                  <c:v>65.24340292219631</c:v>
                </c:pt>
                <c:pt idx="113">
                  <c:v>66.509552002025302</c:v>
                </c:pt>
                <c:pt idx="114">
                  <c:v>68.671139716722791</c:v>
                </c:pt>
                <c:pt idx="115">
                  <c:v>72.326353354397099</c:v>
                </c:pt>
                <c:pt idx="116">
                  <c:v>76.754424106372397</c:v>
                </c:pt>
                <c:pt idx="117">
                  <c:v>73.9220207684873</c:v>
                </c:pt>
                <c:pt idx="118">
                  <c:v>67.784662828345702</c:v>
                </c:pt>
                <c:pt idx="119">
                  <c:v>64.978022239187595</c:v>
                </c:pt>
                <c:pt idx="120">
                  <c:v>63.729584601139301</c:v>
                </c:pt>
                <c:pt idx="121">
                  <c:v>63.694614674555602</c:v>
                </c:pt>
                <c:pt idx="122">
                  <c:v>64.487622279468397</c:v>
                </c:pt>
                <c:pt idx="123">
                  <c:v>65.622487931650497</c:v>
                </c:pt>
                <c:pt idx="124">
                  <c:v>67.166193761388001</c:v>
                </c:pt>
                <c:pt idx="125">
                  <c:v>69.4674024679843</c:v>
                </c:pt>
                <c:pt idx="126">
                  <c:v>72.347920399326796</c:v>
                </c:pt>
                <c:pt idx="127">
                  <c:v>78.097518382539505</c:v>
                </c:pt>
              </c:numCache>
            </c:numRef>
          </c:yVal>
          <c:smooth val="1"/>
        </c:ser>
        <c:ser>
          <c:idx val="17"/>
          <c:order val="17"/>
          <c:tx>
            <c:strRef>
              <c:f>data!$A$49</c:f>
              <c:strCache>
                <c:ptCount val="1"/>
                <c:pt idx="0">
                  <c:v>B70_SH_P5_236_RECOVER_rear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data!$B$31:$DY$31</c:f>
              <c:numCache>
                <c:formatCode>General</c:formatCode>
                <c:ptCount val="128"/>
                <c:pt idx="0">
                  <c:v>1</c:v>
                </c:pt>
                <c:pt idx="1">
                  <c:v>62.03125</c:v>
                </c:pt>
                <c:pt idx="2">
                  <c:v>123.0625</c:v>
                </c:pt>
                <c:pt idx="3">
                  <c:v>184.09375</c:v>
                </c:pt>
                <c:pt idx="4">
                  <c:v>245.125</c:v>
                </c:pt>
                <c:pt idx="5">
                  <c:v>306.15625</c:v>
                </c:pt>
                <c:pt idx="6">
                  <c:v>367.1875</c:v>
                </c:pt>
                <c:pt idx="7">
                  <c:v>428.21875</c:v>
                </c:pt>
                <c:pt idx="8">
                  <c:v>489.25</c:v>
                </c:pt>
                <c:pt idx="9">
                  <c:v>550.28125</c:v>
                </c:pt>
                <c:pt idx="10">
                  <c:v>611.3125</c:v>
                </c:pt>
                <c:pt idx="11">
                  <c:v>672.34375</c:v>
                </c:pt>
                <c:pt idx="12">
                  <c:v>733.375</c:v>
                </c:pt>
                <c:pt idx="13">
                  <c:v>794.40625</c:v>
                </c:pt>
                <c:pt idx="14">
                  <c:v>855.4375</c:v>
                </c:pt>
                <c:pt idx="15">
                  <c:v>916.46875</c:v>
                </c:pt>
                <c:pt idx="16">
                  <c:v>977.5</c:v>
                </c:pt>
                <c:pt idx="17">
                  <c:v>1038.53125</c:v>
                </c:pt>
                <c:pt idx="18">
                  <c:v>1099.5625</c:v>
                </c:pt>
                <c:pt idx="19">
                  <c:v>1160.59375</c:v>
                </c:pt>
                <c:pt idx="20">
                  <c:v>1221.625</c:v>
                </c:pt>
                <c:pt idx="21">
                  <c:v>1282.65625</c:v>
                </c:pt>
                <c:pt idx="22">
                  <c:v>1343.6875</c:v>
                </c:pt>
                <c:pt idx="23">
                  <c:v>1404.71875</c:v>
                </c:pt>
                <c:pt idx="24">
                  <c:v>1465.75</c:v>
                </c:pt>
                <c:pt idx="25">
                  <c:v>1526.78125</c:v>
                </c:pt>
                <c:pt idx="26">
                  <c:v>1587.8125</c:v>
                </c:pt>
                <c:pt idx="27">
                  <c:v>1648.84375</c:v>
                </c:pt>
                <c:pt idx="28">
                  <c:v>1709.875</c:v>
                </c:pt>
                <c:pt idx="29">
                  <c:v>1770.90625</c:v>
                </c:pt>
                <c:pt idx="30">
                  <c:v>1831.9375</c:v>
                </c:pt>
                <c:pt idx="31">
                  <c:v>1892.96875</c:v>
                </c:pt>
                <c:pt idx="32">
                  <c:v>1954</c:v>
                </c:pt>
                <c:pt idx="33">
                  <c:v>2015.03125</c:v>
                </c:pt>
                <c:pt idx="34">
                  <c:v>2076.0625</c:v>
                </c:pt>
                <c:pt idx="35">
                  <c:v>2137.09375</c:v>
                </c:pt>
                <c:pt idx="36">
                  <c:v>2198.125</c:v>
                </c:pt>
                <c:pt idx="37">
                  <c:v>2259.15625</c:v>
                </c:pt>
                <c:pt idx="38">
                  <c:v>2320.1875</c:v>
                </c:pt>
                <c:pt idx="39">
                  <c:v>2381.21875</c:v>
                </c:pt>
                <c:pt idx="40">
                  <c:v>2442.25</c:v>
                </c:pt>
                <c:pt idx="41">
                  <c:v>2503.28125</c:v>
                </c:pt>
                <c:pt idx="42">
                  <c:v>2564.3125</c:v>
                </c:pt>
                <c:pt idx="43">
                  <c:v>2625.34375</c:v>
                </c:pt>
                <c:pt idx="44">
                  <c:v>2686.375</c:v>
                </c:pt>
                <c:pt idx="45">
                  <c:v>2747.40625</c:v>
                </c:pt>
                <c:pt idx="46">
                  <c:v>2808.4375</c:v>
                </c:pt>
                <c:pt idx="47">
                  <c:v>2869.46875</c:v>
                </c:pt>
                <c:pt idx="48">
                  <c:v>2930.5</c:v>
                </c:pt>
                <c:pt idx="49">
                  <c:v>2991.53125</c:v>
                </c:pt>
                <c:pt idx="50">
                  <c:v>3052.5625</c:v>
                </c:pt>
                <c:pt idx="51">
                  <c:v>3113.59375</c:v>
                </c:pt>
                <c:pt idx="52">
                  <c:v>3174.625</c:v>
                </c:pt>
                <c:pt idx="53">
                  <c:v>3235.65625</c:v>
                </c:pt>
                <c:pt idx="54">
                  <c:v>3296.6875</c:v>
                </c:pt>
                <c:pt idx="55">
                  <c:v>3357.71875</c:v>
                </c:pt>
                <c:pt idx="56">
                  <c:v>3418.75</c:v>
                </c:pt>
                <c:pt idx="57">
                  <c:v>3479.78125</c:v>
                </c:pt>
                <c:pt idx="58">
                  <c:v>3540.8125</c:v>
                </c:pt>
                <c:pt idx="59">
                  <c:v>3601.84375</c:v>
                </c:pt>
                <c:pt idx="60">
                  <c:v>3662.875</c:v>
                </c:pt>
                <c:pt idx="61">
                  <c:v>3723.90625</c:v>
                </c:pt>
                <c:pt idx="62">
                  <c:v>3784.9375</c:v>
                </c:pt>
                <c:pt idx="63">
                  <c:v>3845.96875</c:v>
                </c:pt>
                <c:pt idx="64">
                  <c:v>3907</c:v>
                </c:pt>
                <c:pt idx="65">
                  <c:v>3968.03125</c:v>
                </c:pt>
                <c:pt idx="66">
                  <c:v>4029.0625</c:v>
                </c:pt>
                <c:pt idx="67">
                  <c:v>4090.09375</c:v>
                </c:pt>
                <c:pt idx="68">
                  <c:v>4151.125</c:v>
                </c:pt>
                <c:pt idx="69">
                  <c:v>4212.15625</c:v>
                </c:pt>
                <c:pt idx="70">
                  <c:v>4273.1875</c:v>
                </c:pt>
                <c:pt idx="71">
                  <c:v>4334.21875</c:v>
                </c:pt>
                <c:pt idx="72">
                  <c:v>4395.25</c:v>
                </c:pt>
                <c:pt idx="73">
                  <c:v>4456.28125</c:v>
                </c:pt>
                <c:pt idx="74">
                  <c:v>4517.3125</c:v>
                </c:pt>
                <c:pt idx="75">
                  <c:v>4578.34375</c:v>
                </c:pt>
                <c:pt idx="76">
                  <c:v>4639.375</c:v>
                </c:pt>
                <c:pt idx="77">
                  <c:v>4700.40625</c:v>
                </c:pt>
                <c:pt idx="78">
                  <c:v>4761.4375</c:v>
                </c:pt>
                <c:pt idx="79">
                  <c:v>4822.46875</c:v>
                </c:pt>
                <c:pt idx="80">
                  <c:v>4883.5</c:v>
                </c:pt>
                <c:pt idx="81">
                  <c:v>4944.53125</c:v>
                </c:pt>
                <c:pt idx="82">
                  <c:v>5005.5625</c:v>
                </c:pt>
                <c:pt idx="83">
                  <c:v>5066.59375</c:v>
                </c:pt>
                <c:pt idx="84">
                  <c:v>5127.625</c:v>
                </c:pt>
                <c:pt idx="85">
                  <c:v>5188.65625</c:v>
                </c:pt>
                <c:pt idx="86">
                  <c:v>5249.6875</c:v>
                </c:pt>
                <c:pt idx="87">
                  <c:v>5310.71875</c:v>
                </c:pt>
                <c:pt idx="88">
                  <c:v>5371.75</c:v>
                </c:pt>
                <c:pt idx="89">
                  <c:v>5432.78125</c:v>
                </c:pt>
                <c:pt idx="90">
                  <c:v>5493.8125</c:v>
                </c:pt>
                <c:pt idx="91">
                  <c:v>5554.84375</c:v>
                </c:pt>
                <c:pt idx="92">
                  <c:v>5615.875</c:v>
                </c:pt>
                <c:pt idx="93">
                  <c:v>5676.90625</c:v>
                </c:pt>
                <c:pt idx="94">
                  <c:v>5737.9375</c:v>
                </c:pt>
                <c:pt idx="95">
                  <c:v>5798.96875</c:v>
                </c:pt>
                <c:pt idx="96">
                  <c:v>5860</c:v>
                </c:pt>
                <c:pt idx="97">
                  <c:v>5921.03125</c:v>
                </c:pt>
                <c:pt idx="98">
                  <c:v>5982.0625</c:v>
                </c:pt>
                <c:pt idx="99">
                  <c:v>6043.09375</c:v>
                </c:pt>
                <c:pt idx="100">
                  <c:v>6104.125</c:v>
                </c:pt>
                <c:pt idx="101">
                  <c:v>6165.15625</c:v>
                </c:pt>
                <c:pt idx="102">
                  <c:v>6226.1875</c:v>
                </c:pt>
                <c:pt idx="103">
                  <c:v>6287.21875</c:v>
                </c:pt>
                <c:pt idx="104">
                  <c:v>6348.25</c:v>
                </c:pt>
                <c:pt idx="105">
                  <c:v>6409.28125</c:v>
                </c:pt>
                <c:pt idx="106">
                  <c:v>6470.3125</c:v>
                </c:pt>
                <c:pt idx="107">
                  <c:v>6531.34375</c:v>
                </c:pt>
                <c:pt idx="108">
                  <c:v>6592.375</c:v>
                </c:pt>
                <c:pt idx="109">
                  <c:v>6653.40625</c:v>
                </c:pt>
                <c:pt idx="110">
                  <c:v>6714.4375</c:v>
                </c:pt>
                <c:pt idx="111">
                  <c:v>6775.46875</c:v>
                </c:pt>
                <c:pt idx="112">
                  <c:v>6836.5</c:v>
                </c:pt>
                <c:pt idx="113">
                  <c:v>6897.53125</c:v>
                </c:pt>
                <c:pt idx="114">
                  <c:v>6958.5625</c:v>
                </c:pt>
                <c:pt idx="115">
                  <c:v>7019.59375</c:v>
                </c:pt>
                <c:pt idx="116">
                  <c:v>7080.625</c:v>
                </c:pt>
                <c:pt idx="117">
                  <c:v>7141.65625</c:v>
                </c:pt>
                <c:pt idx="118">
                  <c:v>7202.6875</c:v>
                </c:pt>
                <c:pt idx="119">
                  <c:v>7263.71875</c:v>
                </c:pt>
                <c:pt idx="120">
                  <c:v>7324.75</c:v>
                </c:pt>
                <c:pt idx="121">
                  <c:v>7385.78125</c:v>
                </c:pt>
                <c:pt idx="122">
                  <c:v>7446.8125</c:v>
                </c:pt>
                <c:pt idx="123">
                  <c:v>7507.84375</c:v>
                </c:pt>
                <c:pt idx="124">
                  <c:v>7568.875</c:v>
                </c:pt>
                <c:pt idx="125">
                  <c:v>7629.90625</c:v>
                </c:pt>
                <c:pt idx="126">
                  <c:v>7690.9375</c:v>
                </c:pt>
                <c:pt idx="127">
                  <c:v>7751.96875</c:v>
                </c:pt>
              </c:numCache>
            </c:numRef>
          </c:xVal>
          <c:yVal>
            <c:numRef>
              <c:f>data!$B$49:$DY$49</c:f>
              <c:numCache>
                <c:formatCode>General</c:formatCode>
                <c:ptCount val="128"/>
                <c:pt idx="0">
                  <c:v>391.52249206526</c:v>
                </c:pt>
                <c:pt idx="1">
                  <c:v>96.028693290162394</c:v>
                </c:pt>
                <c:pt idx="2">
                  <c:v>91.602324155405</c:v>
                </c:pt>
                <c:pt idx="3">
                  <c:v>99.923541191329804</c:v>
                </c:pt>
                <c:pt idx="4">
                  <c:v>96.3034393354597</c:v>
                </c:pt>
                <c:pt idx="5">
                  <c:v>100.2421048857948</c:v>
                </c:pt>
                <c:pt idx="6">
                  <c:v>97.341122947608895</c:v>
                </c:pt>
                <c:pt idx="7">
                  <c:v>94.211106045791496</c:v>
                </c:pt>
                <c:pt idx="8">
                  <c:v>88.907104802703302</c:v>
                </c:pt>
                <c:pt idx="9">
                  <c:v>88.018093303724882</c:v>
                </c:pt>
                <c:pt idx="10">
                  <c:v>85.705474643285356</c:v>
                </c:pt>
                <c:pt idx="11">
                  <c:v>82.271844207059004</c:v>
                </c:pt>
                <c:pt idx="12">
                  <c:v>81.498104190522739</c:v>
                </c:pt>
                <c:pt idx="13">
                  <c:v>80.643178335883491</c:v>
                </c:pt>
                <c:pt idx="14">
                  <c:v>79.654018000400228</c:v>
                </c:pt>
                <c:pt idx="15">
                  <c:v>80.900107298232143</c:v>
                </c:pt>
                <c:pt idx="16">
                  <c:v>81.810354509281993</c:v>
                </c:pt>
                <c:pt idx="17">
                  <c:v>85.035480181620429</c:v>
                </c:pt>
                <c:pt idx="18">
                  <c:v>88.8002172704835</c:v>
                </c:pt>
                <c:pt idx="19">
                  <c:v>87.102690986084994</c:v>
                </c:pt>
                <c:pt idx="20">
                  <c:v>86.827642672217905</c:v>
                </c:pt>
                <c:pt idx="21">
                  <c:v>85.238271949366293</c:v>
                </c:pt>
                <c:pt idx="22">
                  <c:v>84.555254890227019</c:v>
                </c:pt>
                <c:pt idx="23">
                  <c:v>83.625732356511946</c:v>
                </c:pt>
                <c:pt idx="24">
                  <c:v>82.412319631188169</c:v>
                </c:pt>
                <c:pt idx="25">
                  <c:v>82.51469294465241</c:v>
                </c:pt>
                <c:pt idx="26">
                  <c:v>82.126941025752828</c:v>
                </c:pt>
                <c:pt idx="27">
                  <c:v>80.435486665557349</c:v>
                </c:pt>
                <c:pt idx="28">
                  <c:v>77.864408521495093</c:v>
                </c:pt>
                <c:pt idx="29">
                  <c:v>76.528603675573223</c:v>
                </c:pt>
                <c:pt idx="30">
                  <c:v>74.520625222050867</c:v>
                </c:pt>
                <c:pt idx="31">
                  <c:v>73.634525310300106</c:v>
                </c:pt>
                <c:pt idx="32">
                  <c:v>71.954261379534856</c:v>
                </c:pt>
                <c:pt idx="33">
                  <c:v>70.544541196484047</c:v>
                </c:pt>
                <c:pt idx="34">
                  <c:v>69.16850981303304</c:v>
                </c:pt>
                <c:pt idx="35">
                  <c:v>67.359329840035841</c:v>
                </c:pt>
                <c:pt idx="36">
                  <c:v>65.437322156583136</c:v>
                </c:pt>
                <c:pt idx="37">
                  <c:v>63.324467139213432</c:v>
                </c:pt>
                <c:pt idx="38">
                  <c:v>60.986347137870453</c:v>
                </c:pt>
                <c:pt idx="39">
                  <c:v>59.110779170464554</c:v>
                </c:pt>
                <c:pt idx="40">
                  <c:v>57.950125098380568</c:v>
                </c:pt>
                <c:pt idx="41">
                  <c:v>57.957215555630782</c:v>
                </c:pt>
                <c:pt idx="42">
                  <c:v>58.787295005809199</c:v>
                </c:pt>
                <c:pt idx="43">
                  <c:v>59.385208425198208</c:v>
                </c:pt>
                <c:pt idx="44">
                  <c:v>59.60642553638472</c:v>
                </c:pt>
                <c:pt idx="45">
                  <c:v>59.499785696946532</c:v>
                </c:pt>
                <c:pt idx="46">
                  <c:v>59.226269479779035</c:v>
                </c:pt>
                <c:pt idx="47">
                  <c:v>58.839869439295001</c:v>
                </c:pt>
                <c:pt idx="48">
                  <c:v>58.499677629166371</c:v>
                </c:pt>
                <c:pt idx="49">
                  <c:v>57.901087712155729</c:v>
                </c:pt>
                <c:pt idx="50">
                  <c:v>57.666551846091195</c:v>
                </c:pt>
                <c:pt idx="51">
                  <c:v>57.47726477651176</c:v>
                </c:pt>
                <c:pt idx="52">
                  <c:v>57.273265269672621</c:v>
                </c:pt>
                <c:pt idx="53">
                  <c:v>56.658936190289481</c:v>
                </c:pt>
                <c:pt idx="54">
                  <c:v>55.804892046512542</c:v>
                </c:pt>
                <c:pt idx="55">
                  <c:v>54.50120587544091</c:v>
                </c:pt>
                <c:pt idx="56">
                  <c:v>53.351558969449023</c:v>
                </c:pt>
                <c:pt idx="57">
                  <c:v>52.154140157938095</c:v>
                </c:pt>
                <c:pt idx="58">
                  <c:v>50.95823380298517</c:v>
                </c:pt>
                <c:pt idx="59">
                  <c:v>49.716141254046441</c:v>
                </c:pt>
                <c:pt idx="60">
                  <c:v>48.683667797507717</c:v>
                </c:pt>
                <c:pt idx="61">
                  <c:v>47.874319716126088</c:v>
                </c:pt>
                <c:pt idx="62">
                  <c:v>47.100124841624663</c:v>
                </c:pt>
                <c:pt idx="63">
                  <c:v>46.384751416385733</c:v>
                </c:pt>
                <c:pt idx="64">
                  <c:v>45.773845765280605</c:v>
                </c:pt>
                <c:pt idx="65">
                  <c:v>45.45336173467738</c:v>
                </c:pt>
                <c:pt idx="66">
                  <c:v>45.565466789527349</c:v>
                </c:pt>
                <c:pt idx="67">
                  <c:v>46.111118785945024</c:v>
                </c:pt>
                <c:pt idx="68">
                  <c:v>46.795386888178278</c:v>
                </c:pt>
                <c:pt idx="69">
                  <c:v>47.939150840552244</c:v>
                </c:pt>
                <c:pt idx="70">
                  <c:v>48.771862732455098</c:v>
                </c:pt>
                <c:pt idx="71">
                  <c:v>50.08585317847146</c:v>
                </c:pt>
                <c:pt idx="72">
                  <c:v>51.13136233814442</c:v>
                </c:pt>
                <c:pt idx="73">
                  <c:v>52.243386506332286</c:v>
                </c:pt>
                <c:pt idx="74">
                  <c:v>53.696773721009841</c:v>
                </c:pt>
                <c:pt idx="75">
                  <c:v>56.1572684876596</c:v>
                </c:pt>
                <c:pt idx="76">
                  <c:v>58.581527448000863</c:v>
                </c:pt>
                <c:pt idx="77">
                  <c:v>58.749630575867215</c:v>
                </c:pt>
                <c:pt idx="78">
                  <c:v>59.916424364279877</c:v>
                </c:pt>
                <c:pt idx="79">
                  <c:v>60.478154310331242</c:v>
                </c:pt>
                <c:pt idx="80">
                  <c:v>58.153332117411104</c:v>
                </c:pt>
                <c:pt idx="81">
                  <c:v>55.962819948301259</c:v>
                </c:pt>
                <c:pt idx="82">
                  <c:v>54.176862952737324</c:v>
                </c:pt>
                <c:pt idx="83">
                  <c:v>52.994690746749782</c:v>
                </c:pt>
                <c:pt idx="84">
                  <c:v>52.516779460961047</c:v>
                </c:pt>
                <c:pt idx="85">
                  <c:v>52.377094683071761</c:v>
                </c:pt>
                <c:pt idx="86">
                  <c:v>53.012777756775378</c:v>
                </c:pt>
                <c:pt idx="87">
                  <c:v>54.090514749738297</c:v>
                </c:pt>
                <c:pt idx="88">
                  <c:v>56.07896336450942</c:v>
                </c:pt>
                <c:pt idx="89">
                  <c:v>58.305668774169547</c:v>
                </c:pt>
                <c:pt idx="90">
                  <c:v>61.108133386784857</c:v>
                </c:pt>
                <c:pt idx="91">
                  <c:v>63.783111536469875</c:v>
                </c:pt>
                <c:pt idx="92">
                  <c:v>66.709278772973704</c:v>
                </c:pt>
                <c:pt idx="93">
                  <c:v>70.890486157992527</c:v>
                </c:pt>
                <c:pt idx="94">
                  <c:v>75.382160389406039</c:v>
                </c:pt>
                <c:pt idx="95">
                  <c:v>74.453945545246654</c:v>
                </c:pt>
                <c:pt idx="96">
                  <c:v>72.705585502396374</c:v>
                </c:pt>
                <c:pt idx="97">
                  <c:v>75.528019887861802</c:v>
                </c:pt>
                <c:pt idx="98">
                  <c:v>76.91825923045721</c:v>
                </c:pt>
                <c:pt idx="99">
                  <c:v>73.976559068260229</c:v>
                </c:pt>
                <c:pt idx="100">
                  <c:v>73.28897598779335</c:v>
                </c:pt>
                <c:pt idx="101">
                  <c:v>71.886718526264474</c:v>
                </c:pt>
                <c:pt idx="102">
                  <c:v>71.564533919911085</c:v>
                </c:pt>
                <c:pt idx="103">
                  <c:v>70.576847546808111</c:v>
                </c:pt>
                <c:pt idx="104">
                  <c:v>70.389048557007726</c:v>
                </c:pt>
                <c:pt idx="105">
                  <c:v>69.126118009173808</c:v>
                </c:pt>
                <c:pt idx="106">
                  <c:v>68.985276195140401</c:v>
                </c:pt>
                <c:pt idx="107">
                  <c:v>67.892946461447508</c:v>
                </c:pt>
                <c:pt idx="108">
                  <c:v>67.258121213945799</c:v>
                </c:pt>
                <c:pt idx="109">
                  <c:v>66.707305781423401</c:v>
                </c:pt>
                <c:pt idx="110">
                  <c:v>66.723742060668997</c:v>
                </c:pt>
                <c:pt idx="111">
                  <c:v>65.917406529708998</c:v>
                </c:pt>
                <c:pt idx="112">
                  <c:v>65.659878635625006</c:v>
                </c:pt>
                <c:pt idx="113">
                  <c:v>65.438073325366304</c:v>
                </c:pt>
                <c:pt idx="114">
                  <c:v>65.070377037220908</c:v>
                </c:pt>
                <c:pt idx="115">
                  <c:v>65.4429503642599</c:v>
                </c:pt>
                <c:pt idx="116">
                  <c:v>65.924784265197502</c:v>
                </c:pt>
                <c:pt idx="117">
                  <c:v>67.060964398833192</c:v>
                </c:pt>
                <c:pt idx="118">
                  <c:v>69.243978245483305</c:v>
                </c:pt>
                <c:pt idx="119">
                  <c:v>74.228351351328399</c:v>
                </c:pt>
                <c:pt idx="120">
                  <c:v>78.1330866930398</c:v>
                </c:pt>
                <c:pt idx="121">
                  <c:v>77.725916454818105</c:v>
                </c:pt>
                <c:pt idx="122">
                  <c:v>75.167112120916997</c:v>
                </c:pt>
                <c:pt idx="123">
                  <c:v>74.6350213124052</c:v>
                </c:pt>
                <c:pt idx="124">
                  <c:v>73.561488742961998</c:v>
                </c:pt>
                <c:pt idx="125">
                  <c:v>72.363422719307806</c:v>
                </c:pt>
                <c:pt idx="126">
                  <c:v>72.479422525987005</c:v>
                </c:pt>
                <c:pt idx="127">
                  <c:v>73.1033603368125</c:v>
                </c:pt>
              </c:numCache>
            </c:numRef>
          </c:yVal>
          <c:smooth val="1"/>
        </c:ser>
        <c:ser>
          <c:idx val="18"/>
          <c:order val="18"/>
          <c:tx>
            <c:strRef>
              <c:f>data!$A$50</c:f>
              <c:strCache>
                <c:ptCount val="1"/>
                <c:pt idx="0">
                  <c:v>B70_SH_P5_458_NewFoam_front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data!$B$31:$DY$31</c:f>
              <c:numCache>
                <c:formatCode>General</c:formatCode>
                <c:ptCount val="128"/>
                <c:pt idx="0">
                  <c:v>1</c:v>
                </c:pt>
                <c:pt idx="1">
                  <c:v>62.03125</c:v>
                </c:pt>
                <c:pt idx="2">
                  <c:v>123.0625</c:v>
                </c:pt>
                <c:pt idx="3">
                  <c:v>184.09375</c:v>
                </c:pt>
                <c:pt idx="4">
                  <c:v>245.125</c:v>
                </c:pt>
                <c:pt idx="5">
                  <c:v>306.15625</c:v>
                </c:pt>
                <c:pt idx="6">
                  <c:v>367.1875</c:v>
                </c:pt>
                <c:pt idx="7">
                  <c:v>428.21875</c:v>
                </c:pt>
                <c:pt idx="8">
                  <c:v>489.25</c:v>
                </c:pt>
                <c:pt idx="9">
                  <c:v>550.28125</c:v>
                </c:pt>
                <c:pt idx="10">
                  <c:v>611.3125</c:v>
                </c:pt>
                <c:pt idx="11">
                  <c:v>672.34375</c:v>
                </c:pt>
                <c:pt idx="12">
                  <c:v>733.375</c:v>
                </c:pt>
                <c:pt idx="13">
                  <c:v>794.40625</c:v>
                </c:pt>
                <c:pt idx="14">
                  <c:v>855.4375</c:v>
                </c:pt>
                <c:pt idx="15">
                  <c:v>916.46875</c:v>
                </c:pt>
                <c:pt idx="16">
                  <c:v>977.5</c:v>
                </c:pt>
                <c:pt idx="17">
                  <c:v>1038.53125</c:v>
                </c:pt>
                <c:pt idx="18">
                  <c:v>1099.5625</c:v>
                </c:pt>
                <c:pt idx="19">
                  <c:v>1160.59375</c:v>
                </c:pt>
                <c:pt idx="20">
                  <c:v>1221.625</c:v>
                </c:pt>
                <c:pt idx="21">
                  <c:v>1282.65625</c:v>
                </c:pt>
                <c:pt idx="22">
                  <c:v>1343.6875</c:v>
                </c:pt>
                <c:pt idx="23">
                  <c:v>1404.71875</c:v>
                </c:pt>
                <c:pt idx="24">
                  <c:v>1465.75</c:v>
                </c:pt>
                <c:pt idx="25">
                  <c:v>1526.78125</c:v>
                </c:pt>
                <c:pt idx="26">
                  <c:v>1587.8125</c:v>
                </c:pt>
                <c:pt idx="27">
                  <c:v>1648.84375</c:v>
                </c:pt>
                <c:pt idx="28">
                  <c:v>1709.875</c:v>
                </c:pt>
                <c:pt idx="29">
                  <c:v>1770.90625</c:v>
                </c:pt>
                <c:pt idx="30">
                  <c:v>1831.9375</c:v>
                </c:pt>
                <c:pt idx="31">
                  <c:v>1892.96875</c:v>
                </c:pt>
                <c:pt idx="32">
                  <c:v>1954</c:v>
                </c:pt>
                <c:pt idx="33">
                  <c:v>2015.03125</c:v>
                </c:pt>
                <c:pt idx="34">
                  <c:v>2076.0625</c:v>
                </c:pt>
                <c:pt idx="35">
                  <c:v>2137.09375</c:v>
                </c:pt>
                <c:pt idx="36">
                  <c:v>2198.125</c:v>
                </c:pt>
                <c:pt idx="37">
                  <c:v>2259.15625</c:v>
                </c:pt>
                <c:pt idx="38">
                  <c:v>2320.1875</c:v>
                </c:pt>
                <c:pt idx="39">
                  <c:v>2381.21875</c:v>
                </c:pt>
                <c:pt idx="40">
                  <c:v>2442.25</c:v>
                </c:pt>
                <c:pt idx="41">
                  <c:v>2503.28125</c:v>
                </c:pt>
                <c:pt idx="42">
                  <c:v>2564.3125</c:v>
                </c:pt>
                <c:pt idx="43">
                  <c:v>2625.34375</c:v>
                </c:pt>
                <c:pt idx="44">
                  <c:v>2686.375</c:v>
                </c:pt>
                <c:pt idx="45">
                  <c:v>2747.40625</c:v>
                </c:pt>
                <c:pt idx="46">
                  <c:v>2808.4375</c:v>
                </c:pt>
                <c:pt idx="47">
                  <c:v>2869.46875</c:v>
                </c:pt>
                <c:pt idx="48">
                  <c:v>2930.5</c:v>
                </c:pt>
                <c:pt idx="49">
                  <c:v>2991.53125</c:v>
                </c:pt>
                <c:pt idx="50">
                  <c:v>3052.5625</c:v>
                </c:pt>
                <c:pt idx="51">
                  <c:v>3113.59375</c:v>
                </c:pt>
                <c:pt idx="52">
                  <c:v>3174.625</c:v>
                </c:pt>
                <c:pt idx="53">
                  <c:v>3235.65625</c:v>
                </c:pt>
                <c:pt idx="54">
                  <c:v>3296.6875</c:v>
                </c:pt>
                <c:pt idx="55">
                  <c:v>3357.71875</c:v>
                </c:pt>
                <c:pt idx="56">
                  <c:v>3418.75</c:v>
                </c:pt>
                <c:pt idx="57">
                  <c:v>3479.78125</c:v>
                </c:pt>
                <c:pt idx="58">
                  <c:v>3540.8125</c:v>
                </c:pt>
                <c:pt idx="59">
                  <c:v>3601.84375</c:v>
                </c:pt>
                <c:pt idx="60">
                  <c:v>3662.875</c:v>
                </c:pt>
                <c:pt idx="61">
                  <c:v>3723.90625</c:v>
                </c:pt>
                <c:pt idx="62">
                  <c:v>3784.9375</c:v>
                </c:pt>
                <c:pt idx="63">
                  <c:v>3845.96875</c:v>
                </c:pt>
                <c:pt idx="64">
                  <c:v>3907</c:v>
                </c:pt>
                <c:pt idx="65">
                  <c:v>3968.03125</c:v>
                </c:pt>
                <c:pt idx="66">
                  <c:v>4029.0625</c:v>
                </c:pt>
                <c:pt idx="67">
                  <c:v>4090.09375</c:v>
                </c:pt>
                <c:pt idx="68">
                  <c:v>4151.125</c:v>
                </c:pt>
                <c:pt idx="69">
                  <c:v>4212.15625</c:v>
                </c:pt>
                <c:pt idx="70">
                  <c:v>4273.1875</c:v>
                </c:pt>
                <c:pt idx="71">
                  <c:v>4334.21875</c:v>
                </c:pt>
                <c:pt idx="72">
                  <c:v>4395.25</c:v>
                </c:pt>
                <c:pt idx="73">
                  <c:v>4456.28125</c:v>
                </c:pt>
                <c:pt idx="74">
                  <c:v>4517.3125</c:v>
                </c:pt>
                <c:pt idx="75">
                  <c:v>4578.34375</c:v>
                </c:pt>
                <c:pt idx="76">
                  <c:v>4639.375</c:v>
                </c:pt>
                <c:pt idx="77">
                  <c:v>4700.40625</c:v>
                </c:pt>
                <c:pt idx="78">
                  <c:v>4761.4375</c:v>
                </c:pt>
                <c:pt idx="79">
                  <c:v>4822.46875</c:v>
                </c:pt>
                <c:pt idx="80">
                  <c:v>4883.5</c:v>
                </c:pt>
                <c:pt idx="81">
                  <c:v>4944.53125</c:v>
                </c:pt>
                <c:pt idx="82">
                  <c:v>5005.5625</c:v>
                </c:pt>
                <c:pt idx="83">
                  <c:v>5066.59375</c:v>
                </c:pt>
                <c:pt idx="84">
                  <c:v>5127.625</c:v>
                </c:pt>
                <c:pt idx="85">
                  <c:v>5188.65625</c:v>
                </c:pt>
                <c:pt idx="86">
                  <c:v>5249.6875</c:v>
                </c:pt>
                <c:pt idx="87">
                  <c:v>5310.71875</c:v>
                </c:pt>
                <c:pt idx="88">
                  <c:v>5371.75</c:v>
                </c:pt>
                <c:pt idx="89">
                  <c:v>5432.78125</c:v>
                </c:pt>
                <c:pt idx="90">
                  <c:v>5493.8125</c:v>
                </c:pt>
                <c:pt idx="91">
                  <c:v>5554.84375</c:v>
                </c:pt>
                <c:pt idx="92">
                  <c:v>5615.875</c:v>
                </c:pt>
                <c:pt idx="93">
                  <c:v>5676.90625</c:v>
                </c:pt>
                <c:pt idx="94">
                  <c:v>5737.9375</c:v>
                </c:pt>
                <c:pt idx="95">
                  <c:v>5798.96875</c:v>
                </c:pt>
                <c:pt idx="96">
                  <c:v>5860</c:v>
                </c:pt>
                <c:pt idx="97">
                  <c:v>5921.03125</c:v>
                </c:pt>
                <c:pt idx="98">
                  <c:v>5982.0625</c:v>
                </c:pt>
                <c:pt idx="99">
                  <c:v>6043.09375</c:v>
                </c:pt>
                <c:pt idx="100">
                  <c:v>6104.125</c:v>
                </c:pt>
                <c:pt idx="101">
                  <c:v>6165.15625</c:v>
                </c:pt>
                <c:pt idx="102">
                  <c:v>6226.1875</c:v>
                </c:pt>
                <c:pt idx="103">
                  <c:v>6287.21875</c:v>
                </c:pt>
                <c:pt idx="104">
                  <c:v>6348.25</c:v>
                </c:pt>
                <c:pt idx="105">
                  <c:v>6409.28125</c:v>
                </c:pt>
                <c:pt idx="106">
                  <c:v>6470.3125</c:v>
                </c:pt>
                <c:pt idx="107">
                  <c:v>6531.34375</c:v>
                </c:pt>
                <c:pt idx="108">
                  <c:v>6592.375</c:v>
                </c:pt>
                <c:pt idx="109">
                  <c:v>6653.40625</c:v>
                </c:pt>
                <c:pt idx="110">
                  <c:v>6714.4375</c:v>
                </c:pt>
                <c:pt idx="111">
                  <c:v>6775.46875</c:v>
                </c:pt>
                <c:pt idx="112">
                  <c:v>6836.5</c:v>
                </c:pt>
                <c:pt idx="113">
                  <c:v>6897.53125</c:v>
                </c:pt>
                <c:pt idx="114">
                  <c:v>6958.5625</c:v>
                </c:pt>
                <c:pt idx="115">
                  <c:v>7019.59375</c:v>
                </c:pt>
                <c:pt idx="116">
                  <c:v>7080.625</c:v>
                </c:pt>
                <c:pt idx="117">
                  <c:v>7141.65625</c:v>
                </c:pt>
                <c:pt idx="118">
                  <c:v>7202.6875</c:v>
                </c:pt>
                <c:pt idx="119">
                  <c:v>7263.71875</c:v>
                </c:pt>
                <c:pt idx="120">
                  <c:v>7324.75</c:v>
                </c:pt>
                <c:pt idx="121">
                  <c:v>7385.78125</c:v>
                </c:pt>
                <c:pt idx="122">
                  <c:v>7446.8125</c:v>
                </c:pt>
                <c:pt idx="123">
                  <c:v>7507.84375</c:v>
                </c:pt>
                <c:pt idx="124">
                  <c:v>7568.875</c:v>
                </c:pt>
                <c:pt idx="125">
                  <c:v>7629.90625</c:v>
                </c:pt>
                <c:pt idx="126">
                  <c:v>7690.9375</c:v>
                </c:pt>
                <c:pt idx="127">
                  <c:v>7751.96875</c:v>
                </c:pt>
              </c:numCache>
            </c:numRef>
          </c:xVal>
          <c:yVal>
            <c:numRef>
              <c:f>data!$B$50:$DY$50</c:f>
              <c:numCache>
                <c:formatCode>General</c:formatCode>
                <c:ptCount val="128"/>
                <c:pt idx="0">
                  <c:v>390.43633573332897</c:v>
                </c:pt>
                <c:pt idx="1">
                  <c:v>87.5196951198336</c:v>
                </c:pt>
                <c:pt idx="2">
                  <c:v>99.024638843384693</c:v>
                </c:pt>
                <c:pt idx="3">
                  <c:v>89.524261409573199</c:v>
                </c:pt>
                <c:pt idx="4">
                  <c:v>87.515737889021096</c:v>
                </c:pt>
                <c:pt idx="5">
                  <c:v>93.107776437946001</c:v>
                </c:pt>
                <c:pt idx="6">
                  <c:v>95.523005562331605</c:v>
                </c:pt>
                <c:pt idx="7">
                  <c:v>89.377583580409507</c:v>
                </c:pt>
                <c:pt idx="8">
                  <c:v>89.335190871599806</c:v>
                </c:pt>
                <c:pt idx="9">
                  <c:v>84.650659673987874</c:v>
                </c:pt>
                <c:pt idx="10">
                  <c:v>83.966237436195257</c:v>
                </c:pt>
                <c:pt idx="11">
                  <c:v>80.527552483191414</c:v>
                </c:pt>
                <c:pt idx="12">
                  <c:v>80.381944967769641</c:v>
                </c:pt>
                <c:pt idx="13">
                  <c:v>78.270522019083188</c:v>
                </c:pt>
                <c:pt idx="14">
                  <c:v>77.939547176635628</c:v>
                </c:pt>
                <c:pt idx="15">
                  <c:v>78.174106953731254</c:v>
                </c:pt>
                <c:pt idx="16">
                  <c:v>78.828307689518383</c:v>
                </c:pt>
                <c:pt idx="17">
                  <c:v>79.594989909258629</c:v>
                </c:pt>
                <c:pt idx="18">
                  <c:v>80.2825354914211</c:v>
                </c:pt>
                <c:pt idx="19">
                  <c:v>80.358234215239605</c:v>
                </c:pt>
                <c:pt idx="20">
                  <c:v>81.268736189407406</c:v>
                </c:pt>
                <c:pt idx="21">
                  <c:v>81.2366441662775</c:v>
                </c:pt>
                <c:pt idx="22">
                  <c:v>81.360824957008916</c:v>
                </c:pt>
                <c:pt idx="23">
                  <c:v>82.050102246036957</c:v>
                </c:pt>
                <c:pt idx="24">
                  <c:v>82.814809139156978</c:v>
                </c:pt>
                <c:pt idx="25">
                  <c:v>85.524973144312412</c:v>
                </c:pt>
                <c:pt idx="26">
                  <c:v>86.490777078011334</c:v>
                </c:pt>
                <c:pt idx="27">
                  <c:v>88.522691118514246</c:v>
                </c:pt>
                <c:pt idx="28">
                  <c:v>93.315830380671088</c:v>
                </c:pt>
                <c:pt idx="29">
                  <c:v>95.150266788759211</c:v>
                </c:pt>
                <c:pt idx="30">
                  <c:v>96.280815042284161</c:v>
                </c:pt>
                <c:pt idx="31">
                  <c:v>96.83502702805221</c:v>
                </c:pt>
                <c:pt idx="32">
                  <c:v>89.083116638708958</c:v>
                </c:pt>
                <c:pt idx="33">
                  <c:v>86.284223285247961</c:v>
                </c:pt>
                <c:pt idx="34">
                  <c:v>81.058927517828749</c:v>
                </c:pt>
                <c:pt idx="35">
                  <c:v>77.338016975103443</c:v>
                </c:pt>
                <c:pt idx="36">
                  <c:v>73.984138873933944</c:v>
                </c:pt>
                <c:pt idx="37">
                  <c:v>70.529236500162838</c:v>
                </c:pt>
                <c:pt idx="38">
                  <c:v>66.84405860294595</c:v>
                </c:pt>
                <c:pt idx="39">
                  <c:v>63.60614289117256</c:v>
                </c:pt>
                <c:pt idx="40">
                  <c:v>63.093918648573769</c:v>
                </c:pt>
                <c:pt idx="41">
                  <c:v>64.891146215925374</c:v>
                </c:pt>
                <c:pt idx="42">
                  <c:v>67.396266511361006</c:v>
                </c:pt>
                <c:pt idx="43">
                  <c:v>69.694739079482503</c:v>
                </c:pt>
                <c:pt idx="44">
                  <c:v>71.718380209714311</c:v>
                </c:pt>
                <c:pt idx="45">
                  <c:v>71.869761998230729</c:v>
                </c:pt>
                <c:pt idx="46">
                  <c:v>72.463607557458346</c:v>
                </c:pt>
                <c:pt idx="47">
                  <c:v>72.749674102239098</c:v>
                </c:pt>
                <c:pt idx="48">
                  <c:v>74.25864217406486</c:v>
                </c:pt>
                <c:pt idx="49">
                  <c:v>76.43975887364293</c:v>
                </c:pt>
                <c:pt idx="50">
                  <c:v>75.456897666969382</c:v>
                </c:pt>
                <c:pt idx="51">
                  <c:v>72.141998567539346</c:v>
                </c:pt>
                <c:pt idx="52">
                  <c:v>68.728723735655109</c:v>
                </c:pt>
                <c:pt idx="53">
                  <c:v>65.083803809828382</c:v>
                </c:pt>
                <c:pt idx="54">
                  <c:v>62.323612295669641</c:v>
                </c:pt>
                <c:pt idx="55">
                  <c:v>59.613548245499707</c:v>
                </c:pt>
                <c:pt idx="56">
                  <c:v>57.709357664611019</c:v>
                </c:pt>
                <c:pt idx="57">
                  <c:v>56.099834182976295</c:v>
                </c:pt>
                <c:pt idx="58">
                  <c:v>54.797621764499169</c:v>
                </c:pt>
                <c:pt idx="59">
                  <c:v>53.522792006594742</c:v>
                </c:pt>
                <c:pt idx="60">
                  <c:v>52.441045589487615</c:v>
                </c:pt>
                <c:pt idx="61">
                  <c:v>51.380601281476487</c:v>
                </c:pt>
                <c:pt idx="62">
                  <c:v>50.699673095652756</c:v>
                </c:pt>
                <c:pt idx="63">
                  <c:v>49.998512470590732</c:v>
                </c:pt>
                <c:pt idx="64">
                  <c:v>49.490455064262406</c:v>
                </c:pt>
                <c:pt idx="65">
                  <c:v>49.106151395068579</c:v>
                </c:pt>
                <c:pt idx="66">
                  <c:v>48.785264740917448</c:v>
                </c:pt>
                <c:pt idx="67">
                  <c:v>48.381390508221024</c:v>
                </c:pt>
                <c:pt idx="68">
                  <c:v>48.231813914303082</c:v>
                </c:pt>
                <c:pt idx="69">
                  <c:v>48.345969306208545</c:v>
                </c:pt>
                <c:pt idx="70">
                  <c:v>48.281260948620599</c:v>
                </c:pt>
                <c:pt idx="71">
                  <c:v>47.981138719916459</c:v>
                </c:pt>
                <c:pt idx="72">
                  <c:v>47.580855626699318</c:v>
                </c:pt>
                <c:pt idx="73">
                  <c:v>47.387192068640573</c:v>
                </c:pt>
                <c:pt idx="74">
                  <c:v>47.536851636391539</c:v>
                </c:pt>
                <c:pt idx="75">
                  <c:v>48.117536031888299</c:v>
                </c:pt>
                <c:pt idx="76">
                  <c:v>47.185829518586765</c:v>
                </c:pt>
                <c:pt idx="77">
                  <c:v>47.525303594297014</c:v>
                </c:pt>
                <c:pt idx="78">
                  <c:v>47.965057753151982</c:v>
                </c:pt>
                <c:pt idx="79">
                  <c:v>48.65444964398074</c:v>
                </c:pt>
                <c:pt idx="80">
                  <c:v>48.892052657612801</c:v>
                </c:pt>
                <c:pt idx="81">
                  <c:v>49.140094492154056</c:v>
                </c:pt>
                <c:pt idx="82">
                  <c:v>49.592732441868321</c:v>
                </c:pt>
                <c:pt idx="83">
                  <c:v>50.543237836087485</c:v>
                </c:pt>
                <c:pt idx="84">
                  <c:v>52.174681531790448</c:v>
                </c:pt>
                <c:pt idx="85">
                  <c:v>53.992193593518863</c:v>
                </c:pt>
                <c:pt idx="86">
                  <c:v>56.50155276814678</c:v>
                </c:pt>
                <c:pt idx="87">
                  <c:v>58.030615665588101</c:v>
                </c:pt>
                <c:pt idx="88">
                  <c:v>58.06758883854652</c:v>
                </c:pt>
                <c:pt idx="89">
                  <c:v>58.420936455491344</c:v>
                </c:pt>
                <c:pt idx="90">
                  <c:v>58.134583300189263</c:v>
                </c:pt>
                <c:pt idx="91">
                  <c:v>57.181186720859472</c:v>
                </c:pt>
                <c:pt idx="92">
                  <c:v>56.793554287740605</c:v>
                </c:pt>
                <c:pt idx="93">
                  <c:v>56.525545566652418</c:v>
                </c:pt>
                <c:pt idx="94">
                  <c:v>56.521560330112642</c:v>
                </c:pt>
                <c:pt idx="95">
                  <c:v>56.64705626555066</c:v>
                </c:pt>
                <c:pt idx="96">
                  <c:v>56.653581949218676</c:v>
                </c:pt>
                <c:pt idx="97">
                  <c:v>57.045284728861496</c:v>
                </c:pt>
                <c:pt idx="98">
                  <c:v>57.218208462287016</c:v>
                </c:pt>
                <c:pt idx="99">
                  <c:v>57.605103872409131</c:v>
                </c:pt>
                <c:pt idx="100">
                  <c:v>57.825014387646057</c:v>
                </c:pt>
                <c:pt idx="101">
                  <c:v>57.929461479301871</c:v>
                </c:pt>
                <c:pt idx="102">
                  <c:v>58.107484450022895</c:v>
                </c:pt>
                <c:pt idx="103">
                  <c:v>58.087763529373511</c:v>
                </c:pt>
                <c:pt idx="104">
                  <c:v>58.329376322890226</c:v>
                </c:pt>
                <c:pt idx="105">
                  <c:v>58.709564597678899</c:v>
                </c:pt>
                <c:pt idx="106">
                  <c:v>59.225735034005503</c:v>
                </c:pt>
                <c:pt idx="107">
                  <c:v>59.590312137757699</c:v>
                </c:pt>
                <c:pt idx="108">
                  <c:v>60.145143314037497</c:v>
                </c:pt>
                <c:pt idx="109">
                  <c:v>60.565650432096902</c:v>
                </c:pt>
                <c:pt idx="110">
                  <c:v>61.329587479761599</c:v>
                </c:pt>
                <c:pt idx="111">
                  <c:v>61.663510179046902</c:v>
                </c:pt>
                <c:pt idx="112">
                  <c:v>62.043546000938903</c:v>
                </c:pt>
                <c:pt idx="113">
                  <c:v>62.254058685174101</c:v>
                </c:pt>
                <c:pt idx="114">
                  <c:v>62.5669656733157</c:v>
                </c:pt>
                <c:pt idx="115">
                  <c:v>62.704083410345199</c:v>
                </c:pt>
                <c:pt idx="116">
                  <c:v>62.840027650116802</c:v>
                </c:pt>
                <c:pt idx="117">
                  <c:v>62.692423535174399</c:v>
                </c:pt>
                <c:pt idx="118">
                  <c:v>62.791543569172298</c:v>
                </c:pt>
                <c:pt idx="119">
                  <c:v>63.73197940256</c:v>
                </c:pt>
                <c:pt idx="120">
                  <c:v>65.4936225438951</c:v>
                </c:pt>
                <c:pt idx="121">
                  <c:v>65.893503175425195</c:v>
                </c:pt>
                <c:pt idx="122">
                  <c:v>63.431912716941603</c:v>
                </c:pt>
                <c:pt idx="123">
                  <c:v>61.201283895712599</c:v>
                </c:pt>
                <c:pt idx="124">
                  <c:v>59.007423761336703</c:v>
                </c:pt>
                <c:pt idx="125">
                  <c:v>58.100353191922899</c:v>
                </c:pt>
                <c:pt idx="126">
                  <c:v>58.6374936876879</c:v>
                </c:pt>
                <c:pt idx="127">
                  <c:v>60.732385505044</c:v>
                </c:pt>
              </c:numCache>
            </c:numRef>
          </c:yVal>
          <c:smooth val="1"/>
        </c:ser>
        <c:ser>
          <c:idx val="19"/>
          <c:order val="19"/>
          <c:tx>
            <c:strRef>
              <c:f>data!$A$51</c:f>
              <c:strCache>
                <c:ptCount val="1"/>
                <c:pt idx="0">
                  <c:v>B70_SH_P5_458_NewFoam_rear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data!$B$31:$DY$31</c:f>
              <c:numCache>
                <c:formatCode>General</c:formatCode>
                <c:ptCount val="128"/>
                <c:pt idx="0">
                  <c:v>1</c:v>
                </c:pt>
                <c:pt idx="1">
                  <c:v>62.03125</c:v>
                </c:pt>
                <c:pt idx="2">
                  <c:v>123.0625</c:v>
                </c:pt>
                <c:pt idx="3">
                  <c:v>184.09375</c:v>
                </c:pt>
                <c:pt idx="4">
                  <c:v>245.125</c:v>
                </c:pt>
                <c:pt idx="5">
                  <c:v>306.15625</c:v>
                </c:pt>
                <c:pt idx="6">
                  <c:v>367.1875</c:v>
                </c:pt>
                <c:pt idx="7">
                  <c:v>428.21875</c:v>
                </c:pt>
                <c:pt idx="8">
                  <c:v>489.25</c:v>
                </c:pt>
                <c:pt idx="9">
                  <c:v>550.28125</c:v>
                </c:pt>
                <c:pt idx="10">
                  <c:v>611.3125</c:v>
                </c:pt>
                <c:pt idx="11">
                  <c:v>672.34375</c:v>
                </c:pt>
                <c:pt idx="12">
                  <c:v>733.375</c:v>
                </c:pt>
                <c:pt idx="13">
                  <c:v>794.40625</c:v>
                </c:pt>
                <c:pt idx="14">
                  <c:v>855.4375</c:v>
                </c:pt>
                <c:pt idx="15">
                  <c:v>916.46875</c:v>
                </c:pt>
                <c:pt idx="16">
                  <c:v>977.5</c:v>
                </c:pt>
                <c:pt idx="17">
                  <c:v>1038.53125</c:v>
                </c:pt>
                <c:pt idx="18">
                  <c:v>1099.5625</c:v>
                </c:pt>
                <c:pt idx="19">
                  <c:v>1160.59375</c:v>
                </c:pt>
                <c:pt idx="20">
                  <c:v>1221.625</c:v>
                </c:pt>
                <c:pt idx="21">
                  <c:v>1282.65625</c:v>
                </c:pt>
                <c:pt idx="22">
                  <c:v>1343.6875</c:v>
                </c:pt>
                <c:pt idx="23">
                  <c:v>1404.71875</c:v>
                </c:pt>
                <c:pt idx="24">
                  <c:v>1465.75</c:v>
                </c:pt>
                <c:pt idx="25">
                  <c:v>1526.78125</c:v>
                </c:pt>
                <c:pt idx="26">
                  <c:v>1587.8125</c:v>
                </c:pt>
                <c:pt idx="27">
                  <c:v>1648.84375</c:v>
                </c:pt>
                <c:pt idx="28">
                  <c:v>1709.875</c:v>
                </c:pt>
                <c:pt idx="29">
                  <c:v>1770.90625</c:v>
                </c:pt>
                <c:pt idx="30">
                  <c:v>1831.9375</c:v>
                </c:pt>
                <c:pt idx="31">
                  <c:v>1892.96875</c:v>
                </c:pt>
                <c:pt idx="32">
                  <c:v>1954</c:v>
                </c:pt>
                <c:pt idx="33">
                  <c:v>2015.03125</c:v>
                </c:pt>
                <c:pt idx="34">
                  <c:v>2076.0625</c:v>
                </c:pt>
                <c:pt idx="35">
                  <c:v>2137.09375</c:v>
                </c:pt>
                <c:pt idx="36">
                  <c:v>2198.125</c:v>
                </c:pt>
                <c:pt idx="37">
                  <c:v>2259.15625</c:v>
                </c:pt>
                <c:pt idx="38">
                  <c:v>2320.1875</c:v>
                </c:pt>
                <c:pt idx="39">
                  <c:v>2381.21875</c:v>
                </c:pt>
                <c:pt idx="40">
                  <c:v>2442.25</c:v>
                </c:pt>
                <c:pt idx="41">
                  <c:v>2503.28125</c:v>
                </c:pt>
                <c:pt idx="42">
                  <c:v>2564.3125</c:v>
                </c:pt>
                <c:pt idx="43">
                  <c:v>2625.34375</c:v>
                </c:pt>
                <c:pt idx="44">
                  <c:v>2686.375</c:v>
                </c:pt>
                <c:pt idx="45">
                  <c:v>2747.40625</c:v>
                </c:pt>
                <c:pt idx="46">
                  <c:v>2808.4375</c:v>
                </c:pt>
                <c:pt idx="47">
                  <c:v>2869.46875</c:v>
                </c:pt>
                <c:pt idx="48">
                  <c:v>2930.5</c:v>
                </c:pt>
                <c:pt idx="49">
                  <c:v>2991.53125</c:v>
                </c:pt>
                <c:pt idx="50">
                  <c:v>3052.5625</c:v>
                </c:pt>
                <c:pt idx="51">
                  <c:v>3113.59375</c:v>
                </c:pt>
                <c:pt idx="52">
                  <c:v>3174.625</c:v>
                </c:pt>
                <c:pt idx="53">
                  <c:v>3235.65625</c:v>
                </c:pt>
                <c:pt idx="54">
                  <c:v>3296.6875</c:v>
                </c:pt>
                <c:pt idx="55">
                  <c:v>3357.71875</c:v>
                </c:pt>
                <c:pt idx="56">
                  <c:v>3418.75</c:v>
                </c:pt>
                <c:pt idx="57">
                  <c:v>3479.78125</c:v>
                </c:pt>
                <c:pt idx="58">
                  <c:v>3540.8125</c:v>
                </c:pt>
                <c:pt idx="59">
                  <c:v>3601.84375</c:v>
                </c:pt>
                <c:pt idx="60">
                  <c:v>3662.875</c:v>
                </c:pt>
                <c:pt idx="61">
                  <c:v>3723.90625</c:v>
                </c:pt>
                <c:pt idx="62">
                  <c:v>3784.9375</c:v>
                </c:pt>
                <c:pt idx="63">
                  <c:v>3845.96875</c:v>
                </c:pt>
                <c:pt idx="64">
                  <c:v>3907</c:v>
                </c:pt>
                <c:pt idx="65">
                  <c:v>3968.03125</c:v>
                </c:pt>
                <c:pt idx="66">
                  <c:v>4029.0625</c:v>
                </c:pt>
                <c:pt idx="67">
                  <c:v>4090.09375</c:v>
                </c:pt>
                <c:pt idx="68">
                  <c:v>4151.125</c:v>
                </c:pt>
                <c:pt idx="69">
                  <c:v>4212.15625</c:v>
                </c:pt>
                <c:pt idx="70">
                  <c:v>4273.1875</c:v>
                </c:pt>
                <c:pt idx="71">
                  <c:v>4334.21875</c:v>
                </c:pt>
                <c:pt idx="72">
                  <c:v>4395.25</c:v>
                </c:pt>
                <c:pt idx="73">
                  <c:v>4456.28125</c:v>
                </c:pt>
                <c:pt idx="74">
                  <c:v>4517.3125</c:v>
                </c:pt>
                <c:pt idx="75">
                  <c:v>4578.34375</c:v>
                </c:pt>
                <c:pt idx="76">
                  <c:v>4639.375</c:v>
                </c:pt>
                <c:pt idx="77">
                  <c:v>4700.40625</c:v>
                </c:pt>
                <c:pt idx="78">
                  <c:v>4761.4375</c:v>
                </c:pt>
                <c:pt idx="79">
                  <c:v>4822.46875</c:v>
                </c:pt>
                <c:pt idx="80">
                  <c:v>4883.5</c:v>
                </c:pt>
                <c:pt idx="81">
                  <c:v>4944.53125</c:v>
                </c:pt>
                <c:pt idx="82">
                  <c:v>5005.5625</c:v>
                </c:pt>
                <c:pt idx="83">
                  <c:v>5066.59375</c:v>
                </c:pt>
                <c:pt idx="84">
                  <c:v>5127.625</c:v>
                </c:pt>
                <c:pt idx="85">
                  <c:v>5188.65625</c:v>
                </c:pt>
                <c:pt idx="86">
                  <c:v>5249.6875</c:v>
                </c:pt>
                <c:pt idx="87">
                  <c:v>5310.71875</c:v>
                </c:pt>
                <c:pt idx="88">
                  <c:v>5371.75</c:v>
                </c:pt>
                <c:pt idx="89">
                  <c:v>5432.78125</c:v>
                </c:pt>
                <c:pt idx="90">
                  <c:v>5493.8125</c:v>
                </c:pt>
                <c:pt idx="91">
                  <c:v>5554.84375</c:v>
                </c:pt>
                <c:pt idx="92">
                  <c:v>5615.875</c:v>
                </c:pt>
                <c:pt idx="93">
                  <c:v>5676.90625</c:v>
                </c:pt>
                <c:pt idx="94">
                  <c:v>5737.9375</c:v>
                </c:pt>
                <c:pt idx="95">
                  <c:v>5798.96875</c:v>
                </c:pt>
                <c:pt idx="96">
                  <c:v>5860</c:v>
                </c:pt>
                <c:pt idx="97">
                  <c:v>5921.03125</c:v>
                </c:pt>
                <c:pt idx="98">
                  <c:v>5982.0625</c:v>
                </c:pt>
                <c:pt idx="99">
                  <c:v>6043.09375</c:v>
                </c:pt>
                <c:pt idx="100">
                  <c:v>6104.125</c:v>
                </c:pt>
                <c:pt idx="101">
                  <c:v>6165.15625</c:v>
                </c:pt>
                <c:pt idx="102">
                  <c:v>6226.1875</c:v>
                </c:pt>
                <c:pt idx="103">
                  <c:v>6287.21875</c:v>
                </c:pt>
                <c:pt idx="104">
                  <c:v>6348.25</c:v>
                </c:pt>
                <c:pt idx="105">
                  <c:v>6409.28125</c:v>
                </c:pt>
                <c:pt idx="106">
                  <c:v>6470.3125</c:v>
                </c:pt>
                <c:pt idx="107">
                  <c:v>6531.34375</c:v>
                </c:pt>
                <c:pt idx="108">
                  <c:v>6592.375</c:v>
                </c:pt>
                <c:pt idx="109">
                  <c:v>6653.40625</c:v>
                </c:pt>
                <c:pt idx="110">
                  <c:v>6714.4375</c:v>
                </c:pt>
                <c:pt idx="111">
                  <c:v>6775.46875</c:v>
                </c:pt>
                <c:pt idx="112">
                  <c:v>6836.5</c:v>
                </c:pt>
                <c:pt idx="113">
                  <c:v>6897.53125</c:v>
                </c:pt>
                <c:pt idx="114">
                  <c:v>6958.5625</c:v>
                </c:pt>
                <c:pt idx="115">
                  <c:v>7019.59375</c:v>
                </c:pt>
                <c:pt idx="116">
                  <c:v>7080.625</c:v>
                </c:pt>
                <c:pt idx="117">
                  <c:v>7141.65625</c:v>
                </c:pt>
                <c:pt idx="118">
                  <c:v>7202.6875</c:v>
                </c:pt>
                <c:pt idx="119">
                  <c:v>7263.71875</c:v>
                </c:pt>
                <c:pt idx="120">
                  <c:v>7324.75</c:v>
                </c:pt>
                <c:pt idx="121">
                  <c:v>7385.78125</c:v>
                </c:pt>
                <c:pt idx="122">
                  <c:v>7446.8125</c:v>
                </c:pt>
                <c:pt idx="123">
                  <c:v>7507.84375</c:v>
                </c:pt>
                <c:pt idx="124">
                  <c:v>7568.875</c:v>
                </c:pt>
                <c:pt idx="125">
                  <c:v>7629.90625</c:v>
                </c:pt>
                <c:pt idx="126">
                  <c:v>7690.9375</c:v>
                </c:pt>
                <c:pt idx="127">
                  <c:v>7751.96875</c:v>
                </c:pt>
              </c:numCache>
            </c:numRef>
          </c:xVal>
          <c:yVal>
            <c:numRef>
              <c:f>data!$B$51:$DY$51</c:f>
              <c:numCache>
                <c:formatCode>General</c:formatCode>
                <c:ptCount val="128"/>
                <c:pt idx="0">
                  <c:v>386.03887619067598</c:v>
                </c:pt>
                <c:pt idx="1">
                  <c:v>91.975189051313293</c:v>
                </c:pt>
                <c:pt idx="2">
                  <c:v>90.019842578456107</c:v>
                </c:pt>
                <c:pt idx="3">
                  <c:v>106.6164802872853</c:v>
                </c:pt>
                <c:pt idx="4">
                  <c:v>98.570734916579895</c:v>
                </c:pt>
                <c:pt idx="5">
                  <c:v>101.4618106358518</c:v>
                </c:pt>
                <c:pt idx="6">
                  <c:v>92.377370580434004</c:v>
                </c:pt>
                <c:pt idx="7">
                  <c:v>91.533196919726706</c:v>
                </c:pt>
                <c:pt idx="8">
                  <c:v>87.109427887088401</c:v>
                </c:pt>
                <c:pt idx="9">
                  <c:v>107.43725266133887</c:v>
                </c:pt>
                <c:pt idx="10">
                  <c:v>92.993206864176457</c:v>
                </c:pt>
                <c:pt idx="11">
                  <c:v>92.084715243106714</c:v>
                </c:pt>
                <c:pt idx="12">
                  <c:v>93.095720947659842</c:v>
                </c:pt>
                <c:pt idx="13">
                  <c:v>91.389452870879381</c:v>
                </c:pt>
                <c:pt idx="14">
                  <c:v>84.514394042659632</c:v>
                </c:pt>
                <c:pt idx="15">
                  <c:v>81.113390523677751</c:v>
                </c:pt>
                <c:pt idx="16">
                  <c:v>80.450062503895182</c:v>
                </c:pt>
                <c:pt idx="17">
                  <c:v>79.920854159955425</c:v>
                </c:pt>
                <c:pt idx="18">
                  <c:v>80.152219574466002</c:v>
                </c:pt>
                <c:pt idx="19">
                  <c:v>80.0537903549763</c:v>
                </c:pt>
                <c:pt idx="20">
                  <c:v>78.439661038326904</c:v>
                </c:pt>
                <c:pt idx="21">
                  <c:v>78.166353477565195</c:v>
                </c:pt>
                <c:pt idx="22">
                  <c:v>78.431992076829616</c:v>
                </c:pt>
                <c:pt idx="23">
                  <c:v>77.767366228229747</c:v>
                </c:pt>
                <c:pt idx="24">
                  <c:v>76.545227736526684</c:v>
                </c:pt>
                <c:pt idx="25">
                  <c:v>76.275858534132311</c:v>
                </c:pt>
                <c:pt idx="26">
                  <c:v>75.069582528054141</c:v>
                </c:pt>
                <c:pt idx="27">
                  <c:v>74.146332392579751</c:v>
                </c:pt>
                <c:pt idx="28">
                  <c:v>72.92488859141119</c:v>
                </c:pt>
                <c:pt idx="29">
                  <c:v>72.356991596337522</c:v>
                </c:pt>
                <c:pt idx="30">
                  <c:v>71.311316519887669</c:v>
                </c:pt>
                <c:pt idx="31">
                  <c:v>70.159400052453108</c:v>
                </c:pt>
                <c:pt idx="32">
                  <c:v>69.569596894235758</c:v>
                </c:pt>
                <c:pt idx="33">
                  <c:v>68.232210917476053</c:v>
                </c:pt>
                <c:pt idx="34">
                  <c:v>66.790361437148547</c:v>
                </c:pt>
                <c:pt idx="35">
                  <c:v>65.432970881993043</c:v>
                </c:pt>
                <c:pt idx="36">
                  <c:v>64.109389399209135</c:v>
                </c:pt>
                <c:pt idx="37">
                  <c:v>62.772848533281035</c:v>
                </c:pt>
                <c:pt idx="38">
                  <c:v>62.028616374663642</c:v>
                </c:pt>
                <c:pt idx="39">
                  <c:v>62.020529491420355</c:v>
                </c:pt>
                <c:pt idx="40">
                  <c:v>60.972440251261169</c:v>
                </c:pt>
                <c:pt idx="41">
                  <c:v>59.575982602586585</c:v>
                </c:pt>
                <c:pt idx="42">
                  <c:v>58.736987823248093</c:v>
                </c:pt>
                <c:pt idx="43">
                  <c:v>58.242278025848108</c:v>
                </c:pt>
                <c:pt idx="44">
                  <c:v>58.23517878559732</c:v>
                </c:pt>
                <c:pt idx="45">
                  <c:v>58.410498876394627</c:v>
                </c:pt>
                <c:pt idx="46">
                  <c:v>58.471837251600036</c:v>
                </c:pt>
                <c:pt idx="47">
                  <c:v>58.261013396106307</c:v>
                </c:pt>
                <c:pt idx="48">
                  <c:v>57.899144024948768</c:v>
                </c:pt>
                <c:pt idx="49">
                  <c:v>57.529658932540627</c:v>
                </c:pt>
                <c:pt idx="50">
                  <c:v>56.840930210172587</c:v>
                </c:pt>
                <c:pt idx="51">
                  <c:v>56.24159733490346</c:v>
                </c:pt>
                <c:pt idx="52">
                  <c:v>55.517198795011417</c:v>
                </c:pt>
                <c:pt idx="53">
                  <c:v>55.116374594496278</c:v>
                </c:pt>
                <c:pt idx="54">
                  <c:v>54.793268711540442</c:v>
                </c:pt>
                <c:pt idx="55">
                  <c:v>54.696765455223506</c:v>
                </c:pt>
                <c:pt idx="56">
                  <c:v>54.538495651871621</c:v>
                </c:pt>
                <c:pt idx="57">
                  <c:v>54.108073103326795</c:v>
                </c:pt>
                <c:pt idx="58">
                  <c:v>53.466610578074174</c:v>
                </c:pt>
                <c:pt idx="59">
                  <c:v>52.729168946827841</c:v>
                </c:pt>
                <c:pt idx="60">
                  <c:v>52.101346428662517</c:v>
                </c:pt>
                <c:pt idx="61">
                  <c:v>51.810560891996985</c:v>
                </c:pt>
                <c:pt idx="62">
                  <c:v>51.635891956679458</c:v>
                </c:pt>
                <c:pt idx="63">
                  <c:v>51.373029786438032</c:v>
                </c:pt>
                <c:pt idx="64">
                  <c:v>50.912179764409807</c:v>
                </c:pt>
                <c:pt idx="65">
                  <c:v>50.618625655932782</c:v>
                </c:pt>
                <c:pt idx="66">
                  <c:v>50.414186685512746</c:v>
                </c:pt>
                <c:pt idx="67">
                  <c:v>50.502413965482823</c:v>
                </c:pt>
                <c:pt idx="68">
                  <c:v>51.24104007887108</c:v>
                </c:pt>
                <c:pt idx="69">
                  <c:v>52.518987333474044</c:v>
                </c:pt>
                <c:pt idx="70">
                  <c:v>52.967231407771393</c:v>
                </c:pt>
                <c:pt idx="71">
                  <c:v>53.485072397932058</c:v>
                </c:pt>
                <c:pt idx="72">
                  <c:v>54.007650670063519</c:v>
                </c:pt>
                <c:pt idx="73">
                  <c:v>54.89432400183918</c:v>
                </c:pt>
                <c:pt idx="74">
                  <c:v>56.729835928569038</c:v>
                </c:pt>
                <c:pt idx="75">
                  <c:v>58.233904001974402</c:v>
                </c:pt>
                <c:pt idx="76">
                  <c:v>54.734099101452763</c:v>
                </c:pt>
                <c:pt idx="77">
                  <c:v>56.817678833512218</c:v>
                </c:pt>
                <c:pt idx="78">
                  <c:v>57.396706581989278</c:v>
                </c:pt>
                <c:pt idx="79">
                  <c:v>60.818138625204242</c:v>
                </c:pt>
                <c:pt idx="80">
                  <c:v>59.834096040515405</c:v>
                </c:pt>
                <c:pt idx="81">
                  <c:v>59.30901665444766</c:v>
                </c:pt>
                <c:pt idx="82">
                  <c:v>59.291475508942824</c:v>
                </c:pt>
                <c:pt idx="83">
                  <c:v>59.775658674616686</c:v>
                </c:pt>
                <c:pt idx="84">
                  <c:v>60.616380787957247</c:v>
                </c:pt>
                <c:pt idx="85">
                  <c:v>61.372426008254159</c:v>
                </c:pt>
                <c:pt idx="86">
                  <c:v>66.18384803537748</c:v>
                </c:pt>
                <c:pt idx="87">
                  <c:v>79.372281669392706</c:v>
                </c:pt>
                <c:pt idx="88">
                  <c:v>77.79866314990683</c:v>
                </c:pt>
                <c:pt idx="89">
                  <c:v>77.464284245821247</c:v>
                </c:pt>
                <c:pt idx="90">
                  <c:v>68.558965391092158</c:v>
                </c:pt>
                <c:pt idx="91">
                  <c:v>66.587897491012583</c:v>
                </c:pt>
                <c:pt idx="92">
                  <c:v>65.8750632231678</c:v>
                </c:pt>
                <c:pt idx="93">
                  <c:v>66.181346823438219</c:v>
                </c:pt>
                <c:pt idx="94">
                  <c:v>67.382409166093439</c:v>
                </c:pt>
                <c:pt idx="95">
                  <c:v>66.417032108018361</c:v>
                </c:pt>
                <c:pt idx="96">
                  <c:v>65.267504791234771</c:v>
                </c:pt>
                <c:pt idx="97">
                  <c:v>65.557529617088889</c:v>
                </c:pt>
                <c:pt idx="98">
                  <c:v>65.374745609632924</c:v>
                </c:pt>
                <c:pt idx="99">
                  <c:v>65.549463259211137</c:v>
                </c:pt>
                <c:pt idx="100">
                  <c:v>65.465250054712044</c:v>
                </c:pt>
                <c:pt idx="101">
                  <c:v>65.358820869036975</c:v>
                </c:pt>
                <c:pt idx="102">
                  <c:v>65.24662704136999</c:v>
                </c:pt>
                <c:pt idx="103">
                  <c:v>65.240801789720919</c:v>
                </c:pt>
                <c:pt idx="104">
                  <c:v>65.25130862054634</c:v>
                </c:pt>
                <c:pt idx="105">
                  <c:v>65.306560792397107</c:v>
                </c:pt>
                <c:pt idx="106">
                  <c:v>65.506757935876607</c:v>
                </c:pt>
                <c:pt idx="107">
                  <c:v>65.004730050725797</c:v>
                </c:pt>
                <c:pt idx="108">
                  <c:v>65.147468090371206</c:v>
                </c:pt>
                <c:pt idx="109">
                  <c:v>65.143111067165393</c:v>
                </c:pt>
                <c:pt idx="110">
                  <c:v>65.918743653236191</c:v>
                </c:pt>
                <c:pt idx="111">
                  <c:v>66.905650435583993</c:v>
                </c:pt>
                <c:pt idx="112">
                  <c:v>68.083048234151704</c:v>
                </c:pt>
                <c:pt idx="113">
                  <c:v>69.318528634838302</c:v>
                </c:pt>
                <c:pt idx="114">
                  <c:v>69.430280126955608</c:v>
                </c:pt>
                <c:pt idx="115">
                  <c:v>69.383938446002105</c:v>
                </c:pt>
                <c:pt idx="116">
                  <c:v>68.621310003233603</c:v>
                </c:pt>
                <c:pt idx="117">
                  <c:v>67.634175164616408</c:v>
                </c:pt>
                <c:pt idx="118">
                  <c:v>67.253966231032393</c:v>
                </c:pt>
                <c:pt idx="119">
                  <c:v>67.140742631689506</c:v>
                </c:pt>
                <c:pt idx="120">
                  <c:v>69.710070121012393</c:v>
                </c:pt>
                <c:pt idx="121">
                  <c:v>76.4087284469514</c:v>
                </c:pt>
                <c:pt idx="122">
                  <c:v>72.7139403945514</c:v>
                </c:pt>
                <c:pt idx="123">
                  <c:v>66.707151872383491</c:v>
                </c:pt>
                <c:pt idx="124">
                  <c:v>62.601535110196203</c:v>
                </c:pt>
                <c:pt idx="125">
                  <c:v>60.0590258663741</c:v>
                </c:pt>
                <c:pt idx="126">
                  <c:v>58.450287211975997</c:v>
                </c:pt>
                <c:pt idx="127">
                  <c:v>57.669333640775903</c:v>
                </c:pt>
              </c:numCache>
            </c:numRef>
          </c:yVal>
          <c:smooth val="1"/>
        </c:ser>
        <c:ser>
          <c:idx val="20"/>
          <c:order val="20"/>
          <c:tx>
            <c:strRef>
              <c:f>data!$A$52</c:f>
              <c:strCache>
                <c:ptCount val="1"/>
                <c:pt idx="0">
                  <c:v>B70_SH_P5_458_RECOVER_front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data!$B$31:$DY$31</c:f>
              <c:numCache>
                <c:formatCode>General</c:formatCode>
                <c:ptCount val="128"/>
                <c:pt idx="0">
                  <c:v>1</c:v>
                </c:pt>
                <c:pt idx="1">
                  <c:v>62.03125</c:v>
                </c:pt>
                <c:pt idx="2">
                  <c:v>123.0625</c:v>
                </c:pt>
                <c:pt idx="3">
                  <c:v>184.09375</c:v>
                </c:pt>
                <c:pt idx="4">
                  <c:v>245.125</c:v>
                </c:pt>
                <c:pt idx="5">
                  <c:v>306.15625</c:v>
                </c:pt>
                <c:pt idx="6">
                  <c:v>367.1875</c:v>
                </c:pt>
                <c:pt idx="7">
                  <c:v>428.21875</c:v>
                </c:pt>
                <c:pt idx="8">
                  <c:v>489.25</c:v>
                </c:pt>
                <c:pt idx="9">
                  <c:v>550.28125</c:v>
                </c:pt>
                <c:pt idx="10">
                  <c:v>611.3125</c:v>
                </c:pt>
                <c:pt idx="11">
                  <c:v>672.34375</c:v>
                </c:pt>
                <c:pt idx="12">
                  <c:v>733.375</c:v>
                </c:pt>
                <c:pt idx="13">
                  <c:v>794.40625</c:v>
                </c:pt>
                <c:pt idx="14">
                  <c:v>855.4375</c:v>
                </c:pt>
                <c:pt idx="15">
                  <c:v>916.46875</c:v>
                </c:pt>
                <c:pt idx="16">
                  <c:v>977.5</c:v>
                </c:pt>
                <c:pt idx="17">
                  <c:v>1038.53125</c:v>
                </c:pt>
                <c:pt idx="18">
                  <c:v>1099.5625</c:v>
                </c:pt>
                <c:pt idx="19">
                  <c:v>1160.59375</c:v>
                </c:pt>
                <c:pt idx="20">
                  <c:v>1221.625</c:v>
                </c:pt>
                <c:pt idx="21">
                  <c:v>1282.65625</c:v>
                </c:pt>
                <c:pt idx="22">
                  <c:v>1343.6875</c:v>
                </c:pt>
                <c:pt idx="23">
                  <c:v>1404.71875</c:v>
                </c:pt>
                <c:pt idx="24">
                  <c:v>1465.75</c:v>
                </c:pt>
                <c:pt idx="25">
                  <c:v>1526.78125</c:v>
                </c:pt>
                <c:pt idx="26">
                  <c:v>1587.8125</c:v>
                </c:pt>
                <c:pt idx="27">
                  <c:v>1648.84375</c:v>
                </c:pt>
                <c:pt idx="28">
                  <c:v>1709.875</c:v>
                </c:pt>
                <c:pt idx="29">
                  <c:v>1770.90625</c:v>
                </c:pt>
                <c:pt idx="30">
                  <c:v>1831.9375</c:v>
                </c:pt>
                <c:pt idx="31">
                  <c:v>1892.96875</c:v>
                </c:pt>
                <c:pt idx="32">
                  <c:v>1954</c:v>
                </c:pt>
                <c:pt idx="33">
                  <c:v>2015.03125</c:v>
                </c:pt>
                <c:pt idx="34">
                  <c:v>2076.0625</c:v>
                </c:pt>
                <c:pt idx="35">
                  <c:v>2137.09375</c:v>
                </c:pt>
                <c:pt idx="36">
                  <c:v>2198.125</c:v>
                </c:pt>
                <c:pt idx="37">
                  <c:v>2259.15625</c:v>
                </c:pt>
                <c:pt idx="38">
                  <c:v>2320.1875</c:v>
                </c:pt>
                <c:pt idx="39">
                  <c:v>2381.21875</c:v>
                </c:pt>
                <c:pt idx="40">
                  <c:v>2442.25</c:v>
                </c:pt>
                <c:pt idx="41">
                  <c:v>2503.28125</c:v>
                </c:pt>
                <c:pt idx="42">
                  <c:v>2564.3125</c:v>
                </c:pt>
                <c:pt idx="43">
                  <c:v>2625.34375</c:v>
                </c:pt>
                <c:pt idx="44">
                  <c:v>2686.375</c:v>
                </c:pt>
                <c:pt idx="45">
                  <c:v>2747.40625</c:v>
                </c:pt>
                <c:pt idx="46">
                  <c:v>2808.4375</c:v>
                </c:pt>
                <c:pt idx="47">
                  <c:v>2869.46875</c:v>
                </c:pt>
                <c:pt idx="48">
                  <c:v>2930.5</c:v>
                </c:pt>
                <c:pt idx="49">
                  <c:v>2991.53125</c:v>
                </c:pt>
                <c:pt idx="50">
                  <c:v>3052.5625</c:v>
                </c:pt>
                <c:pt idx="51">
                  <c:v>3113.59375</c:v>
                </c:pt>
                <c:pt idx="52">
                  <c:v>3174.625</c:v>
                </c:pt>
                <c:pt idx="53">
                  <c:v>3235.65625</c:v>
                </c:pt>
                <c:pt idx="54">
                  <c:v>3296.6875</c:v>
                </c:pt>
                <c:pt idx="55">
                  <c:v>3357.71875</c:v>
                </c:pt>
                <c:pt idx="56">
                  <c:v>3418.75</c:v>
                </c:pt>
                <c:pt idx="57">
                  <c:v>3479.78125</c:v>
                </c:pt>
                <c:pt idx="58">
                  <c:v>3540.8125</c:v>
                </c:pt>
                <c:pt idx="59">
                  <c:v>3601.84375</c:v>
                </c:pt>
                <c:pt idx="60">
                  <c:v>3662.875</c:v>
                </c:pt>
                <c:pt idx="61">
                  <c:v>3723.90625</c:v>
                </c:pt>
                <c:pt idx="62">
                  <c:v>3784.9375</c:v>
                </c:pt>
                <c:pt idx="63">
                  <c:v>3845.96875</c:v>
                </c:pt>
                <c:pt idx="64">
                  <c:v>3907</c:v>
                </c:pt>
                <c:pt idx="65">
                  <c:v>3968.03125</c:v>
                </c:pt>
                <c:pt idx="66">
                  <c:v>4029.0625</c:v>
                </c:pt>
                <c:pt idx="67">
                  <c:v>4090.09375</c:v>
                </c:pt>
                <c:pt idx="68">
                  <c:v>4151.125</c:v>
                </c:pt>
                <c:pt idx="69">
                  <c:v>4212.15625</c:v>
                </c:pt>
                <c:pt idx="70">
                  <c:v>4273.1875</c:v>
                </c:pt>
                <c:pt idx="71">
                  <c:v>4334.21875</c:v>
                </c:pt>
                <c:pt idx="72">
                  <c:v>4395.25</c:v>
                </c:pt>
                <c:pt idx="73">
                  <c:v>4456.28125</c:v>
                </c:pt>
                <c:pt idx="74">
                  <c:v>4517.3125</c:v>
                </c:pt>
                <c:pt idx="75">
                  <c:v>4578.34375</c:v>
                </c:pt>
                <c:pt idx="76">
                  <c:v>4639.375</c:v>
                </c:pt>
                <c:pt idx="77">
                  <c:v>4700.40625</c:v>
                </c:pt>
                <c:pt idx="78">
                  <c:v>4761.4375</c:v>
                </c:pt>
                <c:pt idx="79">
                  <c:v>4822.46875</c:v>
                </c:pt>
                <c:pt idx="80">
                  <c:v>4883.5</c:v>
                </c:pt>
                <c:pt idx="81">
                  <c:v>4944.53125</c:v>
                </c:pt>
                <c:pt idx="82">
                  <c:v>5005.5625</c:v>
                </c:pt>
                <c:pt idx="83">
                  <c:v>5066.59375</c:v>
                </c:pt>
                <c:pt idx="84">
                  <c:v>5127.625</c:v>
                </c:pt>
                <c:pt idx="85">
                  <c:v>5188.65625</c:v>
                </c:pt>
                <c:pt idx="86">
                  <c:v>5249.6875</c:v>
                </c:pt>
                <c:pt idx="87">
                  <c:v>5310.71875</c:v>
                </c:pt>
                <c:pt idx="88">
                  <c:v>5371.75</c:v>
                </c:pt>
                <c:pt idx="89">
                  <c:v>5432.78125</c:v>
                </c:pt>
                <c:pt idx="90">
                  <c:v>5493.8125</c:v>
                </c:pt>
                <c:pt idx="91">
                  <c:v>5554.84375</c:v>
                </c:pt>
                <c:pt idx="92">
                  <c:v>5615.875</c:v>
                </c:pt>
                <c:pt idx="93">
                  <c:v>5676.90625</c:v>
                </c:pt>
                <c:pt idx="94">
                  <c:v>5737.9375</c:v>
                </c:pt>
                <c:pt idx="95">
                  <c:v>5798.96875</c:v>
                </c:pt>
                <c:pt idx="96">
                  <c:v>5860</c:v>
                </c:pt>
                <c:pt idx="97">
                  <c:v>5921.03125</c:v>
                </c:pt>
                <c:pt idx="98">
                  <c:v>5982.0625</c:v>
                </c:pt>
                <c:pt idx="99">
                  <c:v>6043.09375</c:v>
                </c:pt>
                <c:pt idx="100">
                  <c:v>6104.125</c:v>
                </c:pt>
                <c:pt idx="101">
                  <c:v>6165.15625</c:v>
                </c:pt>
                <c:pt idx="102">
                  <c:v>6226.1875</c:v>
                </c:pt>
                <c:pt idx="103">
                  <c:v>6287.21875</c:v>
                </c:pt>
                <c:pt idx="104">
                  <c:v>6348.25</c:v>
                </c:pt>
                <c:pt idx="105">
                  <c:v>6409.28125</c:v>
                </c:pt>
                <c:pt idx="106">
                  <c:v>6470.3125</c:v>
                </c:pt>
                <c:pt idx="107">
                  <c:v>6531.34375</c:v>
                </c:pt>
                <c:pt idx="108">
                  <c:v>6592.375</c:v>
                </c:pt>
                <c:pt idx="109">
                  <c:v>6653.40625</c:v>
                </c:pt>
                <c:pt idx="110">
                  <c:v>6714.4375</c:v>
                </c:pt>
                <c:pt idx="111">
                  <c:v>6775.46875</c:v>
                </c:pt>
                <c:pt idx="112">
                  <c:v>6836.5</c:v>
                </c:pt>
                <c:pt idx="113">
                  <c:v>6897.53125</c:v>
                </c:pt>
                <c:pt idx="114">
                  <c:v>6958.5625</c:v>
                </c:pt>
                <c:pt idx="115">
                  <c:v>7019.59375</c:v>
                </c:pt>
                <c:pt idx="116">
                  <c:v>7080.625</c:v>
                </c:pt>
                <c:pt idx="117">
                  <c:v>7141.65625</c:v>
                </c:pt>
                <c:pt idx="118">
                  <c:v>7202.6875</c:v>
                </c:pt>
                <c:pt idx="119">
                  <c:v>7263.71875</c:v>
                </c:pt>
                <c:pt idx="120">
                  <c:v>7324.75</c:v>
                </c:pt>
                <c:pt idx="121">
                  <c:v>7385.78125</c:v>
                </c:pt>
                <c:pt idx="122">
                  <c:v>7446.8125</c:v>
                </c:pt>
                <c:pt idx="123">
                  <c:v>7507.84375</c:v>
                </c:pt>
                <c:pt idx="124">
                  <c:v>7568.875</c:v>
                </c:pt>
                <c:pt idx="125">
                  <c:v>7629.90625</c:v>
                </c:pt>
                <c:pt idx="126">
                  <c:v>7690.9375</c:v>
                </c:pt>
                <c:pt idx="127">
                  <c:v>7751.96875</c:v>
                </c:pt>
              </c:numCache>
            </c:numRef>
          </c:xVal>
          <c:yVal>
            <c:numRef>
              <c:f>data!$B$52:$DY$52</c:f>
              <c:numCache>
                <c:formatCode>General</c:formatCode>
                <c:ptCount val="128"/>
                <c:pt idx="0">
                  <c:v>380.82485105438201</c:v>
                </c:pt>
                <c:pt idx="1">
                  <c:v>95.482621139440695</c:v>
                </c:pt>
                <c:pt idx="2">
                  <c:v>99.715731728495996</c:v>
                </c:pt>
                <c:pt idx="3">
                  <c:v>94.386921302477404</c:v>
                </c:pt>
                <c:pt idx="4">
                  <c:v>80.492629926277004</c:v>
                </c:pt>
                <c:pt idx="5">
                  <c:v>83.355729629517199</c:v>
                </c:pt>
                <c:pt idx="6">
                  <c:v>83.927729657594</c:v>
                </c:pt>
                <c:pt idx="7">
                  <c:v>86.884304678253798</c:v>
                </c:pt>
                <c:pt idx="8">
                  <c:v>88.452338719816694</c:v>
                </c:pt>
                <c:pt idx="9">
                  <c:v>84.686691153897982</c:v>
                </c:pt>
                <c:pt idx="10">
                  <c:v>84.855016813518048</c:v>
                </c:pt>
                <c:pt idx="11">
                  <c:v>83.125151320823804</c:v>
                </c:pt>
                <c:pt idx="12">
                  <c:v>81.717949541312038</c:v>
                </c:pt>
                <c:pt idx="13">
                  <c:v>80.466916573230989</c:v>
                </c:pt>
                <c:pt idx="14">
                  <c:v>80.871127879454633</c:v>
                </c:pt>
                <c:pt idx="15">
                  <c:v>83.365497696898245</c:v>
                </c:pt>
                <c:pt idx="16">
                  <c:v>82.200459792440981</c:v>
                </c:pt>
                <c:pt idx="17">
                  <c:v>78.932266678548018</c:v>
                </c:pt>
                <c:pt idx="18">
                  <c:v>80.214225166308296</c:v>
                </c:pt>
                <c:pt idx="19">
                  <c:v>79.753370524227705</c:v>
                </c:pt>
                <c:pt idx="20">
                  <c:v>81.763261453507099</c:v>
                </c:pt>
                <c:pt idx="21">
                  <c:v>82.001130023697101</c:v>
                </c:pt>
                <c:pt idx="22">
                  <c:v>82.423694352966109</c:v>
                </c:pt>
                <c:pt idx="23">
                  <c:v>84.417707498563246</c:v>
                </c:pt>
                <c:pt idx="24">
                  <c:v>87.492734244249277</c:v>
                </c:pt>
                <c:pt idx="25">
                  <c:v>88.36089833139981</c:v>
                </c:pt>
                <c:pt idx="26">
                  <c:v>91.298858494107236</c:v>
                </c:pt>
                <c:pt idx="27">
                  <c:v>94.260599865322746</c:v>
                </c:pt>
                <c:pt idx="28">
                  <c:v>96.162794237337891</c:v>
                </c:pt>
                <c:pt idx="29">
                  <c:v>94.229239906736424</c:v>
                </c:pt>
                <c:pt idx="30">
                  <c:v>90.22292422380356</c:v>
                </c:pt>
                <c:pt idx="31">
                  <c:v>88.044309889723209</c:v>
                </c:pt>
                <c:pt idx="32">
                  <c:v>87.12290251312676</c:v>
                </c:pt>
                <c:pt idx="33">
                  <c:v>87.054973852706055</c:v>
                </c:pt>
                <c:pt idx="34">
                  <c:v>81.736939311339043</c:v>
                </c:pt>
                <c:pt idx="35">
                  <c:v>79.18297940400754</c:v>
                </c:pt>
                <c:pt idx="36">
                  <c:v>74.644323395226635</c:v>
                </c:pt>
                <c:pt idx="37">
                  <c:v>71.247634025939135</c:v>
                </c:pt>
                <c:pt idx="38">
                  <c:v>68.100115871257842</c:v>
                </c:pt>
                <c:pt idx="39">
                  <c:v>65.483933547205865</c:v>
                </c:pt>
                <c:pt idx="40">
                  <c:v>63.270296511586871</c:v>
                </c:pt>
                <c:pt idx="41">
                  <c:v>60.791594096292584</c:v>
                </c:pt>
                <c:pt idx="42">
                  <c:v>59.917230988636398</c:v>
                </c:pt>
                <c:pt idx="43">
                  <c:v>60.049591699991211</c:v>
                </c:pt>
                <c:pt idx="44">
                  <c:v>60.997668620455421</c:v>
                </c:pt>
                <c:pt idx="45">
                  <c:v>63.145554030952937</c:v>
                </c:pt>
                <c:pt idx="46">
                  <c:v>66.491225014400342</c:v>
                </c:pt>
                <c:pt idx="47">
                  <c:v>71.562190387954004</c:v>
                </c:pt>
                <c:pt idx="48">
                  <c:v>80.208753327198366</c:v>
                </c:pt>
                <c:pt idx="49">
                  <c:v>80.321347362894826</c:v>
                </c:pt>
                <c:pt idx="50">
                  <c:v>73.073384653741485</c:v>
                </c:pt>
                <c:pt idx="51">
                  <c:v>69.177844448707248</c:v>
                </c:pt>
                <c:pt idx="52">
                  <c:v>65.761571795099314</c:v>
                </c:pt>
                <c:pt idx="53">
                  <c:v>62.976661396789183</c:v>
                </c:pt>
                <c:pt idx="54">
                  <c:v>61.073780746441741</c:v>
                </c:pt>
                <c:pt idx="55">
                  <c:v>59.174427217113909</c:v>
                </c:pt>
                <c:pt idx="56">
                  <c:v>57.623586603649024</c:v>
                </c:pt>
                <c:pt idx="57">
                  <c:v>56.158975169436694</c:v>
                </c:pt>
                <c:pt idx="58">
                  <c:v>54.867439958079473</c:v>
                </c:pt>
                <c:pt idx="59">
                  <c:v>53.75132829557154</c:v>
                </c:pt>
                <c:pt idx="60">
                  <c:v>52.668369565581614</c:v>
                </c:pt>
                <c:pt idx="61">
                  <c:v>51.843335762948989</c:v>
                </c:pt>
                <c:pt idx="62">
                  <c:v>51.121697498686757</c:v>
                </c:pt>
                <c:pt idx="63">
                  <c:v>50.093552485882732</c:v>
                </c:pt>
                <c:pt idx="64">
                  <c:v>49.116010975404109</c:v>
                </c:pt>
                <c:pt idx="65">
                  <c:v>48.289306798661379</c:v>
                </c:pt>
                <c:pt idx="66">
                  <c:v>47.771475776133549</c:v>
                </c:pt>
                <c:pt idx="67">
                  <c:v>47.039673653481621</c:v>
                </c:pt>
                <c:pt idx="68">
                  <c:v>46.298120200745579</c:v>
                </c:pt>
                <c:pt idx="69">
                  <c:v>46.100278404572144</c:v>
                </c:pt>
                <c:pt idx="70">
                  <c:v>46.3888811910359</c:v>
                </c:pt>
                <c:pt idx="71">
                  <c:v>47.106291279954156</c:v>
                </c:pt>
                <c:pt idx="72">
                  <c:v>48.172521967053122</c:v>
                </c:pt>
                <c:pt idx="73">
                  <c:v>49.369786074789474</c:v>
                </c:pt>
                <c:pt idx="74">
                  <c:v>50.367794809876735</c:v>
                </c:pt>
                <c:pt idx="75">
                  <c:v>51.354671262446999</c:v>
                </c:pt>
                <c:pt idx="76">
                  <c:v>52.045852279127963</c:v>
                </c:pt>
                <c:pt idx="77">
                  <c:v>52.246264837590914</c:v>
                </c:pt>
                <c:pt idx="78">
                  <c:v>51.54926998219468</c:v>
                </c:pt>
                <c:pt idx="79">
                  <c:v>52.328026471257239</c:v>
                </c:pt>
                <c:pt idx="80">
                  <c:v>53.299696265645103</c:v>
                </c:pt>
                <c:pt idx="81">
                  <c:v>54.391534393803859</c:v>
                </c:pt>
                <c:pt idx="82">
                  <c:v>55.771991345321624</c:v>
                </c:pt>
                <c:pt idx="83">
                  <c:v>57.72448696228728</c:v>
                </c:pt>
                <c:pt idx="84">
                  <c:v>59.897335912513142</c:v>
                </c:pt>
                <c:pt idx="85">
                  <c:v>60.674843201718161</c:v>
                </c:pt>
                <c:pt idx="86">
                  <c:v>60.263630358413579</c:v>
                </c:pt>
                <c:pt idx="87">
                  <c:v>63.857218781560498</c:v>
                </c:pt>
                <c:pt idx="88">
                  <c:v>63.384767769571418</c:v>
                </c:pt>
                <c:pt idx="89">
                  <c:v>61.416221924566742</c:v>
                </c:pt>
                <c:pt idx="90">
                  <c:v>62.393571238751761</c:v>
                </c:pt>
                <c:pt idx="91">
                  <c:v>60.460309296972085</c:v>
                </c:pt>
                <c:pt idx="92">
                  <c:v>59.887676804816202</c:v>
                </c:pt>
                <c:pt idx="93">
                  <c:v>59.782585755014523</c:v>
                </c:pt>
                <c:pt idx="94">
                  <c:v>58.736173109328739</c:v>
                </c:pt>
                <c:pt idx="95">
                  <c:v>57.426173372624461</c:v>
                </c:pt>
                <c:pt idx="96">
                  <c:v>56.147743325243177</c:v>
                </c:pt>
                <c:pt idx="97">
                  <c:v>55.567567445301798</c:v>
                </c:pt>
                <c:pt idx="98">
                  <c:v>55.417806732098214</c:v>
                </c:pt>
                <c:pt idx="99">
                  <c:v>55.506967725907835</c:v>
                </c:pt>
                <c:pt idx="100">
                  <c:v>55.600911052881855</c:v>
                </c:pt>
                <c:pt idx="101">
                  <c:v>56.038612310769075</c:v>
                </c:pt>
                <c:pt idx="102">
                  <c:v>56.377251050392388</c:v>
                </c:pt>
                <c:pt idx="103">
                  <c:v>56.712402071556809</c:v>
                </c:pt>
                <c:pt idx="104">
                  <c:v>57.095887051598332</c:v>
                </c:pt>
                <c:pt idx="105">
                  <c:v>57.572375374023103</c:v>
                </c:pt>
                <c:pt idx="106">
                  <c:v>57.8991487486092</c:v>
                </c:pt>
                <c:pt idx="107">
                  <c:v>58.463008648684301</c:v>
                </c:pt>
                <c:pt idx="108">
                  <c:v>58.650316042098197</c:v>
                </c:pt>
                <c:pt idx="109">
                  <c:v>58.922778513935398</c:v>
                </c:pt>
                <c:pt idx="110">
                  <c:v>59.240059128799999</c:v>
                </c:pt>
                <c:pt idx="111">
                  <c:v>59.6213649464664</c:v>
                </c:pt>
                <c:pt idx="112">
                  <c:v>59.723108116147003</c:v>
                </c:pt>
                <c:pt idx="113">
                  <c:v>59.925829733158203</c:v>
                </c:pt>
                <c:pt idx="114">
                  <c:v>59.812564156255497</c:v>
                </c:pt>
                <c:pt idx="115">
                  <c:v>59.974642938757</c:v>
                </c:pt>
                <c:pt idx="116">
                  <c:v>59.7899934642952</c:v>
                </c:pt>
                <c:pt idx="117">
                  <c:v>60.012926896563997</c:v>
                </c:pt>
                <c:pt idx="118">
                  <c:v>60.447151631204001</c:v>
                </c:pt>
                <c:pt idx="119">
                  <c:v>61.833053851314801</c:v>
                </c:pt>
                <c:pt idx="120">
                  <c:v>64.600425535422204</c:v>
                </c:pt>
                <c:pt idx="121">
                  <c:v>67.224481694263602</c:v>
                </c:pt>
                <c:pt idx="122">
                  <c:v>68.186547614656206</c:v>
                </c:pt>
                <c:pt idx="123">
                  <c:v>67.170806181290203</c:v>
                </c:pt>
                <c:pt idx="124">
                  <c:v>65.604295557015604</c:v>
                </c:pt>
                <c:pt idx="125">
                  <c:v>64.905562629701393</c:v>
                </c:pt>
                <c:pt idx="126">
                  <c:v>65.627020378288393</c:v>
                </c:pt>
                <c:pt idx="127">
                  <c:v>67.898279419420106</c:v>
                </c:pt>
              </c:numCache>
            </c:numRef>
          </c:yVal>
          <c:smooth val="1"/>
        </c:ser>
        <c:ser>
          <c:idx val="21"/>
          <c:order val="21"/>
          <c:tx>
            <c:strRef>
              <c:f>data!$A$53</c:f>
              <c:strCache>
                <c:ptCount val="1"/>
                <c:pt idx="0">
                  <c:v>B70_SH_P5_458_RECOVER_rear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data!$B$31:$DY$31</c:f>
              <c:numCache>
                <c:formatCode>General</c:formatCode>
                <c:ptCount val="128"/>
                <c:pt idx="0">
                  <c:v>1</c:v>
                </c:pt>
                <c:pt idx="1">
                  <c:v>62.03125</c:v>
                </c:pt>
                <c:pt idx="2">
                  <c:v>123.0625</c:v>
                </c:pt>
                <c:pt idx="3">
                  <c:v>184.09375</c:v>
                </c:pt>
                <c:pt idx="4">
                  <c:v>245.125</c:v>
                </c:pt>
                <c:pt idx="5">
                  <c:v>306.15625</c:v>
                </c:pt>
                <c:pt idx="6">
                  <c:v>367.1875</c:v>
                </c:pt>
                <c:pt idx="7">
                  <c:v>428.21875</c:v>
                </c:pt>
                <c:pt idx="8">
                  <c:v>489.25</c:v>
                </c:pt>
                <c:pt idx="9">
                  <c:v>550.28125</c:v>
                </c:pt>
                <c:pt idx="10">
                  <c:v>611.3125</c:v>
                </c:pt>
                <c:pt idx="11">
                  <c:v>672.34375</c:v>
                </c:pt>
                <c:pt idx="12">
                  <c:v>733.375</c:v>
                </c:pt>
                <c:pt idx="13">
                  <c:v>794.40625</c:v>
                </c:pt>
                <c:pt idx="14">
                  <c:v>855.4375</c:v>
                </c:pt>
                <c:pt idx="15">
                  <c:v>916.46875</c:v>
                </c:pt>
                <c:pt idx="16">
                  <c:v>977.5</c:v>
                </c:pt>
                <c:pt idx="17">
                  <c:v>1038.53125</c:v>
                </c:pt>
                <c:pt idx="18">
                  <c:v>1099.5625</c:v>
                </c:pt>
                <c:pt idx="19">
                  <c:v>1160.59375</c:v>
                </c:pt>
                <c:pt idx="20">
                  <c:v>1221.625</c:v>
                </c:pt>
                <c:pt idx="21">
                  <c:v>1282.65625</c:v>
                </c:pt>
                <c:pt idx="22">
                  <c:v>1343.6875</c:v>
                </c:pt>
                <c:pt idx="23">
                  <c:v>1404.71875</c:v>
                </c:pt>
                <c:pt idx="24">
                  <c:v>1465.75</c:v>
                </c:pt>
                <c:pt idx="25">
                  <c:v>1526.78125</c:v>
                </c:pt>
                <c:pt idx="26">
                  <c:v>1587.8125</c:v>
                </c:pt>
                <c:pt idx="27">
                  <c:v>1648.84375</c:v>
                </c:pt>
                <c:pt idx="28">
                  <c:v>1709.875</c:v>
                </c:pt>
                <c:pt idx="29">
                  <c:v>1770.90625</c:v>
                </c:pt>
                <c:pt idx="30">
                  <c:v>1831.9375</c:v>
                </c:pt>
                <c:pt idx="31">
                  <c:v>1892.96875</c:v>
                </c:pt>
                <c:pt idx="32">
                  <c:v>1954</c:v>
                </c:pt>
                <c:pt idx="33">
                  <c:v>2015.03125</c:v>
                </c:pt>
                <c:pt idx="34">
                  <c:v>2076.0625</c:v>
                </c:pt>
                <c:pt idx="35">
                  <c:v>2137.09375</c:v>
                </c:pt>
                <c:pt idx="36">
                  <c:v>2198.125</c:v>
                </c:pt>
                <c:pt idx="37">
                  <c:v>2259.15625</c:v>
                </c:pt>
                <c:pt idx="38">
                  <c:v>2320.1875</c:v>
                </c:pt>
                <c:pt idx="39">
                  <c:v>2381.21875</c:v>
                </c:pt>
                <c:pt idx="40">
                  <c:v>2442.25</c:v>
                </c:pt>
                <c:pt idx="41">
                  <c:v>2503.28125</c:v>
                </c:pt>
                <c:pt idx="42">
                  <c:v>2564.3125</c:v>
                </c:pt>
                <c:pt idx="43">
                  <c:v>2625.34375</c:v>
                </c:pt>
                <c:pt idx="44">
                  <c:v>2686.375</c:v>
                </c:pt>
                <c:pt idx="45">
                  <c:v>2747.40625</c:v>
                </c:pt>
                <c:pt idx="46">
                  <c:v>2808.4375</c:v>
                </c:pt>
                <c:pt idx="47">
                  <c:v>2869.46875</c:v>
                </c:pt>
                <c:pt idx="48">
                  <c:v>2930.5</c:v>
                </c:pt>
                <c:pt idx="49">
                  <c:v>2991.53125</c:v>
                </c:pt>
                <c:pt idx="50">
                  <c:v>3052.5625</c:v>
                </c:pt>
                <c:pt idx="51">
                  <c:v>3113.59375</c:v>
                </c:pt>
                <c:pt idx="52">
                  <c:v>3174.625</c:v>
                </c:pt>
                <c:pt idx="53">
                  <c:v>3235.65625</c:v>
                </c:pt>
                <c:pt idx="54">
                  <c:v>3296.6875</c:v>
                </c:pt>
                <c:pt idx="55">
                  <c:v>3357.71875</c:v>
                </c:pt>
                <c:pt idx="56">
                  <c:v>3418.75</c:v>
                </c:pt>
                <c:pt idx="57">
                  <c:v>3479.78125</c:v>
                </c:pt>
                <c:pt idx="58">
                  <c:v>3540.8125</c:v>
                </c:pt>
                <c:pt idx="59">
                  <c:v>3601.84375</c:v>
                </c:pt>
                <c:pt idx="60">
                  <c:v>3662.875</c:v>
                </c:pt>
                <c:pt idx="61">
                  <c:v>3723.90625</c:v>
                </c:pt>
                <c:pt idx="62">
                  <c:v>3784.9375</c:v>
                </c:pt>
                <c:pt idx="63">
                  <c:v>3845.96875</c:v>
                </c:pt>
                <c:pt idx="64">
                  <c:v>3907</c:v>
                </c:pt>
                <c:pt idx="65">
                  <c:v>3968.03125</c:v>
                </c:pt>
                <c:pt idx="66">
                  <c:v>4029.0625</c:v>
                </c:pt>
                <c:pt idx="67">
                  <c:v>4090.09375</c:v>
                </c:pt>
                <c:pt idx="68">
                  <c:v>4151.125</c:v>
                </c:pt>
                <c:pt idx="69">
                  <c:v>4212.15625</c:v>
                </c:pt>
                <c:pt idx="70">
                  <c:v>4273.1875</c:v>
                </c:pt>
                <c:pt idx="71">
                  <c:v>4334.21875</c:v>
                </c:pt>
                <c:pt idx="72">
                  <c:v>4395.25</c:v>
                </c:pt>
                <c:pt idx="73">
                  <c:v>4456.28125</c:v>
                </c:pt>
                <c:pt idx="74">
                  <c:v>4517.3125</c:v>
                </c:pt>
                <c:pt idx="75">
                  <c:v>4578.34375</c:v>
                </c:pt>
                <c:pt idx="76">
                  <c:v>4639.375</c:v>
                </c:pt>
                <c:pt idx="77">
                  <c:v>4700.40625</c:v>
                </c:pt>
                <c:pt idx="78">
                  <c:v>4761.4375</c:v>
                </c:pt>
                <c:pt idx="79">
                  <c:v>4822.46875</c:v>
                </c:pt>
                <c:pt idx="80">
                  <c:v>4883.5</c:v>
                </c:pt>
                <c:pt idx="81">
                  <c:v>4944.53125</c:v>
                </c:pt>
                <c:pt idx="82">
                  <c:v>5005.5625</c:v>
                </c:pt>
                <c:pt idx="83">
                  <c:v>5066.59375</c:v>
                </c:pt>
                <c:pt idx="84">
                  <c:v>5127.625</c:v>
                </c:pt>
                <c:pt idx="85">
                  <c:v>5188.65625</c:v>
                </c:pt>
                <c:pt idx="86">
                  <c:v>5249.6875</c:v>
                </c:pt>
                <c:pt idx="87">
                  <c:v>5310.71875</c:v>
                </c:pt>
                <c:pt idx="88">
                  <c:v>5371.75</c:v>
                </c:pt>
                <c:pt idx="89">
                  <c:v>5432.78125</c:v>
                </c:pt>
                <c:pt idx="90">
                  <c:v>5493.8125</c:v>
                </c:pt>
                <c:pt idx="91">
                  <c:v>5554.84375</c:v>
                </c:pt>
                <c:pt idx="92">
                  <c:v>5615.875</c:v>
                </c:pt>
                <c:pt idx="93">
                  <c:v>5676.90625</c:v>
                </c:pt>
                <c:pt idx="94">
                  <c:v>5737.9375</c:v>
                </c:pt>
                <c:pt idx="95">
                  <c:v>5798.96875</c:v>
                </c:pt>
                <c:pt idx="96">
                  <c:v>5860</c:v>
                </c:pt>
                <c:pt idx="97">
                  <c:v>5921.03125</c:v>
                </c:pt>
                <c:pt idx="98">
                  <c:v>5982.0625</c:v>
                </c:pt>
                <c:pt idx="99">
                  <c:v>6043.09375</c:v>
                </c:pt>
                <c:pt idx="100">
                  <c:v>6104.125</c:v>
                </c:pt>
                <c:pt idx="101">
                  <c:v>6165.15625</c:v>
                </c:pt>
                <c:pt idx="102">
                  <c:v>6226.1875</c:v>
                </c:pt>
                <c:pt idx="103">
                  <c:v>6287.21875</c:v>
                </c:pt>
                <c:pt idx="104">
                  <c:v>6348.25</c:v>
                </c:pt>
                <c:pt idx="105">
                  <c:v>6409.28125</c:v>
                </c:pt>
                <c:pt idx="106">
                  <c:v>6470.3125</c:v>
                </c:pt>
                <c:pt idx="107">
                  <c:v>6531.34375</c:v>
                </c:pt>
                <c:pt idx="108">
                  <c:v>6592.375</c:v>
                </c:pt>
                <c:pt idx="109">
                  <c:v>6653.40625</c:v>
                </c:pt>
                <c:pt idx="110">
                  <c:v>6714.4375</c:v>
                </c:pt>
                <c:pt idx="111">
                  <c:v>6775.46875</c:v>
                </c:pt>
                <c:pt idx="112">
                  <c:v>6836.5</c:v>
                </c:pt>
                <c:pt idx="113">
                  <c:v>6897.53125</c:v>
                </c:pt>
                <c:pt idx="114">
                  <c:v>6958.5625</c:v>
                </c:pt>
                <c:pt idx="115">
                  <c:v>7019.59375</c:v>
                </c:pt>
                <c:pt idx="116">
                  <c:v>7080.625</c:v>
                </c:pt>
                <c:pt idx="117">
                  <c:v>7141.65625</c:v>
                </c:pt>
                <c:pt idx="118">
                  <c:v>7202.6875</c:v>
                </c:pt>
                <c:pt idx="119">
                  <c:v>7263.71875</c:v>
                </c:pt>
                <c:pt idx="120">
                  <c:v>7324.75</c:v>
                </c:pt>
                <c:pt idx="121">
                  <c:v>7385.78125</c:v>
                </c:pt>
                <c:pt idx="122">
                  <c:v>7446.8125</c:v>
                </c:pt>
                <c:pt idx="123">
                  <c:v>7507.84375</c:v>
                </c:pt>
                <c:pt idx="124">
                  <c:v>7568.875</c:v>
                </c:pt>
                <c:pt idx="125">
                  <c:v>7629.90625</c:v>
                </c:pt>
                <c:pt idx="126">
                  <c:v>7690.9375</c:v>
                </c:pt>
                <c:pt idx="127">
                  <c:v>7751.96875</c:v>
                </c:pt>
              </c:numCache>
            </c:numRef>
          </c:xVal>
          <c:yVal>
            <c:numRef>
              <c:f>data!$B$53:$DY$53</c:f>
              <c:numCache>
                <c:formatCode>General</c:formatCode>
                <c:ptCount val="128"/>
                <c:pt idx="0">
                  <c:v>398.825722083958</c:v>
                </c:pt>
                <c:pt idx="1">
                  <c:v>91.922466322361402</c:v>
                </c:pt>
                <c:pt idx="2">
                  <c:v>92.971426690119998</c:v>
                </c:pt>
                <c:pt idx="3">
                  <c:v>86.839711804409305</c:v>
                </c:pt>
                <c:pt idx="4">
                  <c:v>98.385343208031898</c:v>
                </c:pt>
                <c:pt idx="5">
                  <c:v>91.093747733293299</c:v>
                </c:pt>
                <c:pt idx="6">
                  <c:v>92.084574762594201</c:v>
                </c:pt>
                <c:pt idx="7">
                  <c:v>96.803679166515394</c:v>
                </c:pt>
                <c:pt idx="8">
                  <c:v>89.019060226062706</c:v>
                </c:pt>
                <c:pt idx="9">
                  <c:v>86.411418858619683</c:v>
                </c:pt>
                <c:pt idx="10">
                  <c:v>83.99391215368145</c:v>
                </c:pt>
                <c:pt idx="11">
                  <c:v>85.343954757246806</c:v>
                </c:pt>
                <c:pt idx="12">
                  <c:v>85.405886196546135</c:v>
                </c:pt>
                <c:pt idx="13">
                  <c:v>90.258140203623384</c:v>
                </c:pt>
                <c:pt idx="14">
                  <c:v>86.780454798253032</c:v>
                </c:pt>
                <c:pt idx="15">
                  <c:v>79.589085356665649</c:v>
                </c:pt>
                <c:pt idx="16">
                  <c:v>78.518877540825386</c:v>
                </c:pt>
                <c:pt idx="17">
                  <c:v>81.109968123930727</c:v>
                </c:pt>
                <c:pt idx="18">
                  <c:v>82.343119295965295</c:v>
                </c:pt>
                <c:pt idx="19">
                  <c:v>81.693221114520497</c:v>
                </c:pt>
                <c:pt idx="20">
                  <c:v>81.801755921410205</c:v>
                </c:pt>
                <c:pt idx="21">
                  <c:v>81.187354471922703</c:v>
                </c:pt>
                <c:pt idx="22">
                  <c:v>81.566520839111021</c:v>
                </c:pt>
                <c:pt idx="23">
                  <c:v>80.301071664093456</c:v>
                </c:pt>
                <c:pt idx="24">
                  <c:v>80.051498264429469</c:v>
                </c:pt>
                <c:pt idx="25">
                  <c:v>78.72513548738101</c:v>
                </c:pt>
                <c:pt idx="26">
                  <c:v>77.136392345236629</c:v>
                </c:pt>
                <c:pt idx="27">
                  <c:v>75.90377881434604</c:v>
                </c:pt>
                <c:pt idx="28">
                  <c:v>74.519363336434083</c:v>
                </c:pt>
                <c:pt idx="29">
                  <c:v>73.950400577978314</c:v>
                </c:pt>
                <c:pt idx="30">
                  <c:v>72.810242159987766</c:v>
                </c:pt>
                <c:pt idx="31">
                  <c:v>71.570614267304109</c:v>
                </c:pt>
                <c:pt idx="32">
                  <c:v>70.168407719591457</c:v>
                </c:pt>
                <c:pt idx="33">
                  <c:v>69.167177966473957</c:v>
                </c:pt>
                <c:pt idx="34">
                  <c:v>67.76619873938435</c:v>
                </c:pt>
                <c:pt idx="35">
                  <c:v>66.130692122078543</c:v>
                </c:pt>
                <c:pt idx="36">
                  <c:v>64.515422801420641</c:v>
                </c:pt>
                <c:pt idx="37">
                  <c:v>62.717253283135634</c:v>
                </c:pt>
                <c:pt idx="38">
                  <c:v>61.390656118009247</c:v>
                </c:pt>
                <c:pt idx="39">
                  <c:v>60.201495476270054</c:v>
                </c:pt>
                <c:pt idx="40">
                  <c:v>59.489280719894467</c:v>
                </c:pt>
                <c:pt idx="41">
                  <c:v>58.450613718380779</c:v>
                </c:pt>
                <c:pt idx="42">
                  <c:v>56.556041472596199</c:v>
                </c:pt>
                <c:pt idx="43">
                  <c:v>55.182012072544211</c:v>
                </c:pt>
                <c:pt idx="44">
                  <c:v>54.856857166204421</c:v>
                </c:pt>
                <c:pt idx="45">
                  <c:v>55.478275157551636</c:v>
                </c:pt>
                <c:pt idx="46">
                  <c:v>56.381229777730439</c:v>
                </c:pt>
                <c:pt idx="47">
                  <c:v>57.273265745821007</c:v>
                </c:pt>
                <c:pt idx="48">
                  <c:v>57.972715338350866</c:v>
                </c:pt>
                <c:pt idx="49">
                  <c:v>58.367646989338226</c:v>
                </c:pt>
                <c:pt idx="50">
                  <c:v>58.359242304617695</c:v>
                </c:pt>
                <c:pt idx="51">
                  <c:v>57.987591155318157</c:v>
                </c:pt>
                <c:pt idx="52">
                  <c:v>57.496781942889122</c:v>
                </c:pt>
                <c:pt idx="53">
                  <c:v>56.870311308049779</c:v>
                </c:pt>
                <c:pt idx="54">
                  <c:v>55.843683330412141</c:v>
                </c:pt>
                <c:pt idx="55">
                  <c:v>54.639530213739604</c:v>
                </c:pt>
                <c:pt idx="56">
                  <c:v>53.818597083570019</c:v>
                </c:pt>
                <c:pt idx="57">
                  <c:v>53.043011452119899</c:v>
                </c:pt>
                <c:pt idx="58">
                  <c:v>52.45099946733297</c:v>
                </c:pt>
                <c:pt idx="59">
                  <c:v>51.83920698459994</c:v>
                </c:pt>
                <c:pt idx="60">
                  <c:v>51.487009462392415</c:v>
                </c:pt>
                <c:pt idx="61">
                  <c:v>51.311666352845286</c:v>
                </c:pt>
                <c:pt idx="62">
                  <c:v>51.163219326350458</c:v>
                </c:pt>
                <c:pt idx="63">
                  <c:v>50.920454716175328</c:v>
                </c:pt>
                <c:pt idx="64">
                  <c:v>50.830355853340407</c:v>
                </c:pt>
                <c:pt idx="65">
                  <c:v>51.148155842922783</c:v>
                </c:pt>
                <c:pt idx="66">
                  <c:v>52.04199839079655</c:v>
                </c:pt>
                <c:pt idx="67">
                  <c:v>52.419373811814623</c:v>
                </c:pt>
                <c:pt idx="68">
                  <c:v>52.165857151892581</c:v>
                </c:pt>
                <c:pt idx="69">
                  <c:v>52.554598079386643</c:v>
                </c:pt>
                <c:pt idx="70">
                  <c:v>53.456958232102295</c:v>
                </c:pt>
                <c:pt idx="71">
                  <c:v>54.78818435572866</c:v>
                </c:pt>
                <c:pt idx="72">
                  <c:v>55.967657358699519</c:v>
                </c:pt>
                <c:pt idx="73">
                  <c:v>56.941114778756273</c:v>
                </c:pt>
                <c:pt idx="74">
                  <c:v>57.824172703028538</c:v>
                </c:pt>
                <c:pt idx="75">
                  <c:v>57.276924870045903</c:v>
                </c:pt>
                <c:pt idx="76">
                  <c:v>56.320134593276165</c:v>
                </c:pt>
                <c:pt idx="77">
                  <c:v>55.244872847912816</c:v>
                </c:pt>
                <c:pt idx="78">
                  <c:v>56.824814074395881</c:v>
                </c:pt>
                <c:pt idx="79">
                  <c:v>57.749818545327344</c:v>
                </c:pt>
                <c:pt idx="80">
                  <c:v>58.580222343653205</c:v>
                </c:pt>
                <c:pt idx="81">
                  <c:v>59.085704122797559</c:v>
                </c:pt>
                <c:pt idx="82">
                  <c:v>60.027085153514619</c:v>
                </c:pt>
                <c:pt idx="83">
                  <c:v>61.564737985363983</c:v>
                </c:pt>
                <c:pt idx="84">
                  <c:v>63.855687329465546</c:v>
                </c:pt>
                <c:pt idx="85">
                  <c:v>65.390097583313462</c:v>
                </c:pt>
                <c:pt idx="86">
                  <c:v>64.274343913113782</c:v>
                </c:pt>
                <c:pt idx="87">
                  <c:v>68.110097272391101</c:v>
                </c:pt>
                <c:pt idx="88">
                  <c:v>70.257785065283628</c:v>
                </c:pt>
                <c:pt idx="89">
                  <c:v>70.104756097440742</c:v>
                </c:pt>
                <c:pt idx="90">
                  <c:v>69.542496423709963</c:v>
                </c:pt>
                <c:pt idx="91">
                  <c:v>65.701164229649081</c:v>
                </c:pt>
                <c:pt idx="92">
                  <c:v>65.4393524058531</c:v>
                </c:pt>
                <c:pt idx="93">
                  <c:v>66.258929476122717</c:v>
                </c:pt>
                <c:pt idx="94">
                  <c:v>67.517382730150331</c:v>
                </c:pt>
                <c:pt idx="95">
                  <c:v>69.847610861131358</c:v>
                </c:pt>
                <c:pt idx="96">
                  <c:v>72.450137559456081</c:v>
                </c:pt>
                <c:pt idx="97">
                  <c:v>74.685626425227994</c:v>
                </c:pt>
                <c:pt idx="98">
                  <c:v>69.74232956614162</c:v>
                </c:pt>
                <c:pt idx="99">
                  <c:v>66.666246082260727</c:v>
                </c:pt>
                <c:pt idx="100">
                  <c:v>65.431939282883548</c:v>
                </c:pt>
                <c:pt idx="101">
                  <c:v>64.987805089924777</c:v>
                </c:pt>
                <c:pt idx="102">
                  <c:v>64.976225073630388</c:v>
                </c:pt>
                <c:pt idx="103">
                  <c:v>65.100663246911409</c:v>
                </c:pt>
                <c:pt idx="104">
                  <c:v>65.441413812567333</c:v>
                </c:pt>
                <c:pt idx="105">
                  <c:v>65.594490384614303</c:v>
                </c:pt>
                <c:pt idx="106">
                  <c:v>65.597323267269601</c:v>
                </c:pt>
                <c:pt idx="107">
                  <c:v>66.074808632265302</c:v>
                </c:pt>
                <c:pt idx="108">
                  <c:v>66.501378086051204</c:v>
                </c:pt>
                <c:pt idx="109">
                  <c:v>67.388485153197507</c:v>
                </c:pt>
                <c:pt idx="110">
                  <c:v>67.912116715757207</c:v>
                </c:pt>
                <c:pt idx="111">
                  <c:v>68.875078138117004</c:v>
                </c:pt>
                <c:pt idx="112">
                  <c:v>69.733384290995403</c:v>
                </c:pt>
                <c:pt idx="113">
                  <c:v>70.809664397600102</c:v>
                </c:pt>
                <c:pt idx="114">
                  <c:v>72.157411643762998</c:v>
                </c:pt>
                <c:pt idx="115">
                  <c:v>72.274301402641399</c:v>
                </c:pt>
                <c:pt idx="116">
                  <c:v>73.562363161427996</c:v>
                </c:pt>
                <c:pt idx="117">
                  <c:v>74.7739857882857</c:v>
                </c:pt>
                <c:pt idx="118">
                  <c:v>73.871690053314495</c:v>
                </c:pt>
                <c:pt idx="119">
                  <c:v>71.952710445521802</c:v>
                </c:pt>
                <c:pt idx="120">
                  <c:v>71.120467489264897</c:v>
                </c:pt>
                <c:pt idx="121">
                  <c:v>73.159250811844203</c:v>
                </c:pt>
                <c:pt idx="122">
                  <c:v>73.199072216628394</c:v>
                </c:pt>
                <c:pt idx="123">
                  <c:v>71.329028279173897</c:v>
                </c:pt>
                <c:pt idx="124">
                  <c:v>69.174436534889196</c:v>
                </c:pt>
                <c:pt idx="125">
                  <c:v>67.467675417933606</c:v>
                </c:pt>
                <c:pt idx="126">
                  <c:v>65.769251759182708</c:v>
                </c:pt>
                <c:pt idx="127">
                  <c:v>65.726710662833909</c:v>
                </c:pt>
              </c:numCache>
            </c:numRef>
          </c:yVal>
          <c:smooth val="1"/>
        </c:ser>
        <c:ser>
          <c:idx val="22"/>
          <c:order val="22"/>
          <c:tx>
            <c:strRef>
              <c:f>data!$A$54</c:f>
              <c:strCache>
                <c:ptCount val="1"/>
                <c:pt idx="0">
                  <c:v>B70_SH_P6_239_NewFoam_front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data!$B$31:$DY$31</c:f>
              <c:numCache>
                <c:formatCode>General</c:formatCode>
                <c:ptCount val="128"/>
                <c:pt idx="0">
                  <c:v>1</c:v>
                </c:pt>
                <c:pt idx="1">
                  <c:v>62.03125</c:v>
                </c:pt>
                <c:pt idx="2">
                  <c:v>123.0625</c:v>
                </c:pt>
                <c:pt idx="3">
                  <c:v>184.09375</c:v>
                </c:pt>
                <c:pt idx="4">
                  <c:v>245.125</c:v>
                </c:pt>
                <c:pt idx="5">
                  <c:v>306.15625</c:v>
                </c:pt>
                <c:pt idx="6">
                  <c:v>367.1875</c:v>
                </c:pt>
                <c:pt idx="7">
                  <c:v>428.21875</c:v>
                </c:pt>
                <c:pt idx="8">
                  <c:v>489.25</c:v>
                </c:pt>
                <c:pt idx="9">
                  <c:v>550.28125</c:v>
                </c:pt>
                <c:pt idx="10">
                  <c:v>611.3125</c:v>
                </c:pt>
                <c:pt idx="11">
                  <c:v>672.34375</c:v>
                </c:pt>
                <c:pt idx="12">
                  <c:v>733.375</c:v>
                </c:pt>
                <c:pt idx="13">
                  <c:v>794.40625</c:v>
                </c:pt>
                <c:pt idx="14">
                  <c:v>855.4375</c:v>
                </c:pt>
                <c:pt idx="15">
                  <c:v>916.46875</c:v>
                </c:pt>
                <c:pt idx="16">
                  <c:v>977.5</c:v>
                </c:pt>
                <c:pt idx="17">
                  <c:v>1038.53125</c:v>
                </c:pt>
                <c:pt idx="18">
                  <c:v>1099.5625</c:v>
                </c:pt>
                <c:pt idx="19">
                  <c:v>1160.59375</c:v>
                </c:pt>
                <c:pt idx="20">
                  <c:v>1221.625</c:v>
                </c:pt>
                <c:pt idx="21">
                  <c:v>1282.65625</c:v>
                </c:pt>
                <c:pt idx="22">
                  <c:v>1343.6875</c:v>
                </c:pt>
                <c:pt idx="23">
                  <c:v>1404.71875</c:v>
                </c:pt>
                <c:pt idx="24">
                  <c:v>1465.75</c:v>
                </c:pt>
                <c:pt idx="25">
                  <c:v>1526.78125</c:v>
                </c:pt>
                <c:pt idx="26">
                  <c:v>1587.8125</c:v>
                </c:pt>
                <c:pt idx="27">
                  <c:v>1648.84375</c:v>
                </c:pt>
                <c:pt idx="28">
                  <c:v>1709.875</c:v>
                </c:pt>
                <c:pt idx="29">
                  <c:v>1770.90625</c:v>
                </c:pt>
                <c:pt idx="30">
                  <c:v>1831.9375</c:v>
                </c:pt>
                <c:pt idx="31">
                  <c:v>1892.96875</c:v>
                </c:pt>
                <c:pt idx="32">
                  <c:v>1954</c:v>
                </c:pt>
                <c:pt idx="33">
                  <c:v>2015.03125</c:v>
                </c:pt>
                <c:pt idx="34">
                  <c:v>2076.0625</c:v>
                </c:pt>
                <c:pt idx="35">
                  <c:v>2137.09375</c:v>
                </c:pt>
                <c:pt idx="36">
                  <c:v>2198.125</c:v>
                </c:pt>
                <c:pt idx="37">
                  <c:v>2259.15625</c:v>
                </c:pt>
                <c:pt idx="38">
                  <c:v>2320.1875</c:v>
                </c:pt>
                <c:pt idx="39">
                  <c:v>2381.21875</c:v>
                </c:pt>
                <c:pt idx="40">
                  <c:v>2442.25</c:v>
                </c:pt>
                <c:pt idx="41">
                  <c:v>2503.28125</c:v>
                </c:pt>
                <c:pt idx="42">
                  <c:v>2564.3125</c:v>
                </c:pt>
                <c:pt idx="43">
                  <c:v>2625.34375</c:v>
                </c:pt>
                <c:pt idx="44">
                  <c:v>2686.375</c:v>
                </c:pt>
                <c:pt idx="45">
                  <c:v>2747.40625</c:v>
                </c:pt>
                <c:pt idx="46">
                  <c:v>2808.4375</c:v>
                </c:pt>
                <c:pt idx="47">
                  <c:v>2869.46875</c:v>
                </c:pt>
                <c:pt idx="48">
                  <c:v>2930.5</c:v>
                </c:pt>
                <c:pt idx="49">
                  <c:v>2991.53125</c:v>
                </c:pt>
                <c:pt idx="50">
                  <c:v>3052.5625</c:v>
                </c:pt>
                <c:pt idx="51">
                  <c:v>3113.59375</c:v>
                </c:pt>
                <c:pt idx="52">
                  <c:v>3174.625</c:v>
                </c:pt>
                <c:pt idx="53">
                  <c:v>3235.65625</c:v>
                </c:pt>
                <c:pt idx="54">
                  <c:v>3296.6875</c:v>
                </c:pt>
                <c:pt idx="55">
                  <c:v>3357.71875</c:v>
                </c:pt>
                <c:pt idx="56">
                  <c:v>3418.75</c:v>
                </c:pt>
                <c:pt idx="57">
                  <c:v>3479.78125</c:v>
                </c:pt>
                <c:pt idx="58">
                  <c:v>3540.8125</c:v>
                </c:pt>
                <c:pt idx="59">
                  <c:v>3601.84375</c:v>
                </c:pt>
                <c:pt idx="60">
                  <c:v>3662.875</c:v>
                </c:pt>
                <c:pt idx="61">
                  <c:v>3723.90625</c:v>
                </c:pt>
                <c:pt idx="62">
                  <c:v>3784.9375</c:v>
                </c:pt>
                <c:pt idx="63">
                  <c:v>3845.96875</c:v>
                </c:pt>
                <c:pt idx="64">
                  <c:v>3907</c:v>
                </c:pt>
                <c:pt idx="65">
                  <c:v>3968.03125</c:v>
                </c:pt>
                <c:pt idx="66">
                  <c:v>4029.0625</c:v>
                </c:pt>
                <c:pt idx="67">
                  <c:v>4090.09375</c:v>
                </c:pt>
                <c:pt idx="68">
                  <c:v>4151.125</c:v>
                </c:pt>
                <c:pt idx="69">
                  <c:v>4212.15625</c:v>
                </c:pt>
                <c:pt idx="70">
                  <c:v>4273.1875</c:v>
                </c:pt>
                <c:pt idx="71">
                  <c:v>4334.21875</c:v>
                </c:pt>
                <c:pt idx="72">
                  <c:v>4395.25</c:v>
                </c:pt>
                <c:pt idx="73">
                  <c:v>4456.28125</c:v>
                </c:pt>
                <c:pt idx="74">
                  <c:v>4517.3125</c:v>
                </c:pt>
                <c:pt idx="75">
                  <c:v>4578.34375</c:v>
                </c:pt>
                <c:pt idx="76">
                  <c:v>4639.375</c:v>
                </c:pt>
                <c:pt idx="77">
                  <c:v>4700.40625</c:v>
                </c:pt>
                <c:pt idx="78">
                  <c:v>4761.4375</c:v>
                </c:pt>
                <c:pt idx="79">
                  <c:v>4822.46875</c:v>
                </c:pt>
                <c:pt idx="80">
                  <c:v>4883.5</c:v>
                </c:pt>
                <c:pt idx="81">
                  <c:v>4944.53125</c:v>
                </c:pt>
                <c:pt idx="82">
                  <c:v>5005.5625</c:v>
                </c:pt>
                <c:pt idx="83">
                  <c:v>5066.59375</c:v>
                </c:pt>
                <c:pt idx="84">
                  <c:v>5127.625</c:v>
                </c:pt>
                <c:pt idx="85">
                  <c:v>5188.65625</c:v>
                </c:pt>
                <c:pt idx="86">
                  <c:v>5249.6875</c:v>
                </c:pt>
                <c:pt idx="87">
                  <c:v>5310.71875</c:v>
                </c:pt>
                <c:pt idx="88">
                  <c:v>5371.75</c:v>
                </c:pt>
                <c:pt idx="89">
                  <c:v>5432.78125</c:v>
                </c:pt>
                <c:pt idx="90">
                  <c:v>5493.8125</c:v>
                </c:pt>
                <c:pt idx="91">
                  <c:v>5554.84375</c:v>
                </c:pt>
                <c:pt idx="92">
                  <c:v>5615.875</c:v>
                </c:pt>
                <c:pt idx="93">
                  <c:v>5676.90625</c:v>
                </c:pt>
                <c:pt idx="94">
                  <c:v>5737.9375</c:v>
                </c:pt>
                <c:pt idx="95">
                  <c:v>5798.96875</c:v>
                </c:pt>
                <c:pt idx="96">
                  <c:v>5860</c:v>
                </c:pt>
                <c:pt idx="97">
                  <c:v>5921.03125</c:v>
                </c:pt>
                <c:pt idx="98">
                  <c:v>5982.0625</c:v>
                </c:pt>
                <c:pt idx="99">
                  <c:v>6043.09375</c:v>
                </c:pt>
                <c:pt idx="100">
                  <c:v>6104.125</c:v>
                </c:pt>
                <c:pt idx="101">
                  <c:v>6165.15625</c:v>
                </c:pt>
                <c:pt idx="102">
                  <c:v>6226.1875</c:v>
                </c:pt>
                <c:pt idx="103">
                  <c:v>6287.21875</c:v>
                </c:pt>
                <c:pt idx="104">
                  <c:v>6348.25</c:v>
                </c:pt>
                <c:pt idx="105">
                  <c:v>6409.28125</c:v>
                </c:pt>
                <c:pt idx="106">
                  <c:v>6470.3125</c:v>
                </c:pt>
                <c:pt idx="107">
                  <c:v>6531.34375</c:v>
                </c:pt>
                <c:pt idx="108">
                  <c:v>6592.375</c:v>
                </c:pt>
                <c:pt idx="109">
                  <c:v>6653.40625</c:v>
                </c:pt>
                <c:pt idx="110">
                  <c:v>6714.4375</c:v>
                </c:pt>
                <c:pt idx="111">
                  <c:v>6775.46875</c:v>
                </c:pt>
                <c:pt idx="112">
                  <c:v>6836.5</c:v>
                </c:pt>
                <c:pt idx="113">
                  <c:v>6897.53125</c:v>
                </c:pt>
                <c:pt idx="114">
                  <c:v>6958.5625</c:v>
                </c:pt>
                <c:pt idx="115">
                  <c:v>7019.59375</c:v>
                </c:pt>
                <c:pt idx="116">
                  <c:v>7080.625</c:v>
                </c:pt>
                <c:pt idx="117">
                  <c:v>7141.65625</c:v>
                </c:pt>
                <c:pt idx="118">
                  <c:v>7202.6875</c:v>
                </c:pt>
                <c:pt idx="119">
                  <c:v>7263.71875</c:v>
                </c:pt>
                <c:pt idx="120">
                  <c:v>7324.75</c:v>
                </c:pt>
                <c:pt idx="121">
                  <c:v>7385.78125</c:v>
                </c:pt>
                <c:pt idx="122">
                  <c:v>7446.8125</c:v>
                </c:pt>
                <c:pt idx="123">
                  <c:v>7507.84375</c:v>
                </c:pt>
                <c:pt idx="124">
                  <c:v>7568.875</c:v>
                </c:pt>
                <c:pt idx="125">
                  <c:v>7629.90625</c:v>
                </c:pt>
                <c:pt idx="126">
                  <c:v>7690.9375</c:v>
                </c:pt>
                <c:pt idx="127">
                  <c:v>7751.96875</c:v>
                </c:pt>
              </c:numCache>
            </c:numRef>
          </c:xVal>
          <c:yVal>
            <c:numRef>
              <c:f>data!$B$54:$DY$54</c:f>
              <c:numCache>
                <c:formatCode>General</c:formatCode>
                <c:ptCount val="128"/>
                <c:pt idx="0">
                  <c:v>390.56369910895199</c:v>
                </c:pt>
                <c:pt idx="1">
                  <c:v>106.0748368650648</c:v>
                </c:pt>
                <c:pt idx="2">
                  <c:v>95.805873789686004</c:v>
                </c:pt>
                <c:pt idx="3">
                  <c:v>87.081020952658605</c:v>
                </c:pt>
                <c:pt idx="4">
                  <c:v>88.1047562295538</c:v>
                </c:pt>
                <c:pt idx="5">
                  <c:v>89.819593570847204</c:v>
                </c:pt>
                <c:pt idx="6">
                  <c:v>88.957934598292994</c:v>
                </c:pt>
                <c:pt idx="7">
                  <c:v>87.902016269339398</c:v>
                </c:pt>
                <c:pt idx="8">
                  <c:v>88.559258354965095</c:v>
                </c:pt>
                <c:pt idx="9">
                  <c:v>85.794311753416082</c:v>
                </c:pt>
                <c:pt idx="10">
                  <c:v>84.373549311869951</c:v>
                </c:pt>
                <c:pt idx="11">
                  <c:v>80.364038608103314</c:v>
                </c:pt>
                <c:pt idx="12">
                  <c:v>78.793529229480342</c:v>
                </c:pt>
                <c:pt idx="13">
                  <c:v>78.05033765128718</c:v>
                </c:pt>
                <c:pt idx="14">
                  <c:v>76.854215885220441</c:v>
                </c:pt>
                <c:pt idx="15">
                  <c:v>76.942387035359246</c:v>
                </c:pt>
                <c:pt idx="16">
                  <c:v>77.274458754444879</c:v>
                </c:pt>
                <c:pt idx="17">
                  <c:v>78.652798753420214</c:v>
                </c:pt>
                <c:pt idx="18">
                  <c:v>79.148584543846297</c:v>
                </c:pt>
                <c:pt idx="19">
                  <c:v>78.725798355114108</c:v>
                </c:pt>
                <c:pt idx="20">
                  <c:v>79.12445225434999</c:v>
                </c:pt>
                <c:pt idx="21">
                  <c:v>79.520044500109805</c:v>
                </c:pt>
                <c:pt idx="22">
                  <c:v>80.196068796450916</c:v>
                </c:pt>
                <c:pt idx="23">
                  <c:v>79.936183820566555</c:v>
                </c:pt>
                <c:pt idx="24">
                  <c:v>79.275939502636675</c:v>
                </c:pt>
                <c:pt idx="25">
                  <c:v>79.990927140900311</c:v>
                </c:pt>
                <c:pt idx="26">
                  <c:v>78.997052091550728</c:v>
                </c:pt>
                <c:pt idx="27">
                  <c:v>80.221734107096239</c:v>
                </c:pt>
                <c:pt idx="28">
                  <c:v>80.669452574394086</c:v>
                </c:pt>
                <c:pt idx="29">
                  <c:v>79.794164824993217</c:v>
                </c:pt>
                <c:pt idx="30">
                  <c:v>80.053237113668857</c:v>
                </c:pt>
                <c:pt idx="31">
                  <c:v>80.104513820155304</c:v>
                </c:pt>
                <c:pt idx="32">
                  <c:v>79.461973401943354</c:v>
                </c:pt>
                <c:pt idx="33">
                  <c:v>77.474656569157759</c:v>
                </c:pt>
                <c:pt idx="34">
                  <c:v>75.251982622075346</c:v>
                </c:pt>
                <c:pt idx="35">
                  <c:v>71.871636879364743</c:v>
                </c:pt>
                <c:pt idx="36">
                  <c:v>67.98276694773503</c:v>
                </c:pt>
                <c:pt idx="37">
                  <c:v>64.81543945437663</c:v>
                </c:pt>
                <c:pt idx="38">
                  <c:v>65.378126406083354</c:v>
                </c:pt>
                <c:pt idx="39">
                  <c:v>68.603439259634555</c:v>
                </c:pt>
                <c:pt idx="40">
                  <c:v>70.781495077959775</c:v>
                </c:pt>
                <c:pt idx="41">
                  <c:v>72.550664807266784</c:v>
                </c:pt>
                <c:pt idx="42">
                  <c:v>73.872139865625698</c:v>
                </c:pt>
                <c:pt idx="43">
                  <c:v>74.743175909000698</c:v>
                </c:pt>
                <c:pt idx="44">
                  <c:v>75.288667812569713</c:v>
                </c:pt>
                <c:pt idx="45">
                  <c:v>75.24775382301182</c:v>
                </c:pt>
                <c:pt idx="46">
                  <c:v>74.685611093276947</c:v>
                </c:pt>
                <c:pt idx="47">
                  <c:v>72.832361392871803</c:v>
                </c:pt>
                <c:pt idx="48">
                  <c:v>71.273137285456968</c:v>
                </c:pt>
                <c:pt idx="49">
                  <c:v>69.591551201189631</c:v>
                </c:pt>
                <c:pt idx="50">
                  <c:v>68.13311963465479</c:v>
                </c:pt>
                <c:pt idx="51">
                  <c:v>66.331949940601348</c:v>
                </c:pt>
                <c:pt idx="52">
                  <c:v>64.777134766026521</c:v>
                </c:pt>
                <c:pt idx="53">
                  <c:v>63.254696014478881</c:v>
                </c:pt>
                <c:pt idx="54">
                  <c:v>62.041116271270447</c:v>
                </c:pt>
                <c:pt idx="55">
                  <c:v>60.731134505824208</c:v>
                </c:pt>
                <c:pt idx="56">
                  <c:v>59.754427527826522</c:v>
                </c:pt>
                <c:pt idx="57">
                  <c:v>59.102285390855798</c:v>
                </c:pt>
                <c:pt idx="58">
                  <c:v>58.495956288522372</c:v>
                </c:pt>
                <c:pt idx="59">
                  <c:v>57.359241306974639</c:v>
                </c:pt>
                <c:pt idx="60">
                  <c:v>56.941934120741017</c:v>
                </c:pt>
                <c:pt idx="61">
                  <c:v>56.475211182673291</c:v>
                </c:pt>
                <c:pt idx="62">
                  <c:v>56.070133708962459</c:v>
                </c:pt>
                <c:pt idx="63">
                  <c:v>55.705426973907329</c:v>
                </c:pt>
                <c:pt idx="64">
                  <c:v>55.339580311754808</c:v>
                </c:pt>
                <c:pt idx="65">
                  <c:v>54.897498389304879</c:v>
                </c:pt>
                <c:pt idx="66">
                  <c:v>54.433131663333349</c:v>
                </c:pt>
                <c:pt idx="67">
                  <c:v>53.730843118661525</c:v>
                </c:pt>
                <c:pt idx="68">
                  <c:v>53.249913905767876</c:v>
                </c:pt>
                <c:pt idx="69">
                  <c:v>53.015178697236841</c:v>
                </c:pt>
                <c:pt idx="70">
                  <c:v>52.801936302766798</c:v>
                </c:pt>
                <c:pt idx="71">
                  <c:v>52.522898187913562</c:v>
                </c:pt>
                <c:pt idx="72">
                  <c:v>52.164794656317923</c:v>
                </c:pt>
                <c:pt idx="73">
                  <c:v>51.732147353109283</c:v>
                </c:pt>
                <c:pt idx="74">
                  <c:v>51.41204715179024</c:v>
                </c:pt>
                <c:pt idx="75">
                  <c:v>52.111792204751197</c:v>
                </c:pt>
                <c:pt idx="76">
                  <c:v>51.602678498119161</c:v>
                </c:pt>
                <c:pt idx="77">
                  <c:v>50.920140188211818</c:v>
                </c:pt>
                <c:pt idx="78">
                  <c:v>52.606582506018079</c:v>
                </c:pt>
                <c:pt idx="79">
                  <c:v>52.702454539021943</c:v>
                </c:pt>
                <c:pt idx="80">
                  <c:v>53.378374083946106</c:v>
                </c:pt>
                <c:pt idx="81">
                  <c:v>52.649696734411862</c:v>
                </c:pt>
                <c:pt idx="82">
                  <c:v>52.563625661843723</c:v>
                </c:pt>
                <c:pt idx="83">
                  <c:v>53.160523591976983</c:v>
                </c:pt>
                <c:pt idx="84">
                  <c:v>54.013043155250145</c:v>
                </c:pt>
                <c:pt idx="85">
                  <c:v>54.66096109279426</c:v>
                </c:pt>
                <c:pt idx="86">
                  <c:v>56.483990637880979</c:v>
                </c:pt>
                <c:pt idx="87">
                  <c:v>59.048132680884102</c:v>
                </c:pt>
                <c:pt idx="88">
                  <c:v>58.630707492389419</c:v>
                </c:pt>
                <c:pt idx="89">
                  <c:v>58.81851023348004</c:v>
                </c:pt>
                <c:pt idx="90">
                  <c:v>59.503784061796054</c:v>
                </c:pt>
                <c:pt idx="91">
                  <c:v>59.329420442807972</c:v>
                </c:pt>
                <c:pt idx="92">
                  <c:v>59.421608996579501</c:v>
                </c:pt>
                <c:pt idx="93">
                  <c:v>59.653441879324319</c:v>
                </c:pt>
                <c:pt idx="94">
                  <c:v>59.638308029517241</c:v>
                </c:pt>
                <c:pt idx="95">
                  <c:v>59.815357565300857</c:v>
                </c:pt>
                <c:pt idx="96">
                  <c:v>59.751461116798978</c:v>
                </c:pt>
                <c:pt idx="97">
                  <c:v>60.100122538972094</c:v>
                </c:pt>
                <c:pt idx="98">
                  <c:v>60.254159869859613</c:v>
                </c:pt>
                <c:pt idx="99">
                  <c:v>60.575547972701237</c:v>
                </c:pt>
                <c:pt idx="100">
                  <c:v>60.943360917174957</c:v>
                </c:pt>
                <c:pt idx="101">
                  <c:v>61.189871148144974</c:v>
                </c:pt>
                <c:pt idx="102">
                  <c:v>61.790638196056292</c:v>
                </c:pt>
                <c:pt idx="103">
                  <c:v>61.816621709720209</c:v>
                </c:pt>
                <c:pt idx="104">
                  <c:v>62.311486591242129</c:v>
                </c:pt>
                <c:pt idx="105">
                  <c:v>62.3940522340679</c:v>
                </c:pt>
                <c:pt idx="106">
                  <c:v>62.6991580407418</c:v>
                </c:pt>
                <c:pt idx="107">
                  <c:v>62.899230968264099</c:v>
                </c:pt>
                <c:pt idx="108">
                  <c:v>62.761312102936998</c:v>
                </c:pt>
                <c:pt idx="109">
                  <c:v>63.012119658739898</c:v>
                </c:pt>
                <c:pt idx="110">
                  <c:v>62.918435292355802</c:v>
                </c:pt>
                <c:pt idx="111">
                  <c:v>63.199942585113</c:v>
                </c:pt>
                <c:pt idx="112">
                  <c:v>63.770786354119302</c:v>
                </c:pt>
                <c:pt idx="113">
                  <c:v>64.861297842216004</c:v>
                </c:pt>
                <c:pt idx="114">
                  <c:v>65.663857841615794</c:v>
                </c:pt>
                <c:pt idx="115">
                  <c:v>67.2859449171535</c:v>
                </c:pt>
                <c:pt idx="116">
                  <c:v>68.347217747304001</c:v>
                </c:pt>
                <c:pt idx="117">
                  <c:v>69.413625176015799</c:v>
                </c:pt>
                <c:pt idx="118">
                  <c:v>68.937723620365205</c:v>
                </c:pt>
                <c:pt idx="119">
                  <c:v>68.623260641189006</c:v>
                </c:pt>
                <c:pt idx="120">
                  <c:v>67.357739287432793</c:v>
                </c:pt>
                <c:pt idx="121">
                  <c:v>65.590195471384305</c:v>
                </c:pt>
                <c:pt idx="122">
                  <c:v>65.255733040366295</c:v>
                </c:pt>
                <c:pt idx="123">
                  <c:v>66.419430235481997</c:v>
                </c:pt>
                <c:pt idx="124">
                  <c:v>67.364339467829097</c:v>
                </c:pt>
                <c:pt idx="125">
                  <c:v>66.068718050764801</c:v>
                </c:pt>
                <c:pt idx="126">
                  <c:v>65.473608854352108</c:v>
                </c:pt>
                <c:pt idx="127">
                  <c:v>65.120863806286394</c:v>
                </c:pt>
              </c:numCache>
            </c:numRef>
          </c:yVal>
          <c:smooth val="1"/>
        </c:ser>
        <c:ser>
          <c:idx val="23"/>
          <c:order val="23"/>
          <c:tx>
            <c:strRef>
              <c:f>data!$A$55</c:f>
              <c:strCache>
                <c:ptCount val="1"/>
                <c:pt idx="0">
                  <c:v>B70_SH_P6_239_NewFoam_rear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data!$B$31:$DY$31</c:f>
              <c:numCache>
                <c:formatCode>General</c:formatCode>
                <c:ptCount val="128"/>
                <c:pt idx="0">
                  <c:v>1</c:v>
                </c:pt>
                <c:pt idx="1">
                  <c:v>62.03125</c:v>
                </c:pt>
                <c:pt idx="2">
                  <c:v>123.0625</c:v>
                </c:pt>
                <c:pt idx="3">
                  <c:v>184.09375</c:v>
                </c:pt>
                <c:pt idx="4">
                  <c:v>245.125</c:v>
                </c:pt>
                <c:pt idx="5">
                  <c:v>306.15625</c:v>
                </c:pt>
                <c:pt idx="6">
                  <c:v>367.1875</c:v>
                </c:pt>
                <c:pt idx="7">
                  <c:v>428.21875</c:v>
                </c:pt>
                <c:pt idx="8">
                  <c:v>489.25</c:v>
                </c:pt>
                <c:pt idx="9">
                  <c:v>550.28125</c:v>
                </c:pt>
                <c:pt idx="10">
                  <c:v>611.3125</c:v>
                </c:pt>
                <c:pt idx="11">
                  <c:v>672.34375</c:v>
                </c:pt>
                <c:pt idx="12">
                  <c:v>733.375</c:v>
                </c:pt>
                <c:pt idx="13">
                  <c:v>794.40625</c:v>
                </c:pt>
                <c:pt idx="14">
                  <c:v>855.4375</c:v>
                </c:pt>
                <c:pt idx="15">
                  <c:v>916.46875</c:v>
                </c:pt>
                <c:pt idx="16">
                  <c:v>977.5</c:v>
                </c:pt>
                <c:pt idx="17">
                  <c:v>1038.53125</c:v>
                </c:pt>
                <c:pt idx="18">
                  <c:v>1099.5625</c:v>
                </c:pt>
                <c:pt idx="19">
                  <c:v>1160.59375</c:v>
                </c:pt>
                <c:pt idx="20">
                  <c:v>1221.625</c:v>
                </c:pt>
                <c:pt idx="21">
                  <c:v>1282.65625</c:v>
                </c:pt>
                <c:pt idx="22">
                  <c:v>1343.6875</c:v>
                </c:pt>
                <c:pt idx="23">
                  <c:v>1404.71875</c:v>
                </c:pt>
                <c:pt idx="24">
                  <c:v>1465.75</c:v>
                </c:pt>
                <c:pt idx="25">
                  <c:v>1526.78125</c:v>
                </c:pt>
                <c:pt idx="26">
                  <c:v>1587.8125</c:v>
                </c:pt>
                <c:pt idx="27">
                  <c:v>1648.84375</c:v>
                </c:pt>
                <c:pt idx="28">
                  <c:v>1709.875</c:v>
                </c:pt>
                <c:pt idx="29">
                  <c:v>1770.90625</c:v>
                </c:pt>
                <c:pt idx="30">
                  <c:v>1831.9375</c:v>
                </c:pt>
                <c:pt idx="31">
                  <c:v>1892.96875</c:v>
                </c:pt>
                <c:pt idx="32">
                  <c:v>1954</c:v>
                </c:pt>
                <c:pt idx="33">
                  <c:v>2015.03125</c:v>
                </c:pt>
                <c:pt idx="34">
                  <c:v>2076.0625</c:v>
                </c:pt>
                <c:pt idx="35">
                  <c:v>2137.09375</c:v>
                </c:pt>
                <c:pt idx="36">
                  <c:v>2198.125</c:v>
                </c:pt>
                <c:pt idx="37">
                  <c:v>2259.15625</c:v>
                </c:pt>
                <c:pt idx="38">
                  <c:v>2320.1875</c:v>
                </c:pt>
                <c:pt idx="39">
                  <c:v>2381.21875</c:v>
                </c:pt>
                <c:pt idx="40">
                  <c:v>2442.25</c:v>
                </c:pt>
                <c:pt idx="41">
                  <c:v>2503.28125</c:v>
                </c:pt>
                <c:pt idx="42">
                  <c:v>2564.3125</c:v>
                </c:pt>
                <c:pt idx="43">
                  <c:v>2625.34375</c:v>
                </c:pt>
                <c:pt idx="44">
                  <c:v>2686.375</c:v>
                </c:pt>
                <c:pt idx="45">
                  <c:v>2747.40625</c:v>
                </c:pt>
                <c:pt idx="46">
                  <c:v>2808.4375</c:v>
                </c:pt>
                <c:pt idx="47">
                  <c:v>2869.46875</c:v>
                </c:pt>
                <c:pt idx="48">
                  <c:v>2930.5</c:v>
                </c:pt>
                <c:pt idx="49">
                  <c:v>2991.53125</c:v>
                </c:pt>
                <c:pt idx="50">
                  <c:v>3052.5625</c:v>
                </c:pt>
                <c:pt idx="51">
                  <c:v>3113.59375</c:v>
                </c:pt>
                <c:pt idx="52">
                  <c:v>3174.625</c:v>
                </c:pt>
                <c:pt idx="53">
                  <c:v>3235.65625</c:v>
                </c:pt>
                <c:pt idx="54">
                  <c:v>3296.6875</c:v>
                </c:pt>
                <c:pt idx="55">
                  <c:v>3357.71875</c:v>
                </c:pt>
                <c:pt idx="56">
                  <c:v>3418.75</c:v>
                </c:pt>
                <c:pt idx="57">
                  <c:v>3479.78125</c:v>
                </c:pt>
                <c:pt idx="58">
                  <c:v>3540.8125</c:v>
                </c:pt>
                <c:pt idx="59">
                  <c:v>3601.84375</c:v>
                </c:pt>
                <c:pt idx="60">
                  <c:v>3662.875</c:v>
                </c:pt>
                <c:pt idx="61">
                  <c:v>3723.90625</c:v>
                </c:pt>
                <c:pt idx="62">
                  <c:v>3784.9375</c:v>
                </c:pt>
                <c:pt idx="63">
                  <c:v>3845.96875</c:v>
                </c:pt>
                <c:pt idx="64">
                  <c:v>3907</c:v>
                </c:pt>
                <c:pt idx="65">
                  <c:v>3968.03125</c:v>
                </c:pt>
                <c:pt idx="66">
                  <c:v>4029.0625</c:v>
                </c:pt>
                <c:pt idx="67">
                  <c:v>4090.09375</c:v>
                </c:pt>
                <c:pt idx="68">
                  <c:v>4151.125</c:v>
                </c:pt>
                <c:pt idx="69">
                  <c:v>4212.15625</c:v>
                </c:pt>
                <c:pt idx="70">
                  <c:v>4273.1875</c:v>
                </c:pt>
                <c:pt idx="71">
                  <c:v>4334.21875</c:v>
                </c:pt>
                <c:pt idx="72">
                  <c:v>4395.25</c:v>
                </c:pt>
                <c:pt idx="73">
                  <c:v>4456.28125</c:v>
                </c:pt>
                <c:pt idx="74">
                  <c:v>4517.3125</c:v>
                </c:pt>
                <c:pt idx="75">
                  <c:v>4578.34375</c:v>
                </c:pt>
                <c:pt idx="76">
                  <c:v>4639.375</c:v>
                </c:pt>
                <c:pt idx="77">
                  <c:v>4700.40625</c:v>
                </c:pt>
                <c:pt idx="78">
                  <c:v>4761.4375</c:v>
                </c:pt>
                <c:pt idx="79">
                  <c:v>4822.46875</c:v>
                </c:pt>
                <c:pt idx="80">
                  <c:v>4883.5</c:v>
                </c:pt>
                <c:pt idx="81">
                  <c:v>4944.53125</c:v>
                </c:pt>
                <c:pt idx="82">
                  <c:v>5005.5625</c:v>
                </c:pt>
                <c:pt idx="83">
                  <c:v>5066.59375</c:v>
                </c:pt>
                <c:pt idx="84">
                  <c:v>5127.625</c:v>
                </c:pt>
                <c:pt idx="85">
                  <c:v>5188.65625</c:v>
                </c:pt>
                <c:pt idx="86">
                  <c:v>5249.6875</c:v>
                </c:pt>
                <c:pt idx="87">
                  <c:v>5310.71875</c:v>
                </c:pt>
                <c:pt idx="88">
                  <c:v>5371.75</c:v>
                </c:pt>
                <c:pt idx="89">
                  <c:v>5432.78125</c:v>
                </c:pt>
                <c:pt idx="90">
                  <c:v>5493.8125</c:v>
                </c:pt>
                <c:pt idx="91">
                  <c:v>5554.84375</c:v>
                </c:pt>
                <c:pt idx="92">
                  <c:v>5615.875</c:v>
                </c:pt>
                <c:pt idx="93">
                  <c:v>5676.90625</c:v>
                </c:pt>
                <c:pt idx="94">
                  <c:v>5737.9375</c:v>
                </c:pt>
                <c:pt idx="95">
                  <c:v>5798.96875</c:v>
                </c:pt>
                <c:pt idx="96">
                  <c:v>5860</c:v>
                </c:pt>
                <c:pt idx="97">
                  <c:v>5921.03125</c:v>
                </c:pt>
                <c:pt idx="98">
                  <c:v>5982.0625</c:v>
                </c:pt>
                <c:pt idx="99">
                  <c:v>6043.09375</c:v>
                </c:pt>
                <c:pt idx="100">
                  <c:v>6104.125</c:v>
                </c:pt>
                <c:pt idx="101">
                  <c:v>6165.15625</c:v>
                </c:pt>
                <c:pt idx="102">
                  <c:v>6226.1875</c:v>
                </c:pt>
                <c:pt idx="103">
                  <c:v>6287.21875</c:v>
                </c:pt>
                <c:pt idx="104">
                  <c:v>6348.25</c:v>
                </c:pt>
                <c:pt idx="105">
                  <c:v>6409.28125</c:v>
                </c:pt>
                <c:pt idx="106">
                  <c:v>6470.3125</c:v>
                </c:pt>
                <c:pt idx="107">
                  <c:v>6531.34375</c:v>
                </c:pt>
                <c:pt idx="108">
                  <c:v>6592.375</c:v>
                </c:pt>
                <c:pt idx="109">
                  <c:v>6653.40625</c:v>
                </c:pt>
                <c:pt idx="110">
                  <c:v>6714.4375</c:v>
                </c:pt>
                <c:pt idx="111">
                  <c:v>6775.46875</c:v>
                </c:pt>
                <c:pt idx="112">
                  <c:v>6836.5</c:v>
                </c:pt>
                <c:pt idx="113">
                  <c:v>6897.53125</c:v>
                </c:pt>
                <c:pt idx="114">
                  <c:v>6958.5625</c:v>
                </c:pt>
                <c:pt idx="115">
                  <c:v>7019.59375</c:v>
                </c:pt>
                <c:pt idx="116">
                  <c:v>7080.625</c:v>
                </c:pt>
                <c:pt idx="117">
                  <c:v>7141.65625</c:v>
                </c:pt>
                <c:pt idx="118">
                  <c:v>7202.6875</c:v>
                </c:pt>
                <c:pt idx="119">
                  <c:v>7263.71875</c:v>
                </c:pt>
                <c:pt idx="120">
                  <c:v>7324.75</c:v>
                </c:pt>
                <c:pt idx="121">
                  <c:v>7385.78125</c:v>
                </c:pt>
                <c:pt idx="122">
                  <c:v>7446.8125</c:v>
                </c:pt>
                <c:pt idx="123">
                  <c:v>7507.84375</c:v>
                </c:pt>
                <c:pt idx="124">
                  <c:v>7568.875</c:v>
                </c:pt>
                <c:pt idx="125">
                  <c:v>7629.90625</c:v>
                </c:pt>
                <c:pt idx="126">
                  <c:v>7690.9375</c:v>
                </c:pt>
                <c:pt idx="127">
                  <c:v>7751.96875</c:v>
                </c:pt>
              </c:numCache>
            </c:numRef>
          </c:xVal>
          <c:yVal>
            <c:numRef>
              <c:f>data!$B$55:$DY$55</c:f>
              <c:numCache>
                <c:formatCode>General</c:formatCode>
                <c:ptCount val="128"/>
                <c:pt idx="0">
                  <c:v>394.28084645389703</c:v>
                </c:pt>
                <c:pt idx="1">
                  <c:v>98.871342234354998</c:v>
                </c:pt>
                <c:pt idx="2">
                  <c:v>105.6947525482927</c:v>
                </c:pt>
                <c:pt idx="3">
                  <c:v>98.202572346697593</c:v>
                </c:pt>
                <c:pt idx="4">
                  <c:v>92.430350099630701</c:v>
                </c:pt>
                <c:pt idx="5">
                  <c:v>109.08481832750201</c:v>
                </c:pt>
                <c:pt idx="6">
                  <c:v>108.14790950096391</c:v>
                </c:pt>
                <c:pt idx="7">
                  <c:v>99.304558054881795</c:v>
                </c:pt>
                <c:pt idx="8">
                  <c:v>92.604471692364299</c:v>
                </c:pt>
                <c:pt idx="9">
                  <c:v>87.360723515298687</c:v>
                </c:pt>
                <c:pt idx="10">
                  <c:v>96.161646761151559</c:v>
                </c:pt>
                <c:pt idx="11">
                  <c:v>110.29400076690811</c:v>
                </c:pt>
                <c:pt idx="12">
                  <c:v>98.370269810621636</c:v>
                </c:pt>
                <c:pt idx="13">
                  <c:v>92.072684729192289</c:v>
                </c:pt>
                <c:pt idx="14">
                  <c:v>85.85525763116604</c:v>
                </c:pt>
                <c:pt idx="15">
                  <c:v>83.769820601708844</c:v>
                </c:pt>
                <c:pt idx="16">
                  <c:v>84.080399467010992</c:v>
                </c:pt>
                <c:pt idx="17">
                  <c:v>81.695345404344422</c:v>
                </c:pt>
                <c:pt idx="18">
                  <c:v>82.079602435030196</c:v>
                </c:pt>
                <c:pt idx="19">
                  <c:v>81.495895812077293</c:v>
                </c:pt>
                <c:pt idx="20">
                  <c:v>81.008391076614799</c:v>
                </c:pt>
                <c:pt idx="21">
                  <c:v>79.982928099700501</c:v>
                </c:pt>
                <c:pt idx="22">
                  <c:v>79.477167080960626</c:v>
                </c:pt>
                <c:pt idx="23">
                  <c:v>79.887241203146559</c:v>
                </c:pt>
                <c:pt idx="24">
                  <c:v>78.833627422831483</c:v>
                </c:pt>
                <c:pt idx="25">
                  <c:v>78.143486719833604</c:v>
                </c:pt>
                <c:pt idx="26">
                  <c:v>76.708501831768032</c:v>
                </c:pt>
                <c:pt idx="27">
                  <c:v>76.22882385024424</c:v>
                </c:pt>
                <c:pt idx="28">
                  <c:v>75.632826470204179</c:v>
                </c:pt>
                <c:pt idx="29">
                  <c:v>74.704971385204928</c:v>
                </c:pt>
                <c:pt idx="30">
                  <c:v>73.967795667766865</c:v>
                </c:pt>
                <c:pt idx="31">
                  <c:v>73.685204205039298</c:v>
                </c:pt>
                <c:pt idx="32">
                  <c:v>73.189621961166949</c:v>
                </c:pt>
                <c:pt idx="33">
                  <c:v>72.204638328205647</c:v>
                </c:pt>
                <c:pt idx="34">
                  <c:v>71.381673084695151</c:v>
                </c:pt>
                <c:pt idx="35">
                  <c:v>70.320180304283738</c:v>
                </c:pt>
                <c:pt idx="36">
                  <c:v>69.578784436666638</c:v>
                </c:pt>
                <c:pt idx="37">
                  <c:v>70.555950958033435</c:v>
                </c:pt>
                <c:pt idx="38">
                  <c:v>69.173946395899648</c:v>
                </c:pt>
                <c:pt idx="39">
                  <c:v>67.390103783333558</c:v>
                </c:pt>
                <c:pt idx="40">
                  <c:v>65.84680464294027</c:v>
                </c:pt>
                <c:pt idx="41">
                  <c:v>65.012745081476581</c:v>
                </c:pt>
                <c:pt idx="42">
                  <c:v>64.560342221757892</c:v>
                </c:pt>
                <c:pt idx="43">
                  <c:v>64.183346597289798</c:v>
                </c:pt>
                <c:pt idx="44">
                  <c:v>64.28874777915432</c:v>
                </c:pt>
                <c:pt idx="45">
                  <c:v>64.032516846907129</c:v>
                </c:pt>
                <c:pt idx="46">
                  <c:v>63.496618288383935</c:v>
                </c:pt>
                <c:pt idx="47">
                  <c:v>62.806541364338401</c:v>
                </c:pt>
                <c:pt idx="48">
                  <c:v>62.087225097014965</c:v>
                </c:pt>
                <c:pt idx="49">
                  <c:v>61.364019267163329</c:v>
                </c:pt>
                <c:pt idx="50">
                  <c:v>60.405329182214288</c:v>
                </c:pt>
                <c:pt idx="51">
                  <c:v>59.452507664905951</c:v>
                </c:pt>
                <c:pt idx="52">
                  <c:v>59.066318358212818</c:v>
                </c:pt>
                <c:pt idx="53">
                  <c:v>58.453053834944882</c:v>
                </c:pt>
                <c:pt idx="54">
                  <c:v>57.840552573695142</c:v>
                </c:pt>
                <c:pt idx="55">
                  <c:v>57.008163207739607</c:v>
                </c:pt>
                <c:pt idx="56">
                  <c:v>56.610576872867021</c:v>
                </c:pt>
                <c:pt idx="57">
                  <c:v>56.570731372477596</c:v>
                </c:pt>
                <c:pt idx="58">
                  <c:v>55.812293197899869</c:v>
                </c:pt>
                <c:pt idx="59">
                  <c:v>55.455617393767241</c:v>
                </c:pt>
                <c:pt idx="60">
                  <c:v>55.702626254922315</c:v>
                </c:pt>
                <c:pt idx="61">
                  <c:v>55.625084058445886</c:v>
                </c:pt>
                <c:pt idx="62">
                  <c:v>55.76862715745176</c:v>
                </c:pt>
                <c:pt idx="63">
                  <c:v>55.621884248149129</c:v>
                </c:pt>
                <c:pt idx="64">
                  <c:v>55.346072203363008</c:v>
                </c:pt>
                <c:pt idx="65">
                  <c:v>55.286079421935078</c:v>
                </c:pt>
                <c:pt idx="66">
                  <c:v>55.230414852076152</c:v>
                </c:pt>
                <c:pt idx="67">
                  <c:v>55.134954450042223</c:v>
                </c:pt>
                <c:pt idx="68">
                  <c:v>55.012160020419977</c:v>
                </c:pt>
                <c:pt idx="69">
                  <c:v>55.121033086104639</c:v>
                </c:pt>
                <c:pt idx="70">
                  <c:v>55.754743184666793</c:v>
                </c:pt>
                <c:pt idx="71">
                  <c:v>55.473766124279756</c:v>
                </c:pt>
                <c:pt idx="72">
                  <c:v>55.51288222260672</c:v>
                </c:pt>
                <c:pt idx="73">
                  <c:v>55.683400527658577</c:v>
                </c:pt>
                <c:pt idx="74">
                  <c:v>56.494188974728637</c:v>
                </c:pt>
                <c:pt idx="75">
                  <c:v>59.450617697964098</c:v>
                </c:pt>
                <c:pt idx="76">
                  <c:v>57.261505409978362</c:v>
                </c:pt>
                <c:pt idx="77">
                  <c:v>58.193099339660023</c:v>
                </c:pt>
                <c:pt idx="78">
                  <c:v>62.587376548971179</c:v>
                </c:pt>
                <c:pt idx="79">
                  <c:v>60.090102144480042</c:v>
                </c:pt>
                <c:pt idx="80">
                  <c:v>58.945454164654905</c:v>
                </c:pt>
                <c:pt idx="81">
                  <c:v>56.528076279986756</c:v>
                </c:pt>
                <c:pt idx="82">
                  <c:v>55.844840725510117</c:v>
                </c:pt>
                <c:pt idx="83">
                  <c:v>55.436414247764382</c:v>
                </c:pt>
                <c:pt idx="84">
                  <c:v>55.454204724548944</c:v>
                </c:pt>
                <c:pt idx="85">
                  <c:v>55.751810116324158</c:v>
                </c:pt>
                <c:pt idx="86">
                  <c:v>59.304302131484079</c:v>
                </c:pt>
                <c:pt idx="87">
                  <c:v>63.515744578794397</c:v>
                </c:pt>
                <c:pt idx="88">
                  <c:v>60.519910701507115</c:v>
                </c:pt>
                <c:pt idx="89">
                  <c:v>61.645199132848134</c:v>
                </c:pt>
                <c:pt idx="90">
                  <c:v>65.280941311129254</c:v>
                </c:pt>
                <c:pt idx="91">
                  <c:v>63.698946497968578</c:v>
                </c:pt>
                <c:pt idx="92">
                  <c:v>64.054098770035196</c:v>
                </c:pt>
                <c:pt idx="93">
                  <c:v>64.998421033747618</c:v>
                </c:pt>
                <c:pt idx="94">
                  <c:v>65.809319988749039</c:v>
                </c:pt>
                <c:pt idx="95">
                  <c:v>65.503399605923761</c:v>
                </c:pt>
                <c:pt idx="96">
                  <c:v>63.805432638515676</c:v>
                </c:pt>
                <c:pt idx="97">
                  <c:v>64.189778018599199</c:v>
                </c:pt>
                <c:pt idx="98">
                  <c:v>64.448426578752716</c:v>
                </c:pt>
                <c:pt idx="99">
                  <c:v>64.419178541717741</c:v>
                </c:pt>
                <c:pt idx="100">
                  <c:v>64.76943817914696</c:v>
                </c:pt>
                <c:pt idx="101">
                  <c:v>64.737016045477773</c:v>
                </c:pt>
                <c:pt idx="102">
                  <c:v>64.9457073350694</c:v>
                </c:pt>
                <c:pt idx="103">
                  <c:v>64.782009167720418</c:v>
                </c:pt>
                <c:pt idx="104">
                  <c:v>64.809773679457635</c:v>
                </c:pt>
                <c:pt idx="105">
                  <c:v>64.640077982514697</c:v>
                </c:pt>
                <c:pt idx="106">
                  <c:v>64.724931088005007</c:v>
                </c:pt>
                <c:pt idx="107">
                  <c:v>64.360542873085393</c:v>
                </c:pt>
                <c:pt idx="108">
                  <c:v>63.877760538827701</c:v>
                </c:pt>
                <c:pt idx="109">
                  <c:v>63.495636069296999</c:v>
                </c:pt>
                <c:pt idx="110">
                  <c:v>63.318388830549701</c:v>
                </c:pt>
                <c:pt idx="111">
                  <c:v>63.0869402304088</c:v>
                </c:pt>
                <c:pt idx="112">
                  <c:v>63.228169455894097</c:v>
                </c:pt>
                <c:pt idx="113">
                  <c:v>64.08413504617431</c:v>
                </c:pt>
                <c:pt idx="114">
                  <c:v>64.936180616584807</c:v>
                </c:pt>
                <c:pt idx="115">
                  <c:v>66.670613645284902</c:v>
                </c:pt>
                <c:pt idx="116">
                  <c:v>68.552635361106809</c:v>
                </c:pt>
                <c:pt idx="117">
                  <c:v>71.274950832160997</c:v>
                </c:pt>
                <c:pt idx="118">
                  <c:v>73.260883046789999</c:v>
                </c:pt>
                <c:pt idx="119">
                  <c:v>75.815801064613595</c:v>
                </c:pt>
                <c:pt idx="120">
                  <c:v>77.257748011535696</c:v>
                </c:pt>
                <c:pt idx="121">
                  <c:v>75.983689022510404</c:v>
                </c:pt>
                <c:pt idx="122">
                  <c:v>72.528122371612596</c:v>
                </c:pt>
                <c:pt idx="123">
                  <c:v>72.717632279314898</c:v>
                </c:pt>
                <c:pt idx="124">
                  <c:v>73.313996080108694</c:v>
                </c:pt>
                <c:pt idx="125">
                  <c:v>72.589842878897599</c:v>
                </c:pt>
                <c:pt idx="126">
                  <c:v>71.532660262947999</c:v>
                </c:pt>
                <c:pt idx="127">
                  <c:v>70.402170785982094</c:v>
                </c:pt>
              </c:numCache>
            </c:numRef>
          </c:yVal>
          <c:smooth val="1"/>
        </c:ser>
        <c:ser>
          <c:idx val="24"/>
          <c:order val="24"/>
          <c:tx>
            <c:strRef>
              <c:f>data!$A$56</c:f>
              <c:strCache>
                <c:ptCount val="1"/>
                <c:pt idx="0">
                  <c:v>B70_SH_P6_239_RECOVER_front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data!$B$31:$DY$31</c:f>
              <c:numCache>
                <c:formatCode>General</c:formatCode>
                <c:ptCount val="128"/>
                <c:pt idx="0">
                  <c:v>1</c:v>
                </c:pt>
                <c:pt idx="1">
                  <c:v>62.03125</c:v>
                </c:pt>
                <c:pt idx="2">
                  <c:v>123.0625</c:v>
                </c:pt>
                <c:pt idx="3">
                  <c:v>184.09375</c:v>
                </c:pt>
                <c:pt idx="4">
                  <c:v>245.125</c:v>
                </c:pt>
                <c:pt idx="5">
                  <c:v>306.15625</c:v>
                </c:pt>
                <c:pt idx="6">
                  <c:v>367.1875</c:v>
                </c:pt>
                <c:pt idx="7">
                  <c:v>428.21875</c:v>
                </c:pt>
                <c:pt idx="8">
                  <c:v>489.25</c:v>
                </c:pt>
                <c:pt idx="9">
                  <c:v>550.28125</c:v>
                </c:pt>
                <c:pt idx="10">
                  <c:v>611.3125</c:v>
                </c:pt>
                <c:pt idx="11">
                  <c:v>672.34375</c:v>
                </c:pt>
                <c:pt idx="12">
                  <c:v>733.375</c:v>
                </c:pt>
                <c:pt idx="13">
                  <c:v>794.40625</c:v>
                </c:pt>
                <c:pt idx="14">
                  <c:v>855.4375</c:v>
                </c:pt>
                <c:pt idx="15">
                  <c:v>916.46875</c:v>
                </c:pt>
                <c:pt idx="16">
                  <c:v>977.5</c:v>
                </c:pt>
                <c:pt idx="17">
                  <c:v>1038.53125</c:v>
                </c:pt>
                <c:pt idx="18">
                  <c:v>1099.5625</c:v>
                </c:pt>
                <c:pt idx="19">
                  <c:v>1160.59375</c:v>
                </c:pt>
                <c:pt idx="20">
                  <c:v>1221.625</c:v>
                </c:pt>
                <c:pt idx="21">
                  <c:v>1282.65625</c:v>
                </c:pt>
                <c:pt idx="22">
                  <c:v>1343.6875</c:v>
                </c:pt>
                <c:pt idx="23">
                  <c:v>1404.71875</c:v>
                </c:pt>
                <c:pt idx="24">
                  <c:v>1465.75</c:v>
                </c:pt>
                <c:pt idx="25">
                  <c:v>1526.78125</c:v>
                </c:pt>
                <c:pt idx="26">
                  <c:v>1587.8125</c:v>
                </c:pt>
                <c:pt idx="27">
                  <c:v>1648.84375</c:v>
                </c:pt>
                <c:pt idx="28">
                  <c:v>1709.875</c:v>
                </c:pt>
                <c:pt idx="29">
                  <c:v>1770.90625</c:v>
                </c:pt>
                <c:pt idx="30">
                  <c:v>1831.9375</c:v>
                </c:pt>
                <c:pt idx="31">
                  <c:v>1892.96875</c:v>
                </c:pt>
                <c:pt idx="32">
                  <c:v>1954</c:v>
                </c:pt>
                <c:pt idx="33">
                  <c:v>2015.03125</c:v>
                </c:pt>
                <c:pt idx="34">
                  <c:v>2076.0625</c:v>
                </c:pt>
                <c:pt idx="35">
                  <c:v>2137.09375</c:v>
                </c:pt>
                <c:pt idx="36">
                  <c:v>2198.125</c:v>
                </c:pt>
                <c:pt idx="37">
                  <c:v>2259.15625</c:v>
                </c:pt>
                <c:pt idx="38">
                  <c:v>2320.1875</c:v>
                </c:pt>
                <c:pt idx="39">
                  <c:v>2381.21875</c:v>
                </c:pt>
                <c:pt idx="40">
                  <c:v>2442.25</c:v>
                </c:pt>
                <c:pt idx="41">
                  <c:v>2503.28125</c:v>
                </c:pt>
                <c:pt idx="42">
                  <c:v>2564.3125</c:v>
                </c:pt>
                <c:pt idx="43">
                  <c:v>2625.34375</c:v>
                </c:pt>
                <c:pt idx="44">
                  <c:v>2686.375</c:v>
                </c:pt>
                <c:pt idx="45">
                  <c:v>2747.40625</c:v>
                </c:pt>
                <c:pt idx="46">
                  <c:v>2808.4375</c:v>
                </c:pt>
                <c:pt idx="47">
                  <c:v>2869.46875</c:v>
                </c:pt>
                <c:pt idx="48">
                  <c:v>2930.5</c:v>
                </c:pt>
                <c:pt idx="49">
                  <c:v>2991.53125</c:v>
                </c:pt>
                <c:pt idx="50">
                  <c:v>3052.5625</c:v>
                </c:pt>
                <c:pt idx="51">
                  <c:v>3113.59375</c:v>
                </c:pt>
                <c:pt idx="52">
                  <c:v>3174.625</c:v>
                </c:pt>
                <c:pt idx="53">
                  <c:v>3235.65625</c:v>
                </c:pt>
                <c:pt idx="54">
                  <c:v>3296.6875</c:v>
                </c:pt>
                <c:pt idx="55">
                  <c:v>3357.71875</c:v>
                </c:pt>
                <c:pt idx="56">
                  <c:v>3418.75</c:v>
                </c:pt>
                <c:pt idx="57">
                  <c:v>3479.78125</c:v>
                </c:pt>
                <c:pt idx="58">
                  <c:v>3540.8125</c:v>
                </c:pt>
                <c:pt idx="59">
                  <c:v>3601.84375</c:v>
                </c:pt>
                <c:pt idx="60">
                  <c:v>3662.875</c:v>
                </c:pt>
                <c:pt idx="61">
                  <c:v>3723.90625</c:v>
                </c:pt>
                <c:pt idx="62">
                  <c:v>3784.9375</c:v>
                </c:pt>
                <c:pt idx="63">
                  <c:v>3845.96875</c:v>
                </c:pt>
                <c:pt idx="64">
                  <c:v>3907</c:v>
                </c:pt>
                <c:pt idx="65">
                  <c:v>3968.03125</c:v>
                </c:pt>
                <c:pt idx="66">
                  <c:v>4029.0625</c:v>
                </c:pt>
                <c:pt idx="67">
                  <c:v>4090.09375</c:v>
                </c:pt>
                <c:pt idx="68">
                  <c:v>4151.125</c:v>
                </c:pt>
                <c:pt idx="69">
                  <c:v>4212.15625</c:v>
                </c:pt>
                <c:pt idx="70">
                  <c:v>4273.1875</c:v>
                </c:pt>
                <c:pt idx="71">
                  <c:v>4334.21875</c:v>
                </c:pt>
                <c:pt idx="72">
                  <c:v>4395.25</c:v>
                </c:pt>
                <c:pt idx="73">
                  <c:v>4456.28125</c:v>
                </c:pt>
                <c:pt idx="74">
                  <c:v>4517.3125</c:v>
                </c:pt>
                <c:pt idx="75">
                  <c:v>4578.34375</c:v>
                </c:pt>
                <c:pt idx="76">
                  <c:v>4639.375</c:v>
                </c:pt>
                <c:pt idx="77">
                  <c:v>4700.40625</c:v>
                </c:pt>
                <c:pt idx="78">
                  <c:v>4761.4375</c:v>
                </c:pt>
                <c:pt idx="79">
                  <c:v>4822.46875</c:v>
                </c:pt>
                <c:pt idx="80">
                  <c:v>4883.5</c:v>
                </c:pt>
                <c:pt idx="81">
                  <c:v>4944.53125</c:v>
                </c:pt>
                <c:pt idx="82">
                  <c:v>5005.5625</c:v>
                </c:pt>
                <c:pt idx="83">
                  <c:v>5066.59375</c:v>
                </c:pt>
                <c:pt idx="84">
                  <c:v>5127.625</c:v>
                </c:pt>
                <c:pt idx="85">
                  <c:v>5188.65625</c:v>
                </c:pt>
                <c:pt idx="86">
                  <c:v>5249.6875</c:v>
                </c:pt>
                <c:pt idx="87">
                  <c:v>5310.71875</c:v>
                </c:pt>
                <c:pt idx="88">
                  <c:v>5371.75</c:v>
                </c:pt>
                <c:pt idx="89">
                  <c:v>5432.78125</c:v>
                </c:pt>
                <c:pt idx="90">
                  <c:v>5493.8125</c:v>
                </c:pt>
                <c:pt idx="91">
                  <c:v>5554.84375</c:v>
                </c:pt>
                <c:pt idx="92">
                  <c:v>5615.875</c:v>
                </c:pt>
                <c:pt idx="93">
                  <c:v>5676.90625</c:v>
                </c:pt>
                <c:pt idx="94">
                  <c:v>5737.9375</c:v>
                </c:pt>
                <c:pt idx="95">
                  <c:v>5798.96875</c:v>
                </c:pt>
                <c:pt idx="96">
                  <c:v>5860</c:v>
                </c:pt>
                <c:pt idx="97">
                  <c:v>5921.03125</c:v>
                </c:pt>
                <c:pt idx="98">
                  <c:v>5982.0625</c:v>
                </c:pt>
                <c:pt idx="99">
                  <c:v>6043.09375</c:v>
                </c:pt>
                <c:pt idx="100">
                  <c:v>6104.125</c:v>
                </c:pt>
                <c:pt idx="101">
                  <c:v>6165.15625</c:v>
                </c:pt>
                <c:pt idx="102">
                  <c:v>6226.1875</c:v>
                </c:pt>
                <c:pt idx="103">
                  <c:v>6287.21875</c:v>
                </c:pt>
                <c:pt idx="104">
                  <c:v>6348.25</c:v>
                </c:pt>
                <c:pt idx="105">
                  <c:v>6409.28125</c:v>
                </c:pt>
                <c:pt idx="106">
                  <c:v>6470.3125</c:v>
                </c:pt>
                <c:pt idx="107">
                  <c:v>6531.34375</c:v>
                </c:pt>
                <c:pt idx="108">
                  <c:v>6592.375</c:v>
                </c:pt>
                <c:pt idx="109">
                  <c:v>6653.40625</c:v>
                </c:pt>
                <c:pt idx="110">
                  <c:v>6714.4375</c:v>
                </c:pt>
                <c:pt idx="111">
                  <c:v>6775.46875</c:v>
                </c:pt>
                <c:pt idx="112">
                  <c:v>6836.5</c:v>
                </c:pt>
                <c:pt idx="113">
                  <c:v>6897.53125</c:v>
                </c:pt>
                <c:pt idx="114">
                  <c:v>6958.5625</c:v>
                </c:pt>
                <c:pt idx="115">
                  <c:v>7019.59375</c:v>
                </c:pt>
                <c:pt idx="116">
                  <c:v>7080.625</c:v>
                </c:pt>
                <c:pt idx="117">
                  <c:v>7141.65625</c:v>
                </c:pt>
                <c:pt idx="118">
                  <c:v>7202.6875</c:v>
                </c:pt>
                <c:pt idx="119">
                  <c:v>7263.71875</c:v>
                </c:pt>
                <c:pt idx="120">
                  <c:v>7324.75</c:v>
                </c:pt>
                <c:pt idx="121">
                  <c:v>7385.78125</c:v>
                </c:pt>
                <c:pt idx="122">
                  <c:v>7446.8125</c:v>
                </c:pt>
                <c:pt idx="123">
                  <c:v>7507.84375</c:v>
                </c:pt>
                <c:pt idx="124">
                  <c:v>7568.875</c:v>
                </c:pt>
                <c:pt idx="125">
                  <c:v>7629.90625</c:v>
                </c:pt>
                <c:pt idx="126">
                  <c:v>7690.9375</c:v>
                </c:pt>
                <c:pt idx="127">
                  <c:v>7751.96875</c:v>
                </c:pt>
              </c:numCache>
            </c:numRef>
          </c:xVal>
          <c:yVal>
            <c:numRef>
              <c:f>data!$B$56:$DY$56</c:f>
              <c:numCache>
                <c:formatCode>General</c:formatCode>
                <c:ptCount val="128"/>
                <c:pt idx="0">
                  <c:v>389.16975433173099</c:v>
                </c:pt>
                <c:pt idx="1">
                  <c:v>101.3301940942557</c:v>
                </c:pt>
                <c:pt idx="2">
                  <c:v>100.0165498246506</c:v>
                </c:pt>
                <c:pt idx="3">
                  <c:v>91.942018239785298</c:v>
                </c:pt>
                <c:pt idx="4">
                  <c:v>89.988966703701195</c:v>
                </c:pt>
                <c:pt idx="5">
                  <c:v>80.916534009275097</c:v>
                </c:pt>
                <c:pt idx="6">
                  <c:v>83.640113465311501</c:v>
                </c:pt>
                <c:pt idx="7">
                  <c:v>86.098721375915105</c:v>
                </c:pt>
                <c:pt idx="8">
                  <c:v>84.284704958466193</c:v>
                </c:pt>
                <c:pt idx="9">
                  <c:v>84.367189537070274</c:v>
                </c:pt>
                <c:pt idx="10">
                  <c:v>81.880623909795347</c:v>
                </c:pt>
                <c:pt idx="11">
                  <c:v>82.009026867293016</c:v>
                </c:pt>
                <c:pt idx="12">
                  <c:v>80.450028185192835</c:v>
                </c:pt>
                <c:pt idx="13">
                  <c:v>80.244116006063081</c:v>
                </c:pt>
                <c:pt idx="14">
                  <c:v>77.558585439214127</c:v>
                </c:pt>
                <c:pt idx="15">
                  <c:v>76.507380560268643</c:v>
                </c:pt>
                <c:pt idx="16">
                  <c:v>76.82297765888778</c:v>
                </c:pt>
                <c:pt idx="17">
                  <c:v>78.154542737670624</c:v>
                </c:pt>
                <c:pt idx="18">
                  <c:v>78.889968206070108</c:v>
                </c:pt>
                <c:pt idx="19">
                  <c:v>79.882569269622508</c:v>
                </c:pt>
                <c:pt idx="20">
                  <c:v>79.9432276148504</c:v>
                </c:pt>
                <c:pt idx="21">
                  <c:v>80.776917821332205</c:v>
                </c:pt>
                <c:pt idx="22">
                  <c:v>80.775864319467019</c:v>
                </c:pt>
                <c:pt idx="23">
                  <c:v>81.386729179779152</c:v>
                </c:pt>
                <c:pt idx="24">
                  <c:v>81.011262134712979</c:v>
                </c:pt>
                <c:pt idx="25">
                  <c:v>81.562613420056607</c:v>
                </c:pt>
                <c:pt idx="26">
                  <c:v>81.725559299662933</c:v>
                </c:pt>
                <c:pt idx="27">
                  <c:v>82.455863403738945</c:v>
                </c:pt>
                <c:pt idx="28">
                  <c:v>84.857753145258883</c:v>
                </c:pt>
                <c:pt idx="29">
                  <c:v>83.996171292795324</c:v>
                </c:pt>
                <c:pt idx="30">
                  <c:v>83.439321464463163</c:v>
                </c:pt>
                <c:pt idx="31">
                  <c:v>81.428480517064813</c:v>
                </c:pt>
                <c:pt idx="32">
                  <c:v>80.653201217242454</c:v>
                </c:pt>
                <c:pt idx="33">
                  <c:v>77.956130435795458</c:v>
                </c:pt>
                <c:pt idx="34">
                  <c:v>75.597276874091548</c:v>
                </c:pt>
                <c:pt idx="35">
                  <c:v>72.232904758648644</c:v>
                </c:pt>
                <c:pt idx="36">
                  <c:v>68.563382237409144</c:v>
                </c:pt>
                <c:pt idx="37">
                  <c:v>65.501723207535932</c:v>
                </c:pt>
                <c:pt idx="38">
                  <c:v>64.350716752745754</c:v>
                </c:pt>
                <c:pt idx="39">
                  <c:v>65.677914070622464</c:v>
                </c:pt>
                <c:pt idx="40">
                  <c:v>66.481877619791575</c:v>
                </c:pt>
                <c:pt idx="41">
                  <c:v>67.142094851675779</c:v>
                </c:pt>
                <c:pt idx="42">
                  <c:v>67.985918008534597</c:v>
                </c:pt>
                <c:pt idx="43">
                  <c:v>69.376413530642012</c:v>
                </c:pt>
                <c:pt idx="44">
                  <c:v>70.822918333574023</c:v>
                </c:pt>
                <c:pt idx="45">
                  <c:v>73.434159711125432</c:v>
                </c:pt>
                <c:pt idx="46">
                  <c:v>76.337407059836437</c:v>
                </c:pt>
                <c:pt idx="47">
                  <c:v>81.445448368316903</c:v>
                </c:pt>
                <c:pt idx="48">
                  <c:v>78.732047232077264</c:v>
                </c:pt>
                <c:pt idx="49">
                  <c:v>74.693756253747921</c:v>
                </c:pt>
                <c:pt idx="50">
                  <c:v>71.525815043854493</c:v>
                </c:pt>
                <c:pt idx="51">
                  <c:v>68.915205576249846</c:v>
                </c:pt>
                <c:pt idx="52">
                  <c:v>66.406483222937609</c:v>
                </c:pt>
                <c:pt idx="53">
                  <c:v>64.220930000226573</c:v>
                </c:pt>
                <c:pt idx="54">
                  <c:v>63.058678423953246</c:v>
                </c:pt>
                <c:pt idx="55">
                  <c:v>61.455446257108306</c:v>
                </c:pt>
                <c:pt idx="56">
                  <c:v>60.400669648048023</c:v>
                </c:pt>
                <c:pt idx="57">
                  <c:v>59.3742014591244</c:v>
                </c:pt>
                <c:pt idx="58">
                  <c:v>58.730779753682874</c:v>
                </c:pt>
                <c:pt idx="59">
                  <c:v>57.928057252514236</c:v>
                </c:pt>
                <c:pt idx="60">
                  <c:v>56.950295025742115</c:v>
                </c:pt>
                <c:pt idx="61">
                  <c:v>56.025897704285292</c:v>
                </c:pt>
                <c:pt idx="62">
                  <c:v>55.18200018170316</c:v>
                </c:pt>
                <c:pt idx="63">
                  <c:v>54.20903758602973</c:v>
                </c:pt>
                <c:pt idx="64">
                  <c:v>53.612166141667906</c:v>
                </c:pt>
                <c:pt idx="65">
                  <c:v>52.904255165491982</c:v>
                </c:pt>
                <c:pt idx="66">
                  <c:v>52.033441064944647</c:v>
                </c:pt>
                <c:pt idx="67">
                  <c:v>51.096458090184626</c:v>
                </c:pt>
                <c:pt idx="68">
                  <c:v>50.225732663924177</c:v>
                </c:pt>
                <c:pt idx="69">
                  <c:v>49.753903204139242</c:v>
                </c:pt>
                <c:pt idx="70">
                  <c:v>49.684679084472798</c:v>
                </c:pt>
                <c:pt idx="71">
                  <c:v>49.902003735681156</c:v>
                </c:pt>
                <c:pt idx="72">
                  <c:v>50.509405713938122</c:v>
                </c:pt>
                <c:pt idx="73">
                  <c:v>51.258459178719178</c:v>
                </c:pt>
                <c:pt idx="74">
                  <c:v>52.009808253601335</c:v>
                </c:pt>
                <c:pt idx="75">
                  <c:v>53.408566828401398</c:v>
                </c:pt>
                <c:pt idx="76">
                  <c:v>54.663990596689359</c:v>
                </c:pt>
                <c:pt idx="77">
                  <c:v>55.229266459646624</c:v>
                </c:pt>
                <c:pt idx="78">
                  <c:v>54.51372688314018</c:v>
                </c:pt>
                <c:pt idx="79">
                  <c:v>55.820337404436842</c:v>
                </c:pt>
                <c:pt idx="80">
                  <c:v>56.559169619965303</c:v>
                </c:pt>
                <c:pt idx="81">
                  <c:v>56.969304902101861</c:v>
                </c:pt>
                <c:pt idx="82">
                  <c:v>57.220591768241121</c:v>
                </c:pt>
                <c:pt idx="83">
                  <c:v>58.206236523060483</c:v>
                </c:pt>
                <c:pt idx="84">
                  <c:v>60.342869683348042</c:v>
                </c:pt>
                <c:pt idx="85">
                  <c:v>63.316140562726964</c:v>
                </c:pt>
                <c:pt idx="86">
                  <c:v>65.767530855467484</c:v>
                </c:pt>
                <c:pt idx="87">
                  <c:v>66.552130430812596</c:v>
                </c:pt>
                <c:pt idx="88">
                  <c:v>67.773002731592925</c:v>
                </c:pt>
                <c:pt idx="89">
                  <c:v>65.203336125588734</c:v>
                </c:pt>
                <c:pt idx="90">
                  <c:v>64.130704185655659</c:v>
                </c:pt>
                <c:pt idx="91">
                  <c:v>63.716105844639273</c:v>
                </c:pt>
                <c:pt idx="92">
                  <c:v>62.752794692549898</c:v>
                </c:pt>
                <c:pt idx="93">
                  <c:v>62.504322398871722</c:v>
                </c:pt>
                <c:pt idx="94">
                  <c:v>62.234812840254641</c:v>
                </c:pt>
                <c:pt idx="95">
                  <c:v>62.495016172395658</c:v>
                </c:pt>
                <c:pt idx="96">
                  <c:v>63.165804790027181</c:v>
                </c:pt>
                <c:pt idx="97">
                  <c:v>63.076433179031795</c:v>
                </c:pt>
                <c:pt idx="98">
                  <c:v>62.745001963814119</c:v>
                </c:pt>
                <c:pt idx="99">
                  <c:v>62.756984847617133</c:v>
                </c:pt>
                <c:pt idx="100">
                  <c:v>63.039823694401157</c:v>
                </c:pt>
                <c:pt idx="101">
                  <c:v>62.989840501046871</c:v>
                </c:pt>
                <c:pt idx="102">
                  <c:v>62.977658282119492</c:v>
                </c:pt>
                <c:pt idx="103">
                  <c:v>63.189279095948208</c:v>
                </c:pt>
                <c:pt idx="104">
                  <c:v>63.486601221953833</c:v>
                </c:pt>
                <c:pt idx="105">
                  <c:v>63.707444034347397</c:v>
                </c:pt>
                <c:pt idx="106">
                  <c:v>63.714164447140099</c:v>
                </c:pt>
                <c:pt idx="107">
                  <c:v>63.828890600214102</c:v>
                </c:pt>
                <c:pt idx="108">
                  <c:v>63.985799227139402</c:v>
                </c:pt>
                <c:pt idx="109">
                  <c:v>64.261925756409397</c:v>
                </c:pt>
                <c:pt idx="110">
                  <c:v>64.694985709938493</c:v>
                </c:pt>
                <c:pt idx="111">
                  <c:v>65.345243825288691</c:v>
                </c:pt>
                <c:pt idx="112">
                  <c:v>66.171056081162106</c:v>
                </c:pt>
                <c:pt idx="113">
                  <c:v>67.520810885437598</c:v>
                </c:pt>
                <c:pt idx="114">
                  <c:v>68.715839714116598</c:v>
                </c:pt>
                <c:pt idx="115">
                  <c:v>69.511423388575793</c:v>
                </c:pt>
                <c:pt idx="116">
                  <c:v>69.381417403407298</c:v>
                </c:pt>
                <c:pt idx="117">
                  <c:v>68.844781223187994</c:v>
                </c:pt>
                <c:pt idx="118">
                  <c:v>67.517157031902002</c:v>
                </c:pt>
                <c:pt idx="119">
                  <c:v>66.25785025686119</c:v>
                </c:pt>
                <c:pt idx="120">
                  <c:v>64.681616744632493</c:v>
                </c:pt>
                <c:pt idx="121">
                  <c:v>64.551262293149307</c:v>
                </c:pt>
                <c:pt idx="122">
                  <c:v>64.918712853665795</c:v>
                </c:pt>
                <c:pt idx="123">
                  <c:v>66.164257965073901</c:v>
                </c:pt>
                <c:pt idx="124">
                  <c:v>66.172631141909591</c:v>
                </c:pt>
                <c:pt idx="125">
                  <c:v>66.912252481653397</c:v>
                </c:pt>
                <c:pt idx="126">
                  <c:v>67.298874324147192</c:v>
                </c:pt>
                <c:pt idx="127">
                  <c:v>68.124747283970009</c:v>
                </c:pt>
              </c:numCache>
            </c:numRef>
          </c:yVal>
          <c:smooth val="1"/>
        </c:ser>
        <c:ser>
          <c:idx val="25"/>
          <c:order val="25"/>
          <c:tx>
            <c:strRef>
              <c:f>data!$A$57</c:f>
              <c:strCache>
                <c:ptCount val="1"/>
                <c:pt idx="0">
                  <c:v>B70_SH_P6_239_RECOVER_rear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data!$B$31:$DY$31</c:f>
              <c:numCache>
                <c:formatCode>General</c:formatCode>
                <c:ptCount val="128"/>
                <c:pt idx="0">
                  <c:v>1</c:v>
                </c:pt>
                <c:pt idx="1">
                  <c:v>62.03125</c:v>
                </c:pt>
                <c:pt idx="2">
                  <c:v>123.0625</c:v>
                </c:pt>
                <c:pt idx="3">
                  <c:v>184.09375</c:v>
                </c:pt>
                <c:pt idx="4">
                  <c:v>245.125</c:v>
                </c:pt>
                <c:pt idx="5">
                  <c:v>306.15625</c:v>
                </c:pt>
                <c:pt idx="6">
                  <c:v>367.1875</c:v>
                </c:pt>
                <c:pt idx="7">
                  <c:v>428.21875</c:v>
                </c:pt>
                <c:pt idx="8">
                  <c:v>489.25</c:v>
                </c:pt>
                <c:pt idx="9">
                  <c:v>550.28125</c:v>
                </c:pt>
                <c:pt idx="10">
                  <c:v>611.3125</c:v>
                </c:pt>
                <c:pt idx="11">
                  <c:v>672.34375</c:v>
                </c:pt>
                <c:pt idx="12">
                  <c:v>733.375</c:v>
                </c:pt>
                <c:pt idx="13">
                  <c:v>794.40625</c:v>
                </c:pt>
                <c:pt idx="14">
                  <c:v>855.4375</c:v>
                </c:pt>
                <c:pt idx="15">
                  <c:v>916.46875</c:v>
                </c:pt>
                <c:pt idx="16">
                  <c:v>977.5</c:v>
                </c:pt>
                <c:pt idx="17">
                  <c:v>1038.53125</c:v>
                </c:pt>
                <c:pt idx="18">
                  <c:v>1099.5625</c:v>
                </c:pt>
                <c:pt idx="19">
                  <c:v>1160.59375</c:v>
                </c:pt>
                <c:pt idx="20">
                  <c:v>1221.625</c:v>
                </c:pt>
                <c:pt idx="21">
                  <c:v>1282.65625</c:v>
                </c:pt>
                <c:pt idx="22">
                  <c:v>1343.6875</c:v>
                </c:pt>
                <c:pt idx="23">
                  <c:v>1404.71875</c:v>
                </c:pt>
                <c:pt idx="24">
                  <c:v>1465.75</c:v>
                </c:pt>
                <c:pt idx="25">
                  <c:v>1526.78125</c:v>
                </c:pt>
                <c:pt idx="26">
                  <c:v>1587.8125</c:v>
                </c:pt>
                <c:pt idx="27">
                  <c:v>1648.84375</c:v>
                </c:pt>
                <c:pt idx="28">
                  <c:v>1709.875</c:v>
                </c:pt>
                <c:pt idx="29">
                  <c:v>1770.90625</c:v>
                </c:pt>
                <c:pt idx="30">
                  <c:v>1831.9375</c:v>
                </c:pt>
                <c:pt idx="31">
                  <c:v>1892.96875</c:v>
                </c:pt>
                <c:pt idx="32">
                  <c:v>1954</c:v>
                </c:pt>
                <c:pt idx="33">
                  <c:v>2015.03125</c:v>
                </c:pt>
                <c:pt idx="34">
                  <c:v>2076.0625</c:v>
                </c:pt>
                <c:pt idx="35">
                  <c:v>2137.09375</c:v>
                </c:pt>
                <c:pt idx="36">
                  <c:v>2198.125</c:v>
                </c:pt>
                <c:pt idx="37">
                  <c:v>2259.15625</c:v>
                </c:pt>
                <c:pt idx="38">
                  <c:v>2320.1875</c:v>
                </c:pt>
                <c:pt idx="39">
                  <c:v>2381.21875</c:v>
                </c:pt>
                <c:pt idx="40">
                  <c:v>2442.25</c:v>
                </c:pt>
                <c:pt idx="41">
                  <c:v>2503.28125</c:v>
                </c:pt>
                <c:pt idx="42">
                  <c:v>2564.3125</c:v>
                </c:pt>
                <c:pt idx="43">
                  <c:v>2625.34375</c:v>
                </c:pt>
                <c:pt idx="44">
                  <c:v>2686.375</c:v>
                </c:pt>
                <c:pt idx="45">
                  <c:v>2747.40625</c:v>
                </c:pt>
                <c:pt idx="46">
                  <c:v>2808.4375</c:v>
                </c:pt>
                <c:pt idx="47">
                  <c:v>2869.46875</c:v>
                </c:pt>
                <c:pt idx="48">
                  <c:v>2930.5</c:v>
                </c:pt>
                <c:pt idx="49">
                  <c:v>2991.53125</c:v>
                </c:pt>
                <c:pt idx="50">
                  <c:v>3052.5625</c:v>
                </c:pt>
                <c:pt idx="51">
                  <c:v>3113.59375</c:v>
                </c:pt>
                <c:pt idx="52">
                  <c:v>3174.625</c:v>
                </c:pt>
                <c:pt idx="53">
                  <c:v>3235.65625</c:v>
                </c:pt>
                <c:pt idx="54">
                  <c:v>3296.6875</c:v>
                </c:pt>
                <c:pt idx="55">
                  <c:v>3357.71875</c:v>
                </c:pt>
                <c:pt idx="56">
                  <c:v>3418.75</c:v>
                </c:pt>
                <c:pt idx="57">
                  <c:v>3479.78125</c:v>
                </c:pt>
                <c:pt idx="58">
                  <c:v>3540.8125</c:v>
                </c:pt>
                <c:pt idx="59">
                  <c:v>3601.84375</c:v>
                </c:pt>
                <c:pt idx="60">
                  <c:v>3662.875</c:v>
                </c:pt>
                <c:pt idx="61">
                  <c:v>3723.90625</c:v>
                </c:pt>
                <c:pt idx="62">
                  <c:v>3784.9375</c:v>
                </c:pt>
                <c:pt idx="63">
                  <c:v>3845.96875</c:v>
                </c:pt>
                <c:pt idx="64">
                  <c:v>3907</c:v>
                </c:pt>
                <c:pt idx="65">
                  <c:v>3968.03125</c:v>
                </c:pt>
                <c:pt idx="66">
                  <c:v>4029.0625</c:v>
                </c:pt>
                <c:pt idx="67">
                  <c:v>4090.09375</c:v>
                </c:pt>
                <c:pt idx="68">
                  <c:v>4151.125</c:v>
                </c:pt>
                <c:pt idx="69">
                  <c:v>4212.15625</c:v>
                </c:pt>
                <c:pt idx="70">
                  <c:v>4273.1875</c:v>
                </c:pt>
                <c:pt idx="71">
                  <c:v>4334.21875</c:v>
                </c:pt>
                <c:pt idx="72">
                  <c:v>4395.25</c:v>
                </c:pt>
                <c:pt idx="73">
                  <c:v>4456.28125</c:v>
                </c:pt>
                <c:pt idx="74">
                  <c:v>4517.3125</c:v>
                </c:pt>
                <c:pt idx="75">
                  <c:v>4578.34375</c:v>
                </c:pt>
                <c:pt idx="76">
                  <c:v>4639.375</c:v>
                </c:pt>
                <c:pt idx="77">
                  <c:v>4700.40625</c:v>
                </c:pt>
                <c:pt idx="78">
                  <c:v>4761.4375</c:v>
                </c:pt>
                <c:pt idx="79">
                  <c:v>4822.46875</c:v>
                </c:pt>
                <c:pt idx="80">
                  <c:v>4883.5</c:v>
                </c:pt>
                <c:pt idx="81">
                  <c:v>4944.53125</c:v>
                </c:pt>
                <c:pt idx="82">
                  <c:v>5005.5625</c:v>
                </c:pt>
                <c:pt idx="83">
                  <c:v>5066.59375</c:v>
                </c:pt>
                <c:pt idx="84">
                  <c:v>5127.625</c:v>
                </c:pt>
                <c:pt idx="85">
                  <c:v>5188.65625</c:v>
                </c:pt>
                <c:pt idx="86">
                  <c:v>5249.6875</c:v>
                </c:pt>
                <c:pt idx="87">
                  <c:v>5310.71875</c:v>
                </c:pt>
                <c:pt idx="88">
                  <c:v>5371.75</c:v>
                </c:pt>
                <c:pt idx="89">
                  <c:v>5432.78125</c:v>
                </c:pt>
                <c:pt idx="90">
                  <c:v>5493.8125</c:v>
                </c:pt>
                <c:pt idx="91">
                  <c:v>5554.84375</c:v>
                </c:pt>
                <c:pt idx="92">
                  <c:v>5615.875</c:v>
                </c:pt>
                <c:pt idx="93">
                  <c:v>5676.90625</c:v>
                </c:pt>
                <c:pt idx="94">
                  <c:v>5737.9375</c:v>
                </c:pt>
                <c:pt idx="95">
                  <c:v>5798.96875</c:v>
                </c:pt>
                <c:pt idx="96">
                  <c:v>5860</c:v>
                </c:pt>
                <c:pt idx="97">
                  <c:v>5921.03125</c:v>
                </c:pt>
                <c:pt idx="98">
                  <c:v>5982.0625</c:v>
                </c:pt>
                <c:pt idx="99">
                  <c:v>6043.09375</c:v>
                </c:pt>
                <c:pt idx="100">
                  <c:v>6104.125</c:v>
                </c:pt>
                <c:pt idx="101">
                  <c:v>6165.15625</c:v>
                </c:pt>
                <c:pt idx="102">
                  <c:v>6226.1875</c:v>
                </c:pt>
                <c:pt idx="103">
                  <c:v>6287.21875</c:v>
                </c:pt>
                <c:pt idx="104">
                  <c:v>6348.25</c:v>
                </c:pt>
                <c:pt idx="105">
                  <c:v>6409.28125</c:v>
                </c:pt>
                <c:pt idx="106">
                  <c:v>6470.3125</c:v>
                </c:pt>
                <c:pt idx="107">
                  <c:v>6531.34375</c:v>
                </c:pt>
                <c:pt idx="108">
                  <c:v>6592.375</c:v>
                </c:pt>
                <c:pt idx="109">
                  <c:v>6653.40625</c:v>
                </c:pt>
                <c:pt idx="110">
                  <c:v>6714.4375</c:v>
                </c:pt>
                <c:pt idx="111">
                  <c:v>6775.46875</c:v>
                </c:pt>
                <c:pt idx="112">
                  <c:v>6836.5</c:v>
                </c:pt>
                <c:pt idx="113">
                  <c:v>6897.53125</c:v>
                </c:pt>
                <c:pt idx="114">
                  <c:v>6958.5625</c:v>
                </c:pt>
                <c:pt idx="115">
                  <c:v>7019.59375</c:v>
                </c:pt>
                <c:pt idx="116">
                  <c:v>7080.625</c:v>
                </c:pt>
                <c:pt idx="117">
                  <c:v>7141.65625</c:v>
                </c:pt>
                <c:pt idx="118">
                  <c:v>7202.6875</c:v>
                </c:pt>
                <c:pt idx="119">
                  <c:v>7263.71875</c:v>
                </c:pt>
                <c:pt idx="120">
                  <c:v>7324.75</c:v>
                </c:pt>
                <c:pt idx="121">
                  <c:v>7385.78125</c:v>
                </c:pt>
                <c:pt idx="122">
                  <c:v>7446.8125</c:v>
                </c:pt>
                <c:pt idx="123">
                  <c:v>7507.84375</c:v>
                </c:pt>
                <c:pt idx="124">
                  <c:v>7568.875</c:v>
                </c:pt>
                <c:pt idx="125">
                  <c:v>7629.90625</c:v>
                </c:pt>
                <c:pt idx="126">
                  <c:v>7690.9375</c:v>
                </c:pt>
                <c:pt idx="127">
                  <c:v>7751.96875</c:v>
                </c:pt>
              </c:numCache>
            </c:numRef>
          </c:xVal>
          <c:yVal>
            <c:numRef>
              <c:f>data!$B$57:$DY$57</c:f>
              <c:numCache>
                <c:formatCode>General</c:formatCode>
                <c:ptCount val="128"/>
                <c:pt idx="0">
                  <c:v>401.02495369673102</c:v>
                </c:pt>
                <c:pt idx="1">
                  <c:v>97.990374818325293</c:v>
                </c:pt>
                <c:pt idx="2">
                  <c:v>93.359651057441496</c:v>
                </c:pt>
                <c:pt idx="3">
                  <c:v>92.7174517589945</c:v>
                </c:pt>
                <c:pt idx="4">
                  <c:v>93.428678071965393</c:v>
                </c:pt>
                <c:pt idx="5">
                  <c:v>99.375548024787904</c:v>
                </c:pt>
                <c:pt idx="6">
                  <c:v>102.9947656819612</c:v>
                </c:pt>
                <c:pt idx="7">
                  <c:v>98.792765802925103</c:v>
                </c:pt>
                <c:pt idx="8">
                  <c:v>99.8403569909119</c:v>
                </c:pt>
                <c:pt idx="9">
                  <c:v>90.411156611074887</c:v>
                </c:pt>
                <c:pt idx="10">
                  <c:v>90.028079215123256</c:v>
                </c:pt>
                <c:pt idx="11">
                  <c:v>86.476992412372809</c:v>
                </c:pt>
                <c:pt idx="12">
                  <c:v>87.920424643369643</c:v>
                </c:pt>
                <c:pt idx="13">
                  <c:v>87.227637319790986</c:v>
                </c:pt>
                <c:pt idx="14">
                  <c:v>89.438107387493631</c:v>
                </c:pt>
                <c:pt idx="15">
                  <c:v>90.624800085692755</c:v>
                </c:pt>
                <c:pt idx="16">
                  <c:v>95.17735725311438</c:v>
                </c:pt>
                <c:pt idx="17">
                  <c:v>88.804504972364029</c:v>
                </c:pt>
                <c:pt idx="18">
                  <c:v>87.821813916582599</c:v>
                </c:pt>
                <c:pt idx="19">
                  <c:v>84.578714810277603</c:v>
                </c:pt>
                <c:pt idx="20">
                  <c:v>83.257490641570797</c:v>
                </c:pt>
                <c:pt idx="21">
                  <c:v>83.048405065508106</c:v>
                </c:pt>
                <c:pt idx="22">
                  <c:v>82.735770854899314</c:v>
                </c:pt>
                <c:pt idx="23">
                  <c:v>81.21610926334985</c:v>
                </c:pt>
                <c:pt idx="24">
                  <c:v>79.037175537133578</c:v>
                </c:pt>
                <c:pt idx="25">
                  <c:v>77.510053528968513</c:v>
                </c:pt>
                <c:pt idx="26">
                  <c:v>77.447243921791539</c:v>
                </c:pt>
                <c:pt idx="27">
                  <c:v>76.484020442501148</c:v>
                </c:pt>
                <c:pt idx="28">
                  <c:v>75.486225574320883</c:v>
                </c:pt>
                <c:pt idx="29">
                  <c:v>75.122370324953422</c:v>
                </c:pt>
                <c:pt idx="30">
                  <c:v>74.405723210058667</c:v>
                </c:pt>
                <c:pt idx="31">
                  <c:v>73.473136856266805</c:v>
                </c:pt>
                <c:pt idx="32">
                  <c:v>73.228309054697661</c:v>
                </c:pt>
                <c:pt idx="33">
                  <c:v>72.028420972353558</c:v>
                </c:pt>
                <c:pt idx="34">
                  <c:v>71.174932778461752</c:v>
                </c:pt>
                <c:pt idx="35">
                  <c:v>70.644073272746638</c:v>
                </c:pt>
                <c:pt idx="36">
                  <c:v>70.451408004578539</c:v>
                </c:pt>
                <c:pt idx="37">
                  <c:v>71.797458880156839</c:v>
                </c:pt>
                <c:pt idx="38">
                  <c:v>72.148341167427844</c:v>
                </c:pt>
                <c:pt idx="39">
                  <c:v>69.399561468662057</c:v>
                </c:pt>
                <c:pt idx="40">
                  <c:v>67.175930782715369</c:v>
                </c:pt>
                <c:pt idx="41">
                  <c:v>65.783749279571381</c:v>
                </c:pt>
                <c:pt idx="42">
                  <c:v>65.408223885168198</c:v>
                </c:pt>
                <c:pt idx="43">
                  <c:v>64.925658879037499</c:v>
                </c:pt>
                <c:pt idx="44">
                  <c:v>64.537630492400723</c:v>
                </c:pt>
                <c:pt idx="45">
                  <c:v>64.14609762912383</c:v>
                </c:pt>
                <c:pt idx="46">
                  <c:v>64.036566226747738</c:v>
                </c:pt>
                <c:pt idx="47">
                  <c:v>63.926930057274504</c:v>
                </c:pt>
                <c:pt idx="48">
                  <c:v>62.977908430788972</c:v>
                </c:pt>
                <c:pt idx="49">
                  <c:v>62.746467876520327</c:v>
                </c:pt>
                <c:pt idx="50">
                  <c:v>61.728952328506594</c:v>
                </c:pt>
                <c:pt idx="51">
                  <c:v>60.769935560525056</c:v>
                </c:pt>
                <c:pt idx="52">
                  <c:v>59.911017544891422</c:v>
                </c:pt>
                <c:pt idx="53">
                  <c:v>59.101018994598981</c:v>
                </c:pt>
                <c:pt idx="54">
                  <c:v>58.077443346503841</c:v>
                </c:pt>
                <c:pt idx="55">
                  <c:v>57.036021004682809</c:v>
                </c:pt>
                <c:pt idx="56">
                  <c:v>56.281545085845224</c:v>
                </c:pt>
                <c:pt idx="57">
                  <c:v>55.938307726919795</c:v>
                </c:pt>
                <c:pt idx="58">
                  <c:v>55.566414915271672</c:v>
                </c:pt>
                <c:pt idx="59">
                  <c:v>55.056313408729537</c:v>
                </c:pt>
                <c:pt idx="60">
                  <c:v>54.620538670772916</c:v>
                </c:pt>
                <c:pt idx="61">
                  <c:v>54.285531875549687</c:v>
                </c:pt>
                <c:pt idx="62">
                  <c:v>53.940003880672364</c:v>
                </c:pt>
                <c:pt idx="63">
                  <c:v>53.559932432491131</c:v>
                </c:pt>
                <c:pt idx="64">
                  <c:v>53.490637456766308</c:v>
                </c:pt>
                <c:pt idx="65">
                  <c:v>53.375464812072984</c:v>
                </c:pt>
                <c:pt idx="66">
                  <c:v>52.906172842667651</c:v>
                </c:pt>
                <c:pt idx="67">
                  <c:v>52.323384438672321</c:v>
                </c:pt>
                <c:pt idx="68">
                  <c:v>51.736897036705678</c:v>
                </c:pt>
                <c:pt idx="69">
                  <c:v>51.504209560878039</c:v>
                </c:pt>
                <c:pt idx="70">
                  <c:v>51.604842669178595</c:v>
                </c:pt>
                <c:pt idx="71">
                  <c:v>52.142365245228461</c:v>
                </c:pt>
                <c:pt idx="72">
                  <c:v>53.14433033623272</c:v>
                </c:pt>
                <c:pt idx="73">
                  <c:v>54.364399068730179</c:v>
                </c:pt>
                <c:pt idx="74">
                  <c:v>55.947272295343538</c:v>
                </c:pt>
                <c:pt idx="75">
                  <c:v>59.020090252461102</c:v>
                </c:pt>
                <c:pt idx="76">
                  <c:v>61.548690600421864</c:v>
                </c:pt>
                <c:pt idx="77">
                  <c:v>59.604612615414624</c:v>
                </c:pt>
                <c:pt idx="78">
                  <c:v>60.514298641770978</c:v>
                </c:pt>
                <c:pt idx="79">
                  <c:v>62.738709104107542</c:v>
                </c:pt>
                <c:pt idx="80">
                  <c:v>62.051112782564601</c:v>
                </c:pt>
                <c:pt idx="81">
                  <c:v>60.407530634978755</c:v>
                </c:pt>
                <c:pt idx="82">
                  <c:v>58.989798394382021</c:v>
                </c:pt>
                <c:pt idx="83">
                  <c:v>58.850260705835581</c:v>
                </c:pt>
                <c:pt idx="84">
                  <c:v>59.766782630798346</c:v>
                </c:pt>
                <c:pt idx="85">
                  <c:v>61.33754974524836</c:v>
                </c:pt>
                <c:pt idx="86">
                  <c:v>63.043316377517478</c:v>
                </c:pt>
                <c:pt idx="87">
                  <c:v>65.314190442384202</c:v>
                </c:pt>
                <c:pt idx="88">
                  <c:v>71.537820066876122</c:v>
                </c:pt>
                <c:pt idx="89">
                  <c:v>77.285610203721149</c:v>
                </c:pt>
                <c:pt idx="90">
                  <c:v>76.048321424239361</c:v>
                </c:pt>
                <c:pt idx="91">
                  <c:v>72.940921326016777</c:v>
                </c:pt>
                <c:pt idx="92">
                  <c:v>71.024376814127706</c:v>
                </c:pt>
                <c:pt idx="93">
                  <c:v>70.074074417475416</c:v>
                </c:pt>
                <c:pt idx="94">
                  <c:v>69.406467730734434</c:v>
                </c:pt>
                <c:pt idx="95">
                  <c:v>70.826767161259852</c:v>
                </c:pt>
                <c:pt idx="96">
                  <c:v>70.841682740696584</c:v>
                </c:pt>
                <c:pt idx="97">
                  <c:v>68.257744294944899</c:v>
                </c:pt>
                <c:pt idx="98">
                  <c:v>66.850281687799225</c:v>
                </c:pt>
                <c:pt idx="99">
                  <c:v>65.872729307945136</c:v>
                </c:pt>
                <c:pt idx="100">
                  <c:v>66.258491095892552</c:v>
                </c:pt>
                <c:pt idx="101">
                  <c:v>66.825150873254472</c:v>
                </c:pt>
                <c:pt idx="102">
                  <c:v>67.264058117255288</c:v>
                </c:pt>
                <c:pt idx="103">
                  <c:v>66.683575014081711</c:v>
                </c:pt>
                <c:pt idx="104">
                  <c:v>66.365666527851928</c:v>
                </c:pt>
                <c:pt idx="105">
                  <c:v>66.094839818362601</c:v>
                </c:pt>
                <c:pt idx="106">
                  <c:v>65.883582889186897</c:v>
                </c:pt>
                <c:pt idx="107">
                  <c:v>65.408675810710903</c:v>
                </c:pt>
                <c:pt idx="108">
                  <c:v>65.118308501663506</c:v>
                </c:pt>
                <c:pt idx="109">
                  <c:v>64.596735371598896</c:v>
                </c:pt>
                <c:pt idx="110">
                  <c:v>64.484576549021909</c:v>
                </c:pt>
                <c:pt idx="111">
                  <c:v>64.865368536592101</c:v>
                </c:pt>
                <c:pt idx="112">
                  <c:v>65.632768425058899</c:v>
                </c:pt>
                <c:pt idx="113">
                  <c:v>66.220108077906502</c:v>
                </c:pt>
                <c:pt idx="114">
                  <c:v>67.140392676502898</c:v>
                </c:pt>
                <c:pt idx="115">
                  <c:v>68.596594330983493</c:v>
                </c:pt>
                <c:pt idx="116">
                  <c:v>70.054649834825298</c:v>
                </c:pt>
                <c:pt idx="117">
                  <c:v>72.526090627055297</c:v>
                </c:pt>
                <c:pt idx="118">
                  <c:v>75.046271746136298</c:v>
                </c:pt>
                <c:pt idx="119">
                  <c:v>79.156922079593897</c:v>
                </c:pt>
                <c:pt idx="120">
                  <c:v>80.064133523140399</c:v>
                </c:pt>
                <c:pt idx="121">
                  <c:v>78.025005401189304</c:v>
                </c:pt>
                <c:pt idx="122">
                  <c:v>76.009730122835606</c:v>
                </c:pt>
                <c:pt idx="123">
                  <c:v>74.278641419249595</c:v>
                </c:pt>
                <c:pt idx="124">
                  <c:v>75.531173814461795</c:v>
                </c:pt>
                <c:pt idx="125">
                  <c:v>77.897233655167</c:v>
                </c:pt>
                <c:pt idx="126">
                  <c:v>75.551020219879504</c:v>
                </c:pt>
                <c:pt idx="127">
                  <c:v>73.540007610720593</c:v>
                </c:pt>
              </c:numCache>
            </c:numRef>
          </c:yVal>
          <c:smooth val="1"/>
        </c:ser>
        <c:ser>
          <c:idx val="26"/>
          <c:order val="26"/>
          <c:tx>
            <c:strRef>
              <c:f>import!$A$8</c:f>
              <c:strCache>
                <c:ptCount val="1"/>
                <c:pt idx="0">
                  <c:v>IG</c:v>
                </c:pt>
              </c:strCache>
            </c:strRef>
          </c:tx>
          <c:spPr>
            <a:ln w="2540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import!$B$8:$J$8</c:f>
              <c:numCache>
                <c:formatCode>General</c:formatCode>
                <c:ptCount val="9"/>
                <c:pt idx="0">
                  <c:v>250</c:v>
                </c:pt>
                <c:pt idx="1">
                  <c:v>500</c:v>
                </c:pt>
                <c:pt idx="2">
                  <c:v>750</c:v>
                </c:pt>
                <c:pt idx="3">
                  <c:v>1000</c:v>
                </c:pt>
                <c:pt idx="4">
                  <c:v>1500</c:v>
                </c:pt>
                <c:pt idx="5">
                  <c:v>2000</c:v>
                </c:pt>
                <c:pt idx="6">
                  <c:v>3000</c:v>
                </c:pt>
                <c:pt idx="7">
                  <c:v>4000</c:v>
                </c:pt>
                <c:pt idx="8">
                  <c:v>6000</c:v>
                </c:pt>
              </c:numCache>
            </c:numRef>
          </c:xVal>
          <c:yVal>
            <c:numRef>
              <c:f>import!$B$9:$K$9</c:f>
              <c:numCache>
                <c:formatCode>General</c:formatCode>
                <c:ptCount val="10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47</c:v>
                </c:pt>
                <c:pt idx="7">
                  <c:v>47</c:v>
                </c:pt>
                <c:pt idx="8">
                  <c:v>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356048"/>
        <c:axId val="490354480"/>
      </c:scatterChart>
      <c:valAx>
        <c:axId val="490356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54480"/>
        <c:crosses val="autoZero"/>
        <c:crossBetween val="midCat"/>
      </c:valAx>
      <c:valAx>
        <c:axId val="490354480"/>
        <c:scaling>
          <c:orientation val="minMax"/>
          <c:max val="1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56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59</xdr:row>
      <xdr:rowOff>0</xdr:rowOff>
    </xdr:from>
    <xdr:to>
      <xdr:col>15</xdr:col>
      <xdr:colOff>0</xdr:colOff>
      <xdr:row>96</xdr:row>
      <xdr:rowOff>38100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20</xdr:row>
          <xdr:rowOff>180975</xdr:rowOff>
        </xdr:from>
        <xdr:to>
          <xdr:col>6</xdr:col>
          <xdr:colOff>628650</xdr:colOff>
          <xdr:row>23</xdr:row>
          <xdr:rowOff>123825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mp_1" connectionId="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temp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Y57"/>
  <sheetViews>
    <sheetView tabSelected="1" topLeftCell="A55" workbookViewId="0">
      <selection activeCell="M56" sqref="M56"/>
    </sheetView>
  </sheetViews>
  <sheetFormatPr defaultRowHeight="15" x14ac:dyDescent="0.25"/>
  <sheetData>
    <row r="1" spans="1:129" x14ac:dyDescent="0.25">
      <c r="A1" s="10" t="s">
        <v>15</v>
      </c>
    </row>
    <row r="2" spans="1:129" x14ac:dyDescent="0.25">
      <c r="A2" t="s">
        <v>16</v>
      </c>
      <c r="B2">
        <v>1</v>
      </c>
      <c r="C2">
        <v>62.03125</v>
      </c>
      <c r="D2">
        <v>123.0625</v>
      </c>
      <c r="E2">
        <v>184.09375</v>
      </c>
      <c r="F2">
        <v>245.125</v>
      </c>
      <c r="G2">
        <v>306.15625</v>
      </c>
      <c r="H2">
        <v>367.1875</v>
      </c>
      <c r="I2">
        <v>428.21875</v>
      </c>
      <c r="J2">
        <v>489.25</v>
      </c>
      <c r="K2">
        <v>550.28125</v>
      </c>
      <c r="L2">
        <v>611.3125</v>
      </c>
      <c r="M2">
        <v>672.34375</v>
      </c>
      <c r="N2">
        <v>733.375</v>
      </c>
      <c r="O2">
        <v>794.40625</v>
      </c>
      <c r="P2">
        <v>855.4375</v>
      </c>
      <c r="Q2">
        <v>916.46875</v>
      </c>
      <c r="R2">
        <v>977.5</v>
      </c>
      <c r="S2">
        <v>1038.53125</v>
      </c>
      <c r="T2">
        <v>1099.5625</v>
      </c>
      <c r="U2">
        <v>1160.59375</v>
      </c>
      <c r="V2">
        <v>1221.625</v>
      </c>
      <c r="W2">
        <v>1282.65625</v>
      </c>
      <c r="X2">
        <v>1343.6875</v>
      </c>
      <c r="Y2">
        <v>1404.71875</v>
      </c>
      <c r="Z2">
        <v>1465.75</v>
      </c>
      <c r="AA2">
        <v>1526.78125</v>
      </c>
      <c r="AB2">
        <v>1587.8125</v>
      </c>
      <c r="AC2">
        <v>1648.84375</v>
      </c>
      <c r="AD2">
        <v>1709.875</v>
      </c>
      <c r="AE2">
        <v>1770.90625</v>
      </c>
      <c r="AF2">
        <v>1831.9375</v>
      </c>
      <c r="AG2">
        <v>1892.96875</v>
      </c>
      <c r="AH2">
        <v>1954</v>
      </c>
      <c r="AI2">
        <v>2015.03125</v>
      </c>
      <c r="AJ2">
        <v>2076.0625</v>
      </c>
      <c r="AK2">
        <v>2137.09375</v>
      </c>
      <c r="AL2">
        <v>2198.125</v>
      </c>
      <c r="AM2">
        <v>2259.15625</v>
      </c>
      <c r="AN2">
        <v>2320.1875</v>
      </c>
      <c r="AO2">
        <v>2381.21875</v>
      </c>
      <c r="AP2">
        <v>2442.25</v>
      </c>
      <c r="AQ2">
        <v>2503.28125</v>
      </c>
      <c r="AR2">
        <v>2564.3125</v>
      </c>
      <c r="AS2">
        <v>2625.34375</v>
      </c>
      <c r="AT2">
        <v>2686.375</v>
      </c>
      <c r="AU2">
        <v>2747.40625</v>
      </c>
      <c r="AV2">
        <v>2808.4375</v>
      </c>
      <c r="AW2">
        <v>2869.46875</v>
      </c>
      <c r="AX2">
        <v>2930.5</v>
      </c>
      <c r="AY2">
        <v>2991.53125</v>
      </c>
      <c r="AZ2">
        <v>3052.5625</v>
      </c>
      <c r="BA2">
        <v>3113.59375</v>
      </c>
      <c r="BB2">
        <v>3174.625</v>
      </c>
      <c r="BC2">
        <v>3235.65625</v>
      </c>
      <c r="BD2">
        <v>3296.6875</v>
      </c>
      <c r="BE2">
        <v>3357.71875</v>
      </c>
      <c r="BF2">
        <v>3418.75</v>
      </c>
      <c r="BG2">
        <v>3479.78125</v>
      </c>
      <c r="BH2">
        <v>3540.8125</v>
      </c>
      <c r="BI2">
        <v>3601.84375</v>
      </c>
      <c r="BJ2">
        <v>3662.875</v>
      </c>
      <c r="BK2">
        <v>3723.90625</v>
      </c>
      <c r="BL2">
        <v>3784.9375</v>
      </c>
      <c r="BM2">
        <v>3845.96875</v>
      </c>
      <c r="BN2">
        <v>3907</v>
      </c>
      <c r="BO2">
        <v>3968.03125</v>
      </c>
      <c r="BP2">
        <v>4029.0625</v>
      </c>
      <c r="BQ2">
        <v>4090.09375</v>
      </c>
      <c r="BR2">
        <v>4151.125</v>
      </c>
      <c r="BS2">
        <v>4212.15625</v>
      </c>
      <c r="BT2">
        <v>4273.1875</v>
      </c>
      <c r="BU2">
        <v>4334.21875</v>
      </c>
      <c r="BV2">
        <v>4395.25</v>
      </c>
      <c r="BW2">
        <v>4456.28125</v>
      </c>
      <c r="BX2">
        <v>4517.3125</v>
      </c>
      <c r="BY2">
        <v>4578.34375</v>
      </c>
      <c r="BZ2">
        <v>4639.375</v>
      </c>
      <c r="CA2">
        <v>4700.40625</v>
      </c>
      <c r="CB2">
        <v>4761.4375</v>
      </c>
      <c r="CC2">
        <v>4822.46875</v>
      </c>
      <c r="CD2">
        <v>4883.5</v>
      </c>
      <c r="CE2">
        <v>4944.53125</v>
      </c>
      <c r="CF2">
        <v>5005.5625</v>
      </c>
      <c r="CG2">
        <v>5066.59375</v>
      </c>
      <c r="CH2">
        <v>5127.625</v>
      </c>
      <c r="CI2">
        <v>5188.65625</v>
      </c>
      <c r="CJ2">
        <v>5249.6875</v>
      </c>
      <c r="CK2">
        <v>5310.71875</v>
      </c>
      <c r="CL2">
        <v>5371.75</v>
      </c>
      <c r="CM2">
        <v>5432.78125</v>
      </c>
      <c r="CN2">
        <v>5493.8125</v>
      </c>
      <c r="CO2">
        <v>5554.84375</v>
      </c>
      <c r="CP2">
        <v>5615.875</v>
      </c>
      <c r="CQ2">
        <v>5676.90625</v>
      </c>
      <c r="CR2">
        <v>5737.9375</v>
      </c>
      <c r="CS2">
        <v>5798.96875</v>
      </c>
      <c r="CT2">
        <v>5860</v>
      </c>
      <c r="CU2">
        <v>5921.03125</v>
      </c>
      <c r="CV2">
        <v>5982.0625</v>
      </c>
      <c r="CW2">
        <v>6043.09375</v>
      </c>
      <c r="CX2">
        <v>6104.125</v>
      </c>
      <c r="CY2">
        <v>6165.15625</v>
      </c>
      <c r="CZ2">
        <v>6226.1875</v>
      </c>
      <c r="DA2">
        <v>6287.21875</v>
      </c>
      <c r="DB2">
        <v>6348.25</v>
      </c>
      <c r="DC2">
        <v>6409.28125</v>
      </c>
      <c r="DD2">
        <v>6470.3125</v>
      </c>
      <c r="DE2">
        <v>6531.34375</v>
      </c>
      <c r="DF2">
        <v>6592.375</v>
      </c>
      <c r="DG2">
        <v>6653.40625</v>
      </c>
      <c r="DH2">
        <v>6714.4375</v>
      </c>
      <c r="DI2">
        <v>6775.46875</v>
      </c>
      <c r="DJ2">
        <v>6836.5</v>
      </c>
      <c r="DK2">
        <v>6897.53125</v>
      </c>
      <c r="DL2">
        <v>6958.5625</v>
      </c>
      <c r="DM2">
        <v>7019.59375</v>
      </c>
      <c r="DN2">
        <v>7080.625</v>
      </c>
      <c r="DO2">
        <v>7141.65625</v>
      </c>
      <c r="DP2">
        <v>7202.6875</v>
      </c>
      <c r="DQ2">
        <v>7263.71875</v>
      </c>
      <c r="DR2">
        <v>7324.75</v>
      </c>
      <c r="DS2">
        <v>7385.78125</v>
      </c>
      <c r="DT2">
        <v>7446.8125</v>
      </c>
      <c r="DU2">
        <v>7507.84375</v>
      </c>
      <c r="DV2">
        <v>7568.875</v>
      </c>
      <c r="DW2">
        <v>7629.90625</v>
      </c>
      <c r="DX2">
        <v>7690.9375</v>
      </c>
      <c r="DY2">
        <v>7751.96875</v>
      </c>
    </row>
    <row r="3" spans="1:129" x14ac:dyDescent="0.25">
      <c r="A3" t="s">
        <v>17</v>
      </c>
      <c r="B3" t="s">
        <v>19</v>
      </c>
      <c r="C3" t="s">
        <v>20</v>
      </c>
      <c r="D3" t="s">
        <v>21</v>
      </c>
      <c r="E3" t="s">
        <v>22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K3" t="s">
        <v>28</v>
      </c>
      <c r="L3" t="s">
        <v>29</v>
      </c>
      <c r="M3" t="s">
        <v>30</v>
      </c>
      <c r="N3" t="s">
        <v>31</v>
      </c>
      <c r="O3" t="s">
        <v>32</v>
      </c>
      <c r="P3" t="s">
        <v>33</v>
      </c>
      <c r="Q3" t="s">
        <v>34</v>
      </c>
      <c r="R3" t="s">
        <v>35</v>
      </c>
      <c r="S3" t="s">
        <v>36</v>
      </c>
      <c r="T3" t="s">
        <v>37</v>
      </c>
      <c r="U3" t="s">
        <v>38</v>
      </c>
      <c r="V3" t="s">
        <v>39</v>
      </c>
      <c r="W3" t="s">
        <v>40</v>
      </c>
      <c r="X3" t="s">
        <v>41</v>
      </c>
      <c r="Y3" t="s">
        <v>42</v>
      </c>
      <c r="Z3" t="s">
        <v>43</v>
      </c>
      <c r="AA3" t="s">
        <v>44</v>
      </c>
      <c r="AB3" t="s">
        <v>45</v>
      </c>
      <c r="AC3" t="s">
        <v>46</v>
      </c>
      <c r="AD3" t="s">
        <v>47</v>
      </c>
      <c r="AE3" t="s">
        <v>48</v>
      </c>
      <c r="AF3" t="s">
        <v>49</v>
      </c>
      <c r="AG3" t="s">
        <v>50</v>
      </c>
      <c r="AH3" t="s">
        <v>51</v>
      </c>
      <c r="AI3" t="s">
        <v>52</v>
      </c>
      <c r="AJ3" t="s">
        <v>53</v>
      </c>
      <c r="AK3" t="s">
        <v>54</v>
      </c>
      <c r="AL3" t="s">
        <v>55</v>
      </c>
      <c r="AM3" t="s">
        <v>56</v>
      </c>
      <c r="AN3" t="s">
        <v>57</v>
      </c>
      <c r="AO3" t="s">
        <v>58</v>
      </c>
      <c r="AP3" t="s">
        <v>59</v>
      </c>
      <c r="AQ3" t="s">
        <v>60</v>
      </c>
      <c r="AR3" t="s">
        <v>61</v>
      </c>
      <c r="AS3" t="s">
        <v>62</v>
      </c>
      <c r="AT3" t="s">
        <v>63</v>
      </c>
      <c r="AU3" t="s">
        <v>64</v>
      </c>
      <c r="AV3" t="s">
        <v>65</v>
      </c>
      <c r="AW3" t="s">
        <v>66</v>
      </c>
      <c r="AX3" t="s">
        <v>67</v>
      </c>
      <c r="AY3" t="s">
        <v>68</v>
      </c>
      <c r="AZ3" t="s">
        <v>69</v>
      </c>
      <c r="BA3" t="s">
        <v>70</v>
      </c>
      <c r="BB3" t="s">
        <v>71</v>
      </c>
      <c r="BC3" t="s">
        <v>72</v>
      </c>
      <c r="BD3" t="s">
        <v>73</v>
      </c>
      <c r="BE3" t="s">
        <v>74</v>
      </c>
      <c r="BF3" t="s">
        <v>75</v>
      </c>
      <c r="BG3" t="s">
        <v>76</v>
      </c>
      <c r="BH3" t="s">
        <v>77</v>
      </c>
      <c r="BI3" t="s">
        <v>78</v>
      </c>
      <c r="BJ3" t="s">
        <v>79</v>
      </c>
      <c r="BK3" t="s">
        <v>80</v>
      </c>
      <c r="BL3" t="s">
        <v>81</v>
      </c>
      <c r="BM3" t="s">
        <v>82</v>
      </c>
      <c r="BN3" t="s">
        <v>83</v>
      </c>
      <c r="BO3" t="s">
        <v>84</v>
      </c>
      <c r="BP3" t="s">
        <v>85</v>
      </c>
      <c r="BQ3" t="s">
        <v>86</v>
      </c>
      <c r="BR3" t="s">
        <v>87</v>
      </c>
      <c r="BS3" t="s">
        <v>88</v>
      </c>
      <c r="BT3" t="s">
        <v>89</v>
      </c>
      <c r="BU3" t="s">
        <v>90</v>
      </c>
      <c r="BV3" t="s">
        <v>91</v>
      </c>
      <c r="BW3" t="s">
        <v>92</v>
      </c>
      <c r="BX3" t="s">
        <v>93</v>
      </c>
      <c r="BY3" t="s">
        <v>94</v>
      </c>
      <c r="BZ3" t="s">
        <v>95</v>
      </c>
      <c r="CA3" t="s">
        <v>96</v>
      </c>
      <c r="CB3" t="s">
        <v>97</v>
      </c>
      <c r="CC3" t="s">
        <v>98</v>
      </c>
      <c r="CD3" t="s">
        <v>99</v>
      </c>
      <c r="CE3" t="s">
        <v>100</v>
      </c>
      <c r="CF3" t="s">
        <v>101</v>
      </c>
      <c r="CG3" t="s">
        <v>102</v>
      </c>
      <c r="CH3" t="s">
        <v>103</v>
      </c>
      <c r="CI3" t="s">
        <v>104</v>
      </c>
      <c r="CJ3" t="s">
        <v>105</v>
      </c>
      <c r="CK3" t="s">
        <v>106</v>
      </c>
      <c r="CL3" t="s">
        <v>107</v>
      </c>
      <c r="CM3" t="s">
        <v>108</v>
      </c>
      <c r="CN3" t="s">
        <v>109</v>
      </c>
      <c r="CO3" t="s">
        <v>110</v>
      </c>
      <c r="CP3" t="s">
        <v>111</v>
      </c>
      <c r="CQ3" t="s">
        <v>112</v>
      </c>
      <c r="CR3" t="s">
        <v>113</v>
      </c>
      <c r="CS3" t="s">
        <v>114</v>
      </c>
      <c r="CT3" t="s">
        <v>115</v>
      </c>
      <c r="CU3" t="s">
        <v>116</v>
      </c>
      <c r="CV3" t="s">
        <v>117</v>
      </c>
      <c r="CW3" t="s">
        <v>118</v>
      </c>
      <c r="CX3" t="s">
        <v>119</v>
      </c>
      <c r="CY3" t="s">
        <v>120</v>
      </c>
      <c r="CZ3" t="s">
        <v>121</v>
      </c>
      <c r="DA3" t="s">
        <v>122</v>
      </c>
      <c r="DB3" t="s">
        <v>123</v>
      </c>
      <c r="DC3" t="s">
        <v>124</v>
      </c>
      <c r="DD3" t="s">
        <v>125</v>
      </c>
      <c r="DE3" t="s">
        <v>126</v>
      </c>
      <c r="DF3" t="s">
        <v>127</v>
      </c>
      <c r="DG3" t="s">
        <v>128</v>
      </c>
      <c r="DH3" t="s">
        <v>129</v>
      </c>
      <c r="DI3" t="s">
        <v>130</v>
      </c>
      <c r="DJ3" t="s">
        <v>131</v>
      </c>
      <c r="DK3" t="s">
        <v>132</v>
      </c>
      <c r="DL3" t="s">
        <v>133</v>
      </c>
      <c r="DM3" t="s">
        <v>134</v>
      </c>
      <c r="DN3" t="s">
        <v>135</v>
      </c>
      <c r="DO3" t="s">
        <v>136</v>
      </c>
      <c r="DP3" t="s">
        <v>137</v>
      </c>
      <c r="DQ3" t="s">
        <v>138</v>
      </c>
      <c r="DR3" t="s">
        <v>139</v>
      </c>
      <c r="DS3" t="s">
        <v>140</v>
      </c>
      <c r="DT3" t="s">
        <v>141</v>
      </c>
      <c r="DU3" t="s">
        <v>142</v>
      </c>
      <c r="DV3" t="s">
        <v>143</v>
      </c>
      <c r="DW3" t="s">
        <v>144</v>
      </c>
      <c r="DX3" t="s">
        <v>145</v>
      </c>
      <c r="DY3" t="s">
        <v>146</v>
      </c>
    </row>
    <row r="4" spans="1:129" x14ac:dyDescent="0.25">
      <c r="A4" t="s">
        <v>18</v>
      </c>
      <c r="B4" t="s">
        <v>147</v>
      </c>
      <c r="C4" t="s">
        <v>148</v>
      </c>
      <c r="D4" t="s">
        <v>149</v>
      </c>
      <c r="E4" t="s">
        <v>150</v>
      </c>
      <c r="F4" t="s">
        <v>151</v>
      </c>
      <c r="G4" t="s">
        <v>152</v>
      </c>
      <c r="H4" t="s">
        <v>153</v>
      </c>
      <c r="I4" t="s">
        <v>154</v>
      </c>
      <c r="J4" t="s">
        <v>155</v>
      </c>
      <c r="K4" t="s">
        <v>156</v>
      </c>
      <c r="L4" t="s">
        <v>157</v>
      </c>
      <c r="M4" t="s">
        <v>158</v>
      </c>
      <c r="N4" t="s">
        <v>159</v>
      </c>
      <c r="O4" t="s">
        <v>160</v>
      </c>
      <c r="P4" t="s">
        <v>161</v>
      </c>
      <c r="Q4" t="s">
        <v>162</v>
      </c>
      <c r="R4" t="s">
        <v>163</v>
      </c>
      <c r="S4" t="s">
        <v>164</v>
      </c>
      <c r="T4" t="s">
        <v>165</v>
      </c>
      <c r="U4" t="s">
        <v>166</v>
      </c>
      <c r="V4" t="s">
        <v>167</v>
      </c>
      <c r="W4" t="s">
        <v>168</v>
      </c>
      <c r="X4" t="s">
        <v>169</v>
      </c>
      <c r="Y4" t="s">
        <v>170</v>
      </c>
      <c r="Z4" t="s">
        <v>171</v>
      </c>
      <c r="AA4" t="s">
        <v>172</v>
      </c>
      <c r="AB4" t="s">
        <v>173</v>
      </c>
      <c r="AC4" t="s">
        <v>174</v>
      </c>
      <c r="AD4" t="s">
        <v>175</v>
      </c>
      <c r="AE4" t="s">
        <v>176</v>
      </c>
      <c r="AF4" t="s">
        <v>177</v>
      </c>
      <c r="AG4" t="s">
        <v>178</v>
      </c>
      <c r="AH4" t="s">
        <v>179</v>
      </c>
      <c r="AI4" t="s">
        <v>180</v>
      </c>
      <c r="AJ4" t="s">
        <v>181</v>
      </c>
      <c r="AK4" t="s">
        <v>182</v>
      </c>
      <c r="AL4" t="s">
        <v>183</v>
      </c>
      <c r="AM4" t="s">
        <v>184</v>
      </c>
      <c r="AN4" t="s">
        <v>185</v>
      </c>
      <c r="AO4" t="s">
        <v>186</v>
      </c>
      <c r="AP4" t="s">
        <v>187</v>
      </c>
      <c r="AQ4" t="s">
        <v>188</v>
      </c>
      <c r="AR4" t="s">
        <v>189</v>
      </c>
      <c r="AS4" t="s">
        <v>190</v>
      </c>
      <c r="AT4" t="s">
        <v>191</v>
      </c>
      <c r="AU4" t="s">
        <v>192</v>
      </c>
      <c r="AV4" t="s">
        <v>193</v>
      </c>
      <c r="AW4" t="s">
        <v>194</v>
      </c>
      <c r="AX4" t="s">
        <v>195</v>
      </c>
      <c r="AY4" t="s">
        <v>196</v>
      </c>
      <c r="AZ4" t="s">
        <v>197</v>
      </c>
      <c r="BA4" t="s">
        <v>198</v>
      </c>
      <c r="BB4" t="s">
        <v>199</v>
      </c>
      <c r="BC4" t="s">
        <v>200</v>
      </c>
      <c r="BD4" t="s">
        <v>201</v>
      </c>
      <c r="BE4" t="s">
        <v>202</v>
      </c>
      <c r="BF4" t="s">
        <v>203</v>
      </c>
      <c r="BG4" t="s">
        <v>204</v>
      </c>
      <c r="BH4" t="s">
        <v>205</v>
      </c>
      <c r="BI4" t="s">
        <v>206</v>
      </c>
      <c r="BJ4" t="s">
        <v>207</v>
      </c>
      <c r="BK4" t="s">
        <v>208</v>
      </c>
      <c r="BL4" t="s">
        <v>209</v>
      </c>
      <c r="BM4" t="s">
        <v>210</v>
      </c>
      <c r="BN4" t="s">
        <v>211</v>
      </c>
      <c r="BO4" t="s">
        <v>212</v>
      </c>
      <c r="BP4" t="s">
        <v>213</v>
      </c>
      <c r="BQ4" t="s">
        <v>214</v>
      </c>
      <c r="BR4" t="s">
        <v>215</v>
      </c>
      <c r="BS4" t="s">
        <v>216</v>
      </c>
      <c r="BT4" t="s">
        <v>217</v>
      </c>
      <c r="BU4" t="s">
        <v>218</v>
      </c>
      <c r="BV4" t="s">
        <v>219</v>
      </c>
      <c r="BW4" t="s">
        <v>220</v>
      </c>
      <c r="BX4" t="s">
        <v>221</v>
      </c>
      <c r="BY4" t="s">
        <v>222</v>
      </c>
      <c r="BZ4" t="s">
        <v>223</v>
      </c>
      <c r="CA4" t="s">
        <v>224</v>
      </c>
      <c r="CB4" t="s">
        <v>225</v>
      </c>
      <c r="CC4" t="s">
        <v>226</v>
      </c>
      <c r="CD4" t="s">
        <v>227</v>
      </c>
      <c r="CE4" t="s">
        <v>228</v>
      </c>
      <c r="CF4" t="s">
        <v>229</v>
      </c>
      <c r="CG4" t="s">
        <v>230</v>
      </c>
      <c r="CH4" t="s">
        <v>231</v>
      </c>
      <c r="CI4" t="s">
        <v>232</v>
      </c>
      <c r="CJ4" t="s">
        <v>233</v>
      </c>
      <c r="CK4" t="s">
        <v>234</v>
      </c>
      <c r="CL4" t="s">
        <v>235</v>
      </c>
      <c r="CM4" t="s">
        <v>236</v>
      </c>
      <c r="CN4" t="s">
        <v>237</v>
      </c>
      <c r="CO4" t="s">
        <v>238</v>
      </c>
      <c r="CP4" t="s">
        <v>239</v>
      </c>
      <c r="CQ4" t="s">
        <v>240</v>
      </c>
      <c r="CR4" t="s">
        <v>241</v>
      </c>
      <c r="CS4" t="s">
        <v>242</v>
      </c>
      <c r="CT4" t="s">
        <v>243</v>
      </c>
      <c r="CU4" t="s">
        <v>244</v>
      </c>
      <c r="CV4" t="s">
        <v>245</v>
      </c>
      <c r="CW4" t="s">
        <v>246</v>
      </c>
      <c r="CX4" t="s">
        <v>247</v>
      </c>
      <c r="CY4" t="s">
        <v>248</v>
      </c>
      <c r="CZ4" t="s">
        <v>249</v>
      </c>
      <c r="DA4" t="s">
        <v>250</v>
      </c>
      <c r="DB4" t="s">
        <v>251</v>
      </c>
      <c r="DC4" t="s">
        <v>252</v>
      </c>
      <c r="DD4" t="s">
        <v>253</v>
      </c>
      <c r="DE4" t="s">
        <v>254</v>
      </c>
      <c r="DF4" t="s">
        <v>255</v>
      </c>
      <c r="DG4" t="s">
        <v>256</v>
      </c>
      <c r="DH4" t="s">
        <v>257</v>
      </c>
      <c r="DI4" t="s">
        <v>258</v>
      </c>
      <c r="DJ4" t="s">
        <v>259</v>
      </c>
      <c r="DK4" t="s">
        <v>260</v>
      </c>
      <c r="DL4" t="s">
        <v>261</v>
      </c>
      <c r="DM4" t="s">
        <v>262</v>
      </c>
      <c r="DN4" t="s">
        <v>263</v>
      </c>
      <c r="DO4" t="s">
        <v>264</v>
      </c>
      <c r="DP4" t="s">
        <v>265</v>
      </c>
      <c r="DQ4" t="s">
        <v>266</v>
      </c>
      <c r="DR4" t="s">
        <v>267</v>
      </c>
      <c r="DS4" t="s">
        <v>268</v>
      </c>
      <c r="DT4" t="s">
        <v>269</v>
      </c>
      <c r="DU4" t="s">
        <v>270</v>
      </c>
      <c r="DV4" t="s">
        <v>271</v>
      </c>
      <c r="DW4" t="s">
        <v>272</v>
      </c>
      <c r="DX4" t="s">
        <v>273</v>
      </c>
      <c r="DY4" t="s">
        <v>274</v>
      </c>
    </row>
    <row r="5" spans="1:129" x14ac:dyDescent="0.25">
      <c r="A5" t="s">
        <v>275</v>
      </c>
      <c r="B5" t="s">
        <v>277</v>
      </c>
      <c r="C5" t="s">
        <v>278</v>
      </c>
      <c r="D5" t="s">
        <v>279</v>
      </c>
      <c r="E5" t="s">
        <v>280</v>
      </c>
      <c r="F5" t="s">
        <v>281</v>
      </c>
      <c r="G5" t="s">
        <v>282</v>
      </c>
      <c r="H5" t="s">
        <v>283</v>
      </c>
      <c r="I5" t="s">
        <v>284</v>
      </c>
      <c r="J5" t="s">
        <v>285</v>
      </c>
      <c r="K5" t="s">
        <v>286</v>
      </c>
      <c r="L5" t="s">
        <v>287</v>
      </c>
      <c r="M5" t="s">
        <v>288</v>
      </c>
      <c r="N5" t="s">
        <v>289</v>
      </c>
      <c r="O5" t="s">
        <v>290</v>
      </c>
      <c r="P5" t="s">
        <v>291</v>
      </c>
      <c r="Q5" t="s">
        <v>292</v>
      </c>
      <c r="R5" t="s">
        <v>293</v>
      </c>
      <c r="S5" t="s">
        <v>294</v>
      </c>
      <c r="T5" t="s">
        <v>295</v>
      </c>
      <c r="U5" t="s">
        <v>296</v>
      </c>
      <c r="V5" t="s">
        <v>297</v>
      </c>
      <c r="W5" t="s">
        <v>298</v>
      </c>
      <c r="X5" t="s">
        <v>299</v>
      </c>
      <c r="Y5" t="s">
        <v>300</v>
      </c>
      <c r="Z5" t="s">
        <v>301</v>
      </c>
      <c r="AA5" t="s">
        <v>302</v>
      </c>
      <c r="AB5" t="s">
        <v>303</v>
      </c>
      <c r="AC5" t="s">
        <v>304</v>
      </c>
      <c r="AD5" t="s">
        <v>305</v>
      </c>
      <c r="AE5" t="s">
        <v>306</v>
      </c>
      <c r="AF5" t="s">
        <v>307</v>
      </c>
      <c r="AG5" t="s">
        <v>308</v>
      </c>
      <c r="AH5" t="s">
        <v>309</v>
      </c>
      <c r="AI5" t="s">
        <v>310</v>
      </c>
      <c r="AJ5" t="s">
        <v>311</v>
      </c>
      <c r="AK5" t="s">
        <v>312</v>
      </c>
      <c r="AL5" t="s">
        <v>313</v>
      </c>
      <c r="AM5" t="s">
        <v>314</v>
      </c>
      <c r="AN5" t="s">
        <v>315</v>
      </c>
      <c r="AO5" t="s">
        <v>316</v>
      </c>
      <c r="AP5" t="s">
        <v>317</v>
      </c>
      <c r="AQ5" t="s">
        <v>318</v>
      </c>
      <c r="AR5" t="s">
        <v>319</v>
      </c>
      <c r="AS5" t="s">
        <v>320</v>
      </c>
      <c r="AT5" t="s">
        <v>321</v>
      </c>
      <c r="AU5" t="s">
        <v>322</v>
      </c>
      <c r="AV5" t="s">
        <v>323</v>
      </c>
      <c r="AW5" t="s">
        <v>324</v>
      </c>
      <c r="AX5" t="s">
        <v>325</v>
      </c>
      <c r="AY5" t="s">
        <v>326</v>
      </c>
      <c r="AZ5" t="s">
        <v>327</v>
      </c>
      <c r="BA5" t="s">
        <v>328</v>
      </c>
      <c r="BB5" t="s">
        <v>329</v>
      </c>
      <c r="BC5" t="s">
        <v>330</v>
      </c>
      <c r="BD5" t="s">
        <v>331</v>
      </c>
      <c r="BE5" t="s">
        <v>332</v>
      </c>
      <c r="BF5" t="s">
        <v>333</v>
      </c>
      <c r="BG5" t="s">
        <v>334</v>
      </c>
      <c r="BH5" t="s">
        <v>335</v>
      </c>
      <c r="BI5" t="s">
        <v>336</v>
      </c>
      <c r="BJ5" t="s">
        <v>337</v>
      </c>
      <c r="BK5" t="s">
        <v>338</v>
      </c>
      <c r="BL5" t="s">
        <v>339</v>
      </c>
      <c r="BM5" t="s">
        <v>340</v>
      </c>
      <c r="BN5" t="s">
        <v>341</v>
      </c>
      <c r="BO5" t="s">
        <v>342</v>
      </c>
      <c r="BP5" t="s">
        <v>343</v>
      </c>
      <c r="BQ5" t="s">
        <v>344</v>
      </c>
      <c r="BR5" t="s">
        <v>345</v>
      </c>
      <c r="BS5" t="s">
        <v>346</v>
      </c>
      <c r="BT5" t="s">
        <v>347</v>
      </c>
      <c r="BU5" t="s">
        <v>348</v>
      </c>
      <c r="BV5" t="s">
        <v>349</v>
      </c>
      <c r="BW5" t="s">
        <v>350</v>
      </c>
      <c r="BX5" t="s">
        <v>351</v>
      </c>
      <c r="BY5" t="s">
        <v>352</v>
      </c>
      <c r="BZ5" t="s">
        <v>353</v>
      </c>
      <c r="CA5" t="s">
        <v>354</v>
      </c>
      <c r="CB5" t="s">
        <v>355</v>
      </c>
      <c r="CC5" t="s">
        <v>356</v>
      </c>
      <c r="CD5" t="s">
        <v>357</v>
      </c>
      <c r="CE5" t="s">
        <v>358</v>
      </c>
      <c r="CF5" t="s">
        <v>359</v>
      </c>
      <c r="CG5" t="s">
        <v>360</v>
      </c>
      <c r="CH5" t="s">
        <v>361</v>
      </c>
      <c r="CI5" t="s">
        <v>362</v>
      </c>
      <c r="CJ5" t="s">
        <v>363</v>
      </c>
      <c r="CK5" t="s">
        <v>364</v>
      </c>
      <c r="CL5" t="s">
        <v>365</v>
      </c>
      <c r="CM5" t="s">
        <v>366</v>
      </c>
      <c r="CN5" t="s">
        <v>367</v>
      </c>
      <c r="CO5" t="s">
        <v>368</v>
      </c>
      <c r="CP5" t="s">
        <v>369</v>
      </c>
      <c r="CQ5" t="s">
        <v>370</v>
      </c>
      <c r="CR5" t="s">
        <v>371</v>
      </c>
      <c r="CS5" t="s">
        <v>372</v>
      </c>
      <c r="CT5" t="s">
        <v>373</v>
      </c>
      <c r="CU5" t="s">
        <v>374</v>
      </c>
      <c r="CV5" t="s">
        <v>375</v>
      </c>
      <c r="CW5" t="s">
        <v>376</v>
      </c>
      <c r="CX5" t="s">
        <v>377</v>
      </c>
      <c r="CY5" t="s">
        <v>378</v>
      </c>
      <c r="CZ5" t="s">
        <v>379</v>
      </c>
      <c r="DA5" t="s">
        <v>380</v>
      </c>
      <c r="DB5" t="s">
        <v>381</v>
      </c>
      <c r="DC5" t="s">
        <v>382</v>
      </c>
      <c r="DD5" t="s">
        <v>383</v>
      </c>
      <c r="DE5" t="s">
        <v>384</v>
      </c>
      <c r="DF5" t="s">
        <v>385</v>
      </c>
      <c r="DG5" t="s">
        <v>386</v>
      </c>
      <c r="DH5" t="s">
        <v>387</v>
      </c>
      <c r="DI5" t="s">
        <v>388</v>
      </c>
      <c r="DJ5" t="s">
        <v>389</v>
      </c>
      <c r="DK5" t="s">
        <v>390</v>
      </c>
      <c r="DL5" t="s">
        <v>391</v>
      </c>
      <c r="DM5" t="s">
        <v>392</v>
      </c>
      <c r="DN5" t="s">
        <v>393</v>
      </c>
      <c r="DO5" t="s">
        <v>394</v>
      </c>
      <c r="DP5" t="s">
        <v>395</v>
      </c>
      <c r="DQ5" t="s">
        <v>396</v>
      </c>
      <c r="DR5" t="s">
        <v>397</v>
      </c>
      <c r="DS5" t="s">
        <v>398</v>
      </c>
      <c r="DT5" t="s">
        <v>399</v>
      </c>
      <c r="DU5" t="s">
        <v>400</v>
      </c>
      <c r="DV5" t="s">
        <v>401</v>
      </c>
      <c r="DW5" t="s">
        <v>402</v>
      </c>
      <c r="DX5" t="s">
        <v>403</v>
      </c>
      <c r="DY5" t="s">
        <v>404</v>
      </c>
    </row>
    <row r="6" spans="1:129" x14ac:dyDescent="0.25">
      <c r="A6" t="s">
        <v>276</v>
      </c>
      <c r="B6" t="s">
        <v>405</v>
      </c>
      <c r="C6" t="s">
        <v>406</v>
      </c>
      <c r="D6" t="s">
        <v>407</v>
      </c>
      <c r="E6" t="s">
        <v>408</v>
      </c>
      <c r="F6" t="s">
        <v>409</v>
      </c>
      <c r="G6" t="s">
        <v>410</v>
      </c>
      <c r="H6" t="s">
        <v>411</v>
      </c>
      <c r="I6" t="s">
        <v>412</v>
      </c>
      <c r="J6" t="s">
        <v>413</v>
      </c>
      <c r="K6" t="s">
        <v>414</v>
      </c>
      <c r="L6" t="s">
        <v>415</v>
      </c>
      <c r="M6" t="s">
        <v>416</v>
      </c>
      <c r="N6" t="s">
        <v>417</v>
      </c>
      <c r="O6" t="s">
        <v>418</v>
      </c>
      <c r="P6" t="s">
        <v>419</v>
      </c>
      <c r="Q6" t="s">
        <v>420</v>
      </c>
      <c r="R6" t="s">
        <v>421</v>
      </c>
      <c r="S6" t="s">
        <v>422</v>
      </c>
      <c r="T6" t="s">
        <v>423</v>
      </c>
      <c r="U6" t="s">
        <v>424</v>
      </c>
      <c r="V6" t="s">
        <v>425</v>
      </c>
      <c r="W6" t="s">
        <v>426</v>
      </c>
      <c r="X6" t="s">
        <v>427</v>
      </c>
      <c r="Y6" t="s">
        <v>428</v>
      </c>
      <c r="Z6" t="s">
        <v>429</v>
      </c>
      <c r="AA6" t="s">
        <v>430</v>
      </c>
      <c r="AB6" t="s">
        <v>431</v>
      </c>
      <c r="AC6" t="s">
        <v>432</v>
      </c>
      <c r="AD6" t="s">
        <v>433</v>
      </c>
      <c r="AE6" t="s">
        <v>434</v>
      </c>
      <c r="AF6" t="s">
        <v>435</v>
      </c>
      <c r="AG6" t="s">
        <v>436</v>
      </c>
      <c r="AH6" t="s">
        <v>437</v>
      </c>
      <c r="AI6" t="s">
        <v>438</v>
      </c>
      <c r="AJ6" t="s">
        <v>439</v>
      </c>
      <c r="AK6" t="s">
        <v>440</v>
      </c>
      <c r="AL6" t="s">
        <v>441</v>
      </c>
      <c r="AM6" t="s">
        <v>442</v>
      </c>
      <c r="AN6" t="s">
        <v>443</v>
      </c>
      <c r="AO6" t="s">
        <v>444</v>
      </c>
      <c r="AP6" t="s">
        <v>445</v>
      </c>
      <c r="AQ6" t="s">
        <v>446</v>
      </c>
      <c r="AR6" t="s">
        <v>447</v>
      </c>
      <c r="AS6" t="s">
        <v>448</v>
      </c>
      <c r="AT6" t="s">
        <v>449</v>
      </c>
      <c r="AU6" t="s">
        <v>450</v>
      </c>
      <c r="AV6" t="s">
        <v>451</v>
      </c>
      <c r="AW6" t="s">
        <v>452</v>
      </c>
      <c r="AX6" t="s">
        <v>453</v>
      </c>
      <c r="AY6" t="s">
        <v>454</v>
      </c>
      <c r="AZ6" t="s">
        <v>455</v>
      </c>
      <c r="BA6" t="s">
        <v>456</v>
      </c>
      <c r="BB6" t="s">
        <v>457</v>
      </c>
      <c r="BC6" t="s">
        <v>458</v>
      </c>
      <c r="BD6" t="s">
        <v>459</v>
      </c>
      <c r="BE6" t="s">
        <v>460</v>
      </c>
      <c r="BF6" t="s">
        <v>461</v>
      </c>
      <c r="BG6" t="s">
        <v>462</v>
      </c>
      <c r="BH6" t="s">
        <v>463</v>
      </c>
      <c r="BI6" t="s">
        <v>464</v>
      </c>
      <c r="BJ6" t="s">
        <v>465</v>
      </c>
      <c r="BK6" t="s">
        <v>466</v>
      </c>
      <c r="BL6" t="s">
        <v>467</v>
      </c>
      <c r="BM6" t="s">
        <v>468</v>
      </c>
      <c r="BN6" t="s">
        <v>469</v>
      </c>
      <c r="BO6" t="s">
        <v>470</v>
      </c>
      <c r="BP6" t="s">
        <v>471</v>
      </c>
      <c r="BQ6" t="s">
        <v>472</v>
      </c>
      <c r="BR6" t="s">
        <v>473</v>
      </c>
      <c r="BS6" t="s">
        <v>474</v>
      </c>
      <c r="BT6" t="s">
        <v>475</v>
      </c>
      <c r="BU6" t="s">
        <v>476</v>
      </c>
      <c r="BV6" t="s">
        <v>477</v>
      </c>
      <c r="BW6" t="s">
        <v>478</v>
      </c>
      <c r="BX6" t="s">
        <v>479</v>
      </c>
      <c r="BY6" t="s">
        <v>480</v>
      </c>
      <c r="BZ6" t="s">
        <v>481</v>
      </c>
      <c r="CA6" t="s">
        <v>482</v>
      </c>
      <c r="CB6" t="s">
        <v>483</v>
      </c>
      <c r="CC6" t="s">
        <v>484</v>
      </c>
      <c r="CD6" t="s">
        <v>485</v>
      </c>
      <c r="CE6" t="s">
        <v>486</v>
      </c>
      <c r="CF6" t="s">
        <v>487</v>
      </c>
      <c r="CG6" t="s">
        <v>488</v>
      </c>
      <c r="CH6" t="s">
        <v>489</v>
      </c>
      <c r="CI6" t="s">
        <v>490</v>
      </c>
      <c r="CJ6" t="s">
        <v>491</v>
      </c>
      <c r="CK6" t="s">
        <v>492</v>
      </c>
      <c r="CL6" t="s">
        <v>493</v>
      </c>
      <c r="CM6" t="s">
        <v>494</v>
      </c>
      <c r="CN6" t="s">
        <v>495</v>
      </c>
      <c r="CO6" t="s">
        <v>496</v>
      </c>
      <c r="CP6" t="s">
        <v>497</v>
      </c>
      <c r="CQ6" t="s">
        <v>498</v>
      </c>
      <c r="CR6" t="s">
        <v>499</v>
      </c>
      <c r="CS6" t="s">
        <v>500</v>
      </c>
      <c r="CT6" t="s">
        <v>501</v>
      </c>
      <c r="CU6" t="s">
        <v>502</v>
      </c>
      <c r="CV6" t="s">
        <v>503</v>
      </c>
      <c r="CW6" t="s">
        <v>504</v>
      </c>
      <c r="CX6" t="s">
        <v>505</v>
      </c>
      <c r="CY6" t="s">
        <v>506</v>
      </c>
      <c r="CZ6" t="s">
        <v>507</v>
      </c>
      <c r="DA6" t="s">
        <v>508</v>
      </c>
      <c r="DB6" t="s">
        <v>509</v>
      </c>
      <c r="DC6" t="s">
        <v>510</v>
      </c>
      <c r="DD6" t="s">
        <v>511</v>
      </c>
      <c r="DE6" t="s">
        <v>512</v>
      </c>
      <c r="DF6" t="s">
        <v>513</v>
      </c>
      <c r="DG6" t="s">
        <v>514</v>
      </c>
      <c r="DH6" t="s">
        <v>515</v>
      </c>
      <c r="DI6" t="s">
        <v>516</v>
      </c>
      <c r="DJ6" t="s">
        <v>517</v>
      </c>
      <c r="DK6" t="s">
        <v>518</v>
      </c>
      <c r="DL6" t="s">
        <v>519</v>
      </c>
      <c r="DM6" t="s">
        <v>520</v>
      </c>
      <c r="DN6" t="s">
        <v>521</v>
      </c>
      <c r="DO6" t="s">
        <v>522</v>
      </c>
      <c r="DP6" t="s">
        <v>523</v>
      </c>
      <c r="DQ6" t="s">
        <v>524</v>
      </c>
      <c r="DR6" t="s">
        <v>525</v>
      </c>
      <c r="DS6" t="s">
        <v>526</v>
      </c>
      <c r="DT6" t="s">
        <v>527</v>
      </c>
      <c r="DU6" t="s">
        <v>528</v>
      </c>
      <c r="DV6" t="s">
        <v>529</v>
      </c>
      <c r="DW6" t="s">
        <v>530</v>
      </c>
      <c r="DX6" t="s">
        <v>531</v>
      </c>
      <c r="DY6" t="s">
        <v>532</v>
      </c>
    </row>
    <row r="7" spans="1:129" x14ac:dyDescent="0.25">
      <c r="A7" t="s">
        <v>533</v>
      </c>
      <c r="B7" t="s">
        <v>535</v>
      </c>
      <c r="C7" t="s">
        <v>536</v>
      </c>
      <c r="D7" t="s">
        <v>537</v>
      </c>
      <c r="E7" t="s">
        <v>538</v>
      </c>
      <c r="F7" t="s">
        <v>539</v>
      </c>
      <c r="G7" t="s">
        <v>540</v>
      </c>
      <c r="H7" t="s">
        <v>541</v>
      </c>
      <c r="I7" t="s">
        <v>542</v>
      </c>
      <c r="J7" t="s">
        <v>543</v>
      </c>
      <c r="K7" t="s">
        <v>544</v>
      </c>
      <c r="L7" t="s">
        <v>545</v>
      </c>
      <c r="M7" t="s">
        <v>546</v>
      </c>
      <c r="N7" t="s">
        <v>547</v>
      </c>
      <c r="O7" t="s">
        <v>548</v>
      </c>
      <c r="P7" t="s">
        <v>549</v>
      </c>
      <c r="Q7" t="s">
        <v>550</v>
      </c>
      <c r="R7" t="s">
        <v>551</v>
      </c>
      <c r="S7" t="s">
        <v>552</v>
      </c>
      <c r="T7" t="s">
        <v>553</v>
      </c>
      <c r="U7" t="s">
        <v>554</v>
      </c>
      <c r="V7" t="s">
        <v>555</v>
      </c>
      <c r="W7" t="s">
        <v>556</v>
      </c>
      <c r="X7" t="s">
        <v>557</v>
      </c>
      <c r="Y7" t="s">
        <v>558</v>
      </c>
      <c r="Z7" t="s">
        <v>559</v>
      </c>
      <c r="AA7" t="s">
        <v>560</v>
      </c>
      <c r="AB7" t="s">
        <v>561</v>
      </c>
      <c r="AC7" t="s">
        <v>562</v>
      </c>
      <c r="AD7" t="s">
        <v>563</v>
      </c>
      <c r="AE7" t="s">
        <v>564</v>
      </c>
      <c r="AF7" t="s">
        <v>565</v>
      </c>
      <c r="AG7" t="s">
        <v>566</v>
      </c>
      <c r="AH7" t="s">
        <v>567</v>
      </c>
      <c r="AI7" t="s">
        <v>568</v>
      </c>
      <c r="AJ7" t="s">
        <v>569</v>
      </c>
      <c r="AK7" t="s">
        <v>570</v>
      </c>
      <c r="AL7" t="s">
        <v>571</v>
      </c>
      <c r="AM7" t="s">
        <v>572</v>
      </c>
      <c r="AN7" t="s">
        <v>573</v>
      </c>
      <c r="AO7" t="s">
        <v>574</v>
      </c>
      <c r="AP7" t="s">
        <v>575</v>
      </c>
      <c r="AQ7" t="s">
        <v>576</v>
      </c>
      <c r="AR7" t="s">
        <v>577</v>
      </c>
      <c r="AS7" t="s">
        <v>578</v>
      </c>
      <c r="AT7" t="s">
        <v>579</v>
      </c>
      <c r="AU7" t="s">
        <v>580</v>
      </c>
      <c r="AV7" t="s">
        <v>581</v>
      </c>
      <c r="AW7" t="s">
        <v>582</v>
      </c>
      <c r="AX7" t="s">
        <v>583</v>
      </c>
      <c r="AY7" t="s">
        <v>584</v>
      </c>
      <c r="AZ7" t="s">
        <v>585</v>
      </c>
      <c r="BA7" t="s">
        <v>586</v>
      </c>
      <c r="BB7" t="s">
        <v>587</v>
      </c>
      <c r="BC7" t="s">
        <v>588</v>
      </c>
      <c r="BD7" t="s">
        <v>589</v>
      </c>
      <c r="BE7" t="s">
        <v>590</v>
      </c>
      <c r="BF7" t="s">
        <v>591</v>
      </c>
      <c r="BG7" t="s">
        <v>592</v>
      </c>
      <c r="BH7" t="s">
        <v>593</v>
      </c>
      <c r="BI7" t="s">
        <v>594</v>
      </c>
      <c r="BJ7" t="s">
        <v>595</v>
      </c>
      <c r="BK7" t="s">
        <v>596</v>
      </c>
      <c r="BL7" t="s">
        <v>597</v>
      </c>
      <c r="BM7" t="s">
        <v>598</v>
      </c>
      <c r="BN7" t="s">
        <v>599</v>
      </c>
      <c r="BO7" t="s">
        <v>600</v>
      </c>
      <c r="BP7" t="s">
        <v>601</v>
      </c>
      <c r="BQ7" t="s">
        <v>602</v>
      </c>
      <c r="BR7" t="s">
        <v>603</v>
      </c>
      <c r="BS7" t="s">
        <v>604</v>
      </c>
      <c r="BT7" t="s">
        <v>605</v>
      </c>
      <c r="BU7" t="s">
        <v>606</v>
      </c>
      <c r="BV7" t="s">
        <v>607</v>
      </c>
      <c r="BW7" t="s">
        <v>608</v>
      </c>
      <c r="BX7" t="s">
        <v>609</v>
      </c>
      <c r="BY7" t="s">
        <v>610</v>
      </c>
      <c r="BZ7" t="s">
        <v>611</v>
      </c>
      <c r="CA7" t="s">
        <v>612</v>
      </c>
      <c r="CB7" t="s">
        <v>613</v>
      </c>
      <c r="CC7" t="s">
        <v>614</v>
      </c>
      <c r="CD7" t="s">
        <v>615</v>
      </c>
      <c r="CE7" t="s">
        <v>616</v>
      </c>
      <c r="CF7" t="s">
        <v>617</v>
      </c>
      <c r="CG7" t="s">
        <v>618</v>
      </c>
      <c r="CH7" t="s">
        <v>619</v>
      </c>
      <c r="CI7" t="s">
        <v>620</v>
      </c>
      <c r="CJ7" t="s">
        <v>621</v>
      </c>
      <c r="CK7" t="s">
        <v>622</v>
      </c>
      <c r="CL7" t="s">
        <v>623</v>
      </c>
      <c r="CM7" t="s">
        <v>624</v>
      </c>
      <c r="CN7" t="s">
        <v>625</v>
      </c>
      <c r="CO7" t="s">
        <v>626</v>
      </c>
      <c r="CP7" t="s">
        <v>627</v>
      </c>
      <c r="CQ7" t="s">
        <v>628</v>
      </c>
      <c r="CR7" t="s">
        <v>629</v>
      </c>
      <c r="CS7" t="s">
        <v>630</v>
      </c>
      <c r="CT7" t="s">
        <v>631</v>
      </c>
      <c r="CU7" t="s">
        <v>632</v>
      </c>
      <c r="CV7" t="s">
        <v>633</v>
      </c>
      <c r="CW7" t="s">
        <v>634</v>
      </c>
      <c r="CX7" t="s">
        <v>635</v>
      </c>
      <c r="CY7" t="s">
        <v>636</v>
      </c>
      <c r="CZ7" t="s">
        <v>637</v>
      </c>
      <c r="DA7" t="s">
        <v>638</v>
      </c>
      <c r="DB7" t="s">
        <v>639</v>
      </c>
      <c r="DC7" t="s">
        <v>640</v>
      </c>
      <c r="DD7" t="s">
        <v>641</v>
      </c>
      <c r="DE7" t="s">
        <v>642</v>
      </c>
      <c r="DF7" t="s">
        <v>643</v>
      </c>
      <c r="DG7" t="s">
        <v>644</v>
      </c>
      <c r="DH7" t="s">
        <v>645</v>
      </c>
      <c r="DI7" t="s">
        <v>646</v>
      </c>
      <c r="DJ7" t="s">
        <v>647</v>
      </c>
      <c r="DK7" t="s">
        <v>648</v>
      </c>
      <c r="DL7" t="s">
        <v>649</v>
      </c>
      <c r="DM7" t="s">
        <v>650</v>
      </c>
      <c r="DN7" t="s">
        <v>651</v>
      </c>
      <c r="DO7" t="s">
        <v>652</v>
      </c>
      <c r="DP7" t="s">
        <v>653</v>
      </c>
      <c r="DQ7" t="s">
        <v>654</v>
      </c>
      <c r="DR7" t="s">
        <v>655</v>
      </c>
      <c r="DS7" t="s">
        <v>656</v>
      </c>
      <c r="DT7" t="s">
        <v>657</v>
      </c>
      <c r="DU7" t="s">
        <v>658</v>
      </c>
      <c r="DV7" t="s">
        <v>659</v>
      </c>
      <c r="DW7" t="s">
        <v>660</v>
      </c>
      <c r="DX7" t="s">
        <v>661</v>
      </c>
      <c r="DY7" t="s">
        <v>662</v>
      </c>
    </row>
    <row r="8" spans="1:129" x14ac:dyDescent="0.25">
      <c r="A8" t="s">
        <v>534</v>
      </c>
      <c r="B8" t="s">
        <v>663</v>
      </c>
      <c r="C8" t="s">
        <v>664</v>
      </c>
      <c r="D8" t="s">
        <v>665</v>
      </c>
      <c r="E8" t="s">
        <v>666</v>
      </c>
      <c r="F8" t="s">
        <v>667</v>
      </c>
      <c r="G8" t="s">
        <v>668</v>
      </c>
      <c r="H8" t="s">
        <v>669</v>
      </c>
      <c r="I8" t="s">
        <v>670</v>
      </c>
      <c r="J8" t="s">
        <v>671</v>
      </c>
      <c r="K8" t="s">
        <v>672</v>
      </c>
      <c r="L8" t="s">
        <v>673</v>
      </c>
      <c r="M8" t="s">
        <v>674</v>
      </c>
      <c r="N8" t="s">
        <v>675</v>
      </c>
      <c r="O8" t="s">
        <v>676</v>
      </c>
      <c r="P8" t="s">
        <v>677</v>
      </c>
      <c r="Q8" t="s">
        <v>678</v>
      </c>
      <c r="R8" t="s">
        <v>679</v>
      </c>
      <c r="S8" t="s">
        <v>680</v>
      </c>
      <c r="T8" t="s">
        <v>681</v>
      </c>
      <c r="U8" t="s">
        <v>682</v>
      </c>
      <c r="V8" t="s">
        <v>683</v>
      </c>
      <c r="W8" t="s">
        <v>684</v>
      </c>
      <c r="X8" t="s">
        <v>685</v>
      </c>
      <c r="Y8" t="s">
        <v>686</v>
      </c>
      <c r="Z8" t="s">
        <v>687</v>
      </c>
      <c r="AA8" t="s">
        <v>688</v>
      </c>
      <c r="AB8" t="s">
        <v>689</v>
      </c>
      <c r="AC8" t="s">
        <v>690</v>
      </c>
      <c r="AD8" t="s">
        <v>691</v>
      </c>
      <c r="AE8" t="s">
        <v>692</v>
      </c>
      <c r="AF8" t="s">
        <v>693</v>
      </c>
      <c r="AG8" t="s">
        <v>694</v>
      </c>
      <c r="AH8" t="s">
        <v>695</v>
      </c>
      <c r="AI8" t="s">
        <v>696</v>
      </c>
      <c r="AJ8" t="s">
        <v>697</v>
      </c>
      <c r="AK8" t="s">
        <v>698</v>
      </c>
      <c r="AL8" t="s">
        <v>699</v>
      </c>
      <c r="AM8" t="s">
        <v>700</v>
      </c>
      <c r="AN8" t="s">
        <v>701</v>
      </c>
      <c r="AO8" t="s">
        <v>702</v>
      </c>
      <c r="AP8" t="s">
        <v>703</v>
      </c>
      <c r="AQ8" t="s">
        <v>704</v>
      </c>
      <c r="AR8" t="s">
        <v>705</v>
      </c>
      <c r="AS8" t="s">
        <v>706</v>
      </c>
      <c r="AT8" t="s">
        <v>707</v>
      </c>
      <c r="AU8" t="s">
        <v>708</v>
      </c>
      <c r="AV8" t="s">
        <v>709</v>
      </c>
      <c r="AW8" t="s">
        <v>710</v>
      </c>
      <c r="AX8" t="s">
        <v>711</v>
      </c>
      <c r="AY8" t="s">
        <v>712</v>
      </c>
      <c r="AZ8" t="s">
        <v>713</v>
      </c>
      <c r="BA8" t="s">
        <v>714</v>
      </c>
      <c r="BB8" t="s">
        <v>715</v>
      </c>
      <c r="BC8" t="s">
        <v>716</v>
      </c>
      <c r="BD8" t="s">
        <v>717</v>
      </c>
      <c r="BE8" t="s">
        <v>718</v>
      </c>
      <c r="BF8" t="s">
        <v>719</v>
      </c>
      <c r="BG8" t="s">
        <v>720</v>
      </c>
      <c r="BH8" t="s">
        <v>721</v>
      </c>
      <c r="BI8" t="s">
        <v>722</v>
      </c>
      <c r="BJ8" t="s">
        <v>723</v>
      </c>
      <c r="BK8" t="s">
        <v>724</v>
      </c>
      <c r="BL8" t="s">
        <v>725</v>
      </c>
      <c r="BM8" t="s">
        <v>726</v>
      </c>
      <c r="BN8" t="s">
        <v>727</v>
      </c>
      <c r="BO8" t="s">
        <v>728</v>
      </c>
      <c r="BP8" t="s">
        <v>729</v>
      </c>
      <c r="BQ8" t="s">
        <v>730</v>
      </c>
      <c r="BR8" t="s">
        <v>731</v>
      </c>
      <c r="BS8" t="s">
        <v>732</v>
      </c>
      <c r="BT8" t="s">
        <v>733</v>
      </c>
      <c r="BU8" t="s">
        <v>734</v>
      </c>
      <c r="BV8" t="s">
        <v>735</v>
      </c>
      <c r="BW8" t="s">
        <v>736</v>
      </c>
      <c r="BX8" t="s">
        <v>737</v>
      </c>
      <c r="BY8" t="s">
        <v>738</v>
      </c>
      <c r="BZ8" t="s">
        <v>739</v>
      </c>
      <c r="CA8" t="s">
        <v>740</v>
      </c>
      <c r="CB8" t="s">
        <v>741</v>
      </c>
      <c r="CC8" t="s">
        <v>742</v>
      </c>
      <c r="CD8" t="s">
        <v>743</v>
      </c>
      <c r="CE8" t="s">
        <v>744</v>
      </c>
      <c r="CF8" t="s">
        <v>745</v>
      </c>
      <c r="CG8" t="s">
        <v>746</v>
      </c>
      <c r="CH8" t="s">
        <v>747</v>
      </c>
      <c r="CI8" t="s">
        <v>748</v>
      </c>
      <c r="CJ8" t="s">
        <v>749</v>
      </c>
      <c r="CK8" t="s">
        <v>750</v>
      </c>
      <c r="CL8" t="s">
        <v>751</v>
      </c>
      <c r="CM8" t="s">
        <v>752</v>
      </c>
      <c r="CN8" t="s">
        <v>753</v>
      </c>
      <c r="CO8" t="s">
        <v>754</v>
      </c>
      <c r="CP8" t="s">
        <v>755</v>
      </c>
      <c r="CQ8" t="s">
        <v>756</v>
      </c>
      <c r="CR8" t="s">
        <v>757</v>
      </c>
      <c r="CS8" t="s">
        <v>758</v>
      </c>
      <c r="CT8" t="s">
        <v>759</v>
      </c>
      <c r="CU8" t="s">
        <v>760</v>
      </c>
      <c r="CV8" t="s">
        <v>761</v>
      </c>
      <c r="CW8" t="s">
        <v>762</v>
      </c>
      <c r="CX8" t="s">
        <v>763</v>
      </c>
      <c r="CY8" t="s">
        <v>764</v>
      </c>
      <c r="CZ8" t="s">
        <v>765</v>
      </c>
      <c r="DA8" t="s">
        <v>766</v>
      </c>
      <c r="DB8" t="s">
        <v>767</v>
      </c>
      <c r="DC8" t="s">
        <v>768</v>
      </c>
      <c r="DD8" t="s">
        <v>769</v>
      </c>
      <c r="DE8" t="s">
        <v>770</v>
      </c>
      <c r="DF8" t="s">
        <v>771</v>
      </c>
      <c r="DG8" t="s">
        <v>772</v>
      </c>
      <c r="DH8" t="s">
        <v>773</v>
      </c>
      <c r="DI8" t="s">
        <v>774</v>
      </c>
      <c r="DJ8" t="s">
        <v>775</v>
      </c>
      <c r="DK8" t="s">
        <v>776</v>
      </c>
      <c r="DL8" t="s">
        <v>777</v>
      </c>
      <c r="DM8" t="s">
        <v>778</v>
      </c>
      <c r="DN8" t="s">
        <v>779</v>
      </c>
      <c r="DO8" t="s">
        <v>780</v>
      </c>
      <c r="DP8" t="s">
        <v>781</v>
      </c>
      <c r="DQ8" t="s">
        <v>782</v>
      </c>
      <c r="DR8" t="s">
        <v>783</v>
      </c>
      <c r="DS8" t="s">
        <v>784</v>
      </c>
      <c r="DT8" t="s">
        <v>785</v>
      </c>
      <c r="DU8" t="s">
        <v>786</v>
      </c>
      <c r="DV8" t="s">
        <v>787</v>
      </c>
      <c r="DW8" t="s">
        <v>788</v>
      </c>
      <c r="DX8" t="s">
        <v>789</v>
      </c>
      <c r="DY8" t="s">
        <v>790</v>
      </c>
    </row>
    <row r="9" spans="1:129" x14ac:dyDescent="0.25">
      <c r="A9" t="s">
        <v>791</v>
      </c>
      <c r="B9" t="s">
        <v>793</v>
      </c>
      <c r="C9" t="s">
        <v>794</v>
      </c>
      <c r="D9" t="s">
        <v>795</v>
      </c>
      <c r="E9" t="s">
        <v>796</v>
      </c>
      <c r="F9" t="s">
        <v>797</v>
      </c>
      <c r="G9" t="s">
        <v>798</v>
      </c>
      <c r="H9" t="s">
        <v>799</v>
      </c>
      <c r="I9" t="s">
        <v>800</v>
      </c>
      <c r="J9" t="s">
        <v>801</v>
      </c>
      <c r="K9" t="s">
        <v>802</v>
      </c>
      <c r="L9" t="s">
        <v>803</v>
      </c>
      <c r="M9" t="s">
        <v>804</v>
      </c>
      <c r="N9" t="s">
        <v>805</v>
      </c>
      <c r="O9" t="s">
        <v>806</v>
      </c>
      <c r="P9" t="s">
        <v>807</v>
      </c>
      <c r="Q9" t="s">
        <v>808</v>
      </c>
      <c r="R9" t="s">
        <v>809</v>
      </c>
      <c r="S9" t="s">
        <v>810</v>
      </c>
      <c r="T9" t="s">
        <v>811</v>
      </c>
      <c r="U9" t="s">
        <v>812</v>
      </c>
      <c r="V9" t="s">
        <v>813</v>
      </c>
      <c r="W9" t="s">
        <v>814</v>
      </c>
      <c r="X9" t="s">
        <v>815</v>
      </c>
      <c r="Y9" t="s">
        <v>816</v>
      </c>
      <c r="Z9" t="s">
        <v>817</v>
      </c>
      <c r="AA9" t="s">
        <v>818</v>
      </c>
      <c r="AB9" t="s">
        <v>819</v>
      </c>
      <c r="AC9" t="s">
        <v>820</v>
      </c>
      <c r="AD9" t="s">
        <v>821</v>
      </c>
      <c r="AE9" t="s">
        <v>822</v>
      </c>
      <c r="AF9" t="s">
        <v>823</v>
      </c>
      <c r="AG9" t="s">
        <v>824</v>
      </c>
      <c r="AH9" t="s">
        <v>825</v>
      </c>
      <c r="AI9" t="s">
        <v>826</v>
      </c>
      <c r="AJ9" t="s">
        <v>827</v>
      </c>
      <c r="AK9" t="s">
        <v>828</v>
      </c>
      <c r="AL9" t="s">
        <v>829</v>
      </c>
      <c r="AM9" t="s">
        <v>830</v>
      </c>
      <c r="AN9" t="s">
        <v>831</v>
      </c>
      <c r="AO9" t="s">
        <v>832</v>
      </c>
      <c r="AP9" t="s">
        <v>833</v>
      </c>
      <c r="AQ9" t="s">
        <v>834</v>
      </c>
      <c r="AR9" t="s">
        <v>835</v>
      </c>
      <c r="AS9" t="s">
        <v>836</v>
      </c>
      <c r="AT9" t="s">
        <v>837</v>
      </c>
      <c r="AU9" t="s">
        <v>838</v>
      </c>
      <c r="AV9" t="s">
        <v>839</v>
      </c>
      <c r="AW9" t="s">
        <v>840</v>
      </c>
      <c r="AX9" t="s">
        <v>841</v>
      </c>
      <c r="AY9" t="s">
        <v>842</v>
      </c>
      <c r="AZ9" t="s">
        <v>843</v>
      </c>
      <c r="BA9" t="s">
        <v>844</v>
      </c>
      <c r="BB9" t="s">
        <v>845</v>
      </c>
      <c r="BC9" t="s">
        <v>846</v>
      </c>
      <c r="BD9" t="s">
        <v>847</v>
      </c>
      <c r="BE9" t="s">
        <v>848</v>
      </c>
      <c r="BF9" t="s">
        <v>849</v>
      </c>
      <c r="BG9" t="s">
        <v>850</v>
      </c>
      <c r="BH9" t="s">
        <v>851</v>
      </c>
      <c r="BI9" t="s">
        <v>852</v>
      </c>
      <c r="BJ9" t="s">
        <v>853</v>
      </c>
      <c r="BK9" t="s">
        <v>854</v>
      </c>
      <c r="BL9" t="s">
        <v>855</v>
      </c>
      <c r="BM9" t="s">
        <v>856</v>
      </c>
      <c r="BN9" t="s">
        <v>857</v>
      </c>
      <c r="BO9" t="s">
        <v>858</v>
      </c>
      <c r="BP9" t="s">
        <v>859</v>
      </c>
      <c r="BQ9" t="s">
        <v>860</v>
      </c>
      <c r="BR9" t="s">
        <v>861</v>
      </c>
      <c r="BS9" t="s">
        <v>862</v>
      </c>
      <c r="BT9" t="s">
        <v>863</v>
      </c>
      <c r="BU9" t="s">
        <v>864</v>
      </c>
      <c r="BV9" t="s">
        <v>865</v>
      </c>
      <c r="BW9" t="s">
        <v>866</v>
      </c>
      <c r="BX9" t="s">
        <v>867</v>
      </c>
      <c r="BY9" t="s">
        <v>868</v>
      </c>
      <c r="BZ9" t="s">
        <v>869</v>
      </c>
      <c r="CA9" t="s">
        <v>870</v>
      </c>
      <c r="CB9" t="s">
        <v>871</v>
      </c>
      <c r="CC9" t="s">
        <v>872</v>
      </c>
      <c r="CD9" t="s">
        <v>873</v>
      </c>
      <c r="CE9" t="s">
        <v>874</v>
      </c>
      <c r="CF9" t="s">
        <v>875</v>
      </c>
      <c r="CG9" t="s">
        <v>876</v>
      </c>
      <c r="CH9" t="s">
        <v>877</v>
      </c>
      <c r="CI9" t="s">
        <v>878</v>
      </c>
      <c r="CJ9" t="s">
        <v>879</v>
      </c>
      <c r="CK9" t="s">
        <v>880</v>
      </c>
      <c r="CL9" t="s">
        <v>881</v>
      </c>
      <c r="CM9" t="s">
        <v>882</v>
      </c>
      <c r="CN9" t="s">
        <v>883</v>
      </c>
      <c r="CO9" t="s">
        <v>884</v>
      </c>
      <c r="CP9" t="s">
        <v>885</v>
      </c>
      <c r="CQ9" t="s">
        <v>886</v>
      </c>
      <c r="CR9" t="s">
        <v>887</v>
      </c>
      <c r="CS9" t="s">
        <v>888</v>
      </c>
      <c r="CT9" t="s">
        <v>889</v>
      </c>
      <c r="CU9" t="s">
        <v>890</v>
      </c>
      <c r="CV9" t="s">
        <v>891</v>
      </c>
      <c r="CW9" t="s">
        <v>892</v>
      </c>
      <c r="CX9" t="s">
        <v>893</v>
      </c>
      <c r="CY9" t="s">
        <v>894</v>
      </c>
      <c r="CZ9" t="s">
        <v>895</v>
      </c>
      <c r="DA9" t="s">
        <v>896</v>
      </c>
      <c r="DB9" t="s">
        <v>897</v>
      </c>
      <c r="DC9" t="s">
        <v>898</v>
      </c>
      <c r="DD9" t="s">
        <v>899</v>
      </c>
      <c r="DE9" t="s">
        <v>900</v>
      </c>
      <c r="DF9" t="s">
        <v>901</v>
      </c>
      <c r="DG9" t="s">
        <v>902</v>
      </c>
      <c r="DH9" t="s">
        <v>903</v>
      </c>
      <c r="DI9" t="s">
        <v>904</v>
      </c>
      <c r="DJ9" t="s">
        <v>905</v>
      </c>
      <c r="DK9" t="s">
        <v>906</v>
      </c>
      <c r="DL9" t="s">
        <v>907</v>
      </c>
      <c r="DM9" t="s">
        <v>908</v>
      </c>
      <c r="DN9" t="s">
        <v>909</v>
      </c>
      <c r="DO9" t="s">
        <v>910</v>
      </c>
      <c r="DP9" t="s">
        <v>911</v>
      </c>
      <c r="DQ9" t="s">
        <v>912</v>
      </c>
      <c r="DR9" t="s">
        <v>913</v>
      </c>
      <c r="DS9" t="s">
        <v>914</v>
      </c>
      <c r="DT9" t="s">
        <v>915</v>
      </c>
      <c r="DU9" t="s">
        <v>916</v>
      </c>
      <c r="DV9" t="s">
        <v>917</v>
      </c>
      <c r="DW9" t="s">
        <v>918</v>
      </c>
      <c r="DX9" t="s">
        <v>919</v>
      </c>
      <c r="DY9" t="s">
        <v>920</v>
      </c>
    </row>
    <row r="10" spans="1:129" x14ac:dyDescent="0.25">
      <c r="A10" t="s">
        <v>792</v>
      </c>
      <c r="B10" t="s">
        <v>921</v>
      </c>
      <c r="C10" t="s">
        <v>922</v>
      </c>
      <c r="D10" t="s">
        <v>923</v>
      </c>
      <c r="E10" t="s">
        <v>924</v>
      </c>
      <c r="F10" t="s">
        <v>925</v>
      </c>
      <c r="G10" t="s">
        <v>926</v>
      </c>
      <c r="H10" t="s">
        <v>927</v>
      </c>
      <c r="I10" t="s">
        <v>928</v>
      </c>
      <c r="J10" t="s">
        <v>929</v>
      </c>
      <c r="K10" t="s">
        <v>930</v>
      </c>
      <c r="L10" t="s">
        <v>931</v>
      </c>
      <c r="M10" t="s">
        <v>932</v>
      </c>
      <c r="N10" t="s">
        <v>933</v>
      </c>
      <c r="O10" t="s">
        <v>934</v>
      </c>
      <c r="P10" t="s">
        <v>935</v>
      </c>
      <c r="Q10" t="s">
        <v>936</v>
      </c>
      <c r="R10" t="s">
        <v>937</v>
      </c>
      <c r="S10" t="s">
        <v>938</v>
      </c>
      <c r="T10" t="s">
        <v>939</v>
      </c>
      <c r="U10" t="s">
        <v>940</v>
      </c>
      <c r="V10" t="s">
        <v>941</v>
      </c>
      <c r="W10" t="s">
        <v>942</v>
      </c>
      <c r="X10" t="s">
        <v>943</v>
      </c>
      <c r="Y10" t="s">
        <v>944</v>
      </c>
      <c r="Z10" t="s">
        <v>945</v>
      </c>
      <c r="AA10" t="s">
        <v>946</v>
      </c>
      <c r="AB10" t="s">
        <v>947</v>
      </c>
      <c r="AC10" t="s">
        <v>948</v>
      </c>
      <c r="AD10" t="s">
        <v>949</v>
      </c>
      <c r="AE10" t="s">
        <v>950</v>
      </c>
      <c r="AF10" t="s">
        <v>951</v>
      </c>
      <c r="AG10" t="s">
        <v>952</v>
      </c>
      <c r="AH10" t="s">
        <v>953</v>
      </c>
      <c r="AI10" t="s">
        <v>954</v>
      </c>
      <c r="AJ10" t="s">
        <v>955</v>
      </c>
      <c r="AK10" t="s">
        <v>956</v>
      </c>
      <c r="AL10" t="s">
        <v>957</v>
      </c>
      <c r="AM10" t="s">
        <v>958</v>
      </c>
      <c r="AN10" t="s">
        <v>959</v>
      </c>
      <c r="AO10" t="s">
        <v>960</v>
      </c>
      <c r="AP10" t="s">
        <v>961</v>
      </c>
      <c r="AQ10" t="s">
        <v>962</v>
      </c>
      <c r="AR10" t="s">
        <v>963</v>
      </c>
      <c r="AS10" t="s">
        <v>964</v>
      </c>
      <c r="AT10" t="s">
        <v>965</v>
      </c>
      <c r="AU10" t="s">
        <v>966</v>
      </c>
      <c r="AV10" t="s">
        <v>967</v>
      </c>
      <c r="AW10" t="s">
        <v>968</v>
      </c>
      <c r="AX10" t="s">
        <v>969</v>
      </c>
      <c r="AY10" t="s">
        <v>970</v>
      </c>
      <c r="AZ10" t="s">
        <v>971</v>
      </c>
      <c r="BA10" t="s">
        <v>972</v>
      </c>
      <c r="BB10" t="s">
        <v>973</v>
      </c>
      <c r="BC10" t="s">
        <v>974</v>
      </c>
      <c r="BD10" t="s">
        <v>975</v>
      </c>
      <c r="BE10" t="s">
        <v>976</v>
      </c>
      <c r="BF10" t="s">
        <v>977</v>
      </c>
      <c r="BG10" t="s">
        <v>978</v>
      </c>
      <c r="BH10" t="s">
        <v>979</v>
      </c>
      <c r="BI10" t="s">
        <v>980</v>
      </c>
      <c r="BJ10" t="s">
        <v>981</v>
      </c>
      <c r="BK10" t="s">
        <v>982</v>
      </c>
      <c r="BL10" t="s">
        <v>983</v>
      </c>
      <c r="BM10" t="s">
        <v>984</v>
      </c>
      <c r="BN10" t="s">
        <v>985</v>
      </c>
      <c r="BO10" t="s">
        <v>986</v>
      </c>
      <c r="BP10" t="s">
        <v>987</v>
      </c>
      <c r="BQ10" t="s">
        <v>988</v>
      </c>
      <c r="BR10" t="s">
        <v>989</v>
      </c>
      <c r="BS10" t="s">
        <v>990</v>
      </c>
      <c r="BT10" t="s">
        <v>991</v>
      </c>
      <c r="BU10" t="s">
        <v>992</v>
      </c>
      <c r="BV10" t="s">
        <v>993</v>
      </c>
      <c r="BW10" t="s">
        <v>994</v>
      </c>
      <c r="BX10" t="s">
        <v>995</v>
      </c>
      <c r="BY10" t="s">
        <v>996</v>
      </c>
      <c r="BZ10" t="s">
        <v>997</v>
      </c>
      <c r="CA10" t="s">
        <v>998</v>
      </c>
      <c r="CB10" t="s">
        <v>999</v>
      </c>
      <c r="CC10" t="s">
        <v>1000</v>
      </c>
      <c r="CD10" t="s">
        <v>1001</v>
      </c>
      <c r="CE10" t="s">
        <v>1002</v>
      </c>
      <c r="CF10" t="s">
        <v>1003</v>
      </c>
      <c r="CG10" t="s">
        <v>1004</v>
      </c>
      <c r="CH10" t="s">
        <v>1005</v>
      </c>
      <c r="CI10" t="s">
        <v>1006</v>
      </c>
      <c r="CJ10" t="s">
        <v>1007</v>
      </c>
      <c r="CK10" t="s">
        <v>1008</v>
      </c>
      <c r="CL10" t="s">
        <v>1009</v>
      </c>
      <c r="CM10" t="s">
        <v>1010</v>
      </c>
      <c r="CN10" t="s">
        <v>1011</v>
      </c>
      <c r="CO10" t="s">
        <v>1012</v>
      </c>
      <c r="CP10" t="s">
        <v>1013</v>
      </c>
      <c r="CQ10" t="s">
        <v>1014</v>
      </c>
      <c r="CR10" t="s">
        <v>1015</v>
      </c>
      <c r="CS10" t="s">
        <v>1016</v>
      </c>
      <c r="CT10" t="s">
        <v>1017</v>
      </c>
      <c r="CU10" t="s">
        <v>1018</v>
      </c>
      <c r="CV10" t="s">
        <v>1019</v>
      </c>
      <c r="CW10" t="s">
        <v>1020</v>
      </c>
      <c r="CX10" t="s">
        <v>1021</v>
      </c>
      <c r="CY10" t="s">
        <v>1022</v>
      </c>
      <c r="CZ10" t="s">
        <v>1023</v>
      </c>
      <c r="DA10" t="s">
        <v>1024</v>
      </c>
      <c r="DB10" t="s">
        <v>1025</v>
      </c>
      <c r="DC10" t="s">
        <v>1026</v>
      </c>
      <c r="DD10" t="s">
        <v>1027</v>
      </c>
      <c r="DE10" t="s">
        <v>1028</v>
      </c>
      <c r="DF10" t="s">
        <v>1029</v>
      </c>
      <c r="DG10" t="s">
        <v>1030</v>
      </c>
      <c r="DH10" t="s">
        <v>1031</v>
      </c>
      <c r="DI10" t="s">
        <v>1032</v>
      </c>
      <c r="DJ10" t="s">
        <v>1033</v>
      </c>
      <c r="DK10" t="s">
        <v>1034</v>
      </c>
      <c r="DL10" t="s">
        <v>1035</v>
      </c>
      <c r="DM10" t="s">
        <v>1036</v>
      </c>
      <c r="DN10" t="s">
        <v>1037</v>
      </c>
      <c r="DO10" t="s">
        <v>1038</v>
      </c>
      <c r="DP10" t="s">
        <v>1039</v>
      </c>
      <c r="DQ10" t="s">
        <v>1040</v>
      </c>
      <c r="DR10" t="s">
        <v>1041</v>
      </c>
      <c r="DS10" t="s">
        <v>1042</v>
      </c>
      <c r="DT10" t="s">
        <v>1043</v>
      </c>
      <c r="DU10" t="s">
        <v>1044</v>
      </c>
      <c r="DV10" t="s">
        <v>1045</v>
      </c>
      <c r="DW10" t="s">
        <v>1046</v>
      </c>
      <c r="DX10" t="s">
        <v>1047</v>
      </c>
      <c r="DY10" t="s">
        <v>1048</v>
      </c>
    </row>
    <row r="11" spans="1:129" x14ac:dyDescent="0.25">
      <c r="A11" t="s">
        <v>791</v>
      </c>
      <c r="B11" t="s">
        <v>1049</v>
      </c>
      <c r="C11" t="s">
        <v>1050</v>
      </c>
      <c r="D11" t="s">
        <v>1051</v>
      </c>
      <c r="E11" t="s">
        <v>1052</v>
      </c>
      <c r="F11" t="s">
        <v>1053</v>
      </c>
      <c r="G11" t="s">
        <v>1054</v>
      </c>
      <c r="H11" t="s">
        <v>1055</v>
      </c>
      <c r="I11" t="s">
        <v>1056</v>
      </c>
      <c r="J11" t="s">
        <v>1057</v>
      </c>
      <c r="K11" t="s">
        <v>1058</v>
      </c>
      <c r="L11" t="s">
        <v>1059</v>
      </c>
      <c r="M11" t="s">
        <v>1060</v>
      </c>
      <c r="N11" t="s">
        <v>1061</v>
      </c>
      <c r="O11" t="s">
        <v>1062</v>
      </c>
      <c r="P11" t="s">
        <v>1063</v>
      </c>
      <c r="Q11" t="s">
        <v>1064</v>
      </c>
      <c r="R11" t="s">
        <v>1065</v>
      </c>
      <c r="S11" t="s">
        <v>1066</v>
      </c>
      <c r="T11" t="s">
        <v>1067</v>
      </c>
      <c r="U11" t="s">
        <v>1068</v>
      </c>
      <c r="V11" t="s">
        <v>1069</v>
      </c>
      <c r="W11" t="s">
        <v>1070</v>
      </c>
      <c r="X11" t="s">
        <v>1071</v>
      </c>
      <c r="Y11" t="s">
        <v>1072</v>
      </c>
      <c r="Z11" t="s">
        <v>1073</v>
      </c>
      <c r="AA11" t="s">
        <v>1074</v>
      </c>
      <c r="AB11" t="s">
        <v>1075</v>
      </c>
      <c r="AC11" t="s">
        <v>1076</v>
      </c>
      <c r="AD11" t="s">
        <v>1077</v>
      </c>
      <c r="AE11" t="s">
        <v>1078</v>
      </c>
      <c r="AF11" t="s">
        <v>1079</v>
      </c>
      <c r="AG11" t="s">
        <v>1080</v>
      </c>
      <c r="AH11" t="s">
        <v>1081</v>
      </c>
      <c r="AI11" t="s">
        <v>1082</v>
      </c>
      <c r="AJ11" t="s">
        <v>1083</v>
      </c>
      <c r="AK11" t="s">
        <v>1084</v>
      </c>
      <c r="AL11" t="s">
        <v>1085</v>
      </c>
      <c r="AM11" t="s">
        <v>1086</v>
      </c>
      <c r="AN11" t="s">
        <v>1087</v>
      </c>
      <c r="AO11" t="s">
        <v>1088</v>
      </c>
      <c r="AP11" t="s">
        <v>1089</v>
      </c>
      <c r="AQ11" t="s">
        <v>1090</v>
      </c>
      <c r="AR11" t="s">
        <v>1091</v>
      </c>
      <c r="AS11" t="s">
        <v>1092</v>
      </c>
      <c r="AT11" t="s">
        <v>1093</v>
      </c>
      <c r="AU11" t="s">
        <v>1094</v>
      </c>
      <c r="AV11" t="s">
        <v>1095</v>
      </c>
      <c r="AW11" t="s">
        <v>1096</v>
      </c>
      <c r="AX11" t="s">
        <v>1097</v>
      </c>
      <c r="AY11" t="s">
        <v>1098</v>
      </c>
      <c r="AZ11" t="s">
        <v>1099</v>
      </c>
      <c r="BA11" t="s">
        <v>1100</v>
      </c>
      <c r="BB11" t="s">
        <v>1101</v>
      </c>
      <c r="BC11" t="s">
        <v>1102</v>
      </c>
      <c r="BD11" t="s">
        <v>1103</v>
      </c>
      <c r="BE11" t="s">
        <v>1104</v>
      </c>
      <c r="BF11" t="s">
        <v>1105</v>
      </c>
      <c r="BG11" t="s">
        <v>1106</v>
      </c>
      <c r="BH11" t="s">
        <v>1107</v>
      </c>
      <c r="BI11" t="s">
        <v>1108</v>
      </c>
      <c r="BJ11" t="s">
        <v>1109</v>
      </c>
      <c r="BK11" t="s">
        <v>1110</v>
      </c>
      <c r="BL11" t="s">
        <v>1111</v>
      </c>
      <c r="BM11" t="s">
        <v>1112</v>
      </c>
      <c r="BN11" t="s">
        <v>1113</v>
      </c>
      <c r="BO11" t="s">
        <v>1114</v>
      </c>
      <c r="BP11" t="s">
        <v>1115</v>
      </c>
      <c r="BQ11" t="s">
        <v>1116</v>
      </c>
      <c r="BR11" t="s">
        <v>1117</v>
      </c>
      <c r="BS11" t="s">
        <v>1118</v>
      </c>
      <c r="BT11" t="s">
        <v>1119</v>
      </c>
      <c r="BU11" t="s">
        <v>1120</v>
      </c>
      <c r="BV11" t="s">
        <v>1121</v>
      </c>
      <c r="BW11" t="s">
        <v>1122</v>
      </c>
      <c r="BX11" t="s">
        <v>1123</v>
      </c>
      <c r="BY11" t="s">
        <v>1124</v>
      </c>
      <c r="BZ11" t="s">
        <v>1125</v>
      </c>
      <c r="CA11" t="s">
        <v>1126</v>
      </c>
      <c r="CB11" t="s">
        <v>1127</v>
      </c>
      <c r="CC11" t="s">
        <v>1128</v>
      </c>
      <c r="CD11" t="s">
        <v>1129</v>
      </c>
      <c r="CE11" t="s">
        <v>1130</v>
      </c>
      <c r="CF11" t="s">
        <v>1131</v>
      </c>
      <c r="CG11" t="s">
        <v>1132</v>
      </c>
      <c r="CH11" t="s">
        <v>1133</v>
      </c>
      <c r="CI11" t="s">
        <v>1134</v>
      </c>
      <c r="CJ11" t="s">
        <v>1135</v>
      </c>
      <c r="CK11" t="s">
        <v>1136</v>
      </c>
      <c r="CL11" t="s">
        <v>1137</v>
      </c>
      <c r="CM11" t="s">
        <v>1138</v>
      </c>
      <c r="CN11" t="s">
        <v>1139</v>
      </c>
      <c r="CO11" t="s">
        <v>1140</v>
      </c>
      <c r="CP11" t="s">
        <v>1141</v>
      </c>
      <c r="CQ11" t="s">
        <v>1142</v>
      </c>
      <c r="CR11" t="s">
        <v>1143</v>
      </c>
      <c r="CS11" t="s">
        <v>1144</v>
      </c>
      <c r="CT11" t="s">
        <v>1145</v>
      </c>
      <c r="CU11" t="s">
        <v>1146</v>
      </c>
      <c r="CV11" t="s">
        <v>1147</v>
      </c>
      <c r="CW11" t="s">
        <v>1148</v>
      </c>
      <c r="CX11" t="s">
        <v>1149</v>
      </c>
      <c r="CY11" t="s">
        <v>1150</v>
      </c>
      <c r="CZ11" t="s">
        <v>1151</v>
      </c>
      <c r="DA11" t="s">
        <v>1152</v>
      </c>
      <c r="DB11" t="s">
        <v>1153</v>
      </c>
      <c r="DC11" t="s">
        <v>1154</v>
      </c>
      <c r="DD11" t="s">
        <v>1155</v>
      </c>
      <c r="DE11" t="s">
        <v>1156</v>
      </c>
      <c r="DF11" t="s">
        <v>1157</v>
      </c>
      <c r="DG11" t="s">
        <v>1158</v>
      </c>
      <c r="DH11" t="s">
        <v>1159</v>
      </c>
      <c r="DI11" t="s">
        <v>1160</v>
      </c>
      <c r="DJ11" t="s">
        <v>1161</v>
      </c>
      <c r="DK11" t="s">
        <v>1162</v>
      </c>
      <c r="DL11" t="s">
        <v>1163</v>
      </c>
      <c r="DM11" t="s">
        <v>1164</v>
      </c>
      <c r="DN11" t="s">
        <v>1165</v>
      </c>
      <c r="DO11" t="s">
        <v>1166</v>
      </c>
      <c r="DP11" t="s">
        <v>1167</v>
      </c>
      <c r="DQ11" t="s">
        <v>1168</v>
      </c>
      <c r="DR11" t="s">
        <v>1169</v>
      </c>
      <c r="DS11" t="s">
        <v>1170</v>
      </c>
      <c r="DT11" t="s">
        <v>1171</v>
      </c>
      <c r="DU11" t="s">
        <v>1172</v>
      </c>
      <c r="DV11" t="s">
        <v>1173</v>
      </c>
      <c r="DW11" t="s">
        <v>1174</v>
      </c>
      <c r="DX11" t="s">
        <v>1175</v>
      </c>
      <c r="DY11" t="s">
        <v>1176</v>
      </c>
    </row>
    <row r="12" spans="1:129" x14ac:dyDescent="0.25">
      <c r="A12" t="s">
        <v>792</v>
      </c>
      <c r="B12" t="s">
        <v>1177</v>
      </c>
      <c r="C12" t="s">
        <v>1178</v>
      </c>
      <c r="D12" t="s">
        <v>1179</v>
      </c>
      <c r="E12" t="s">
        <v>1180</v>
      </c>
      <c r="F12" t="s">
        <v>1181</v>
      </c>
      <c r="G12" t="s">
        <v>1182</v>
      </c>
      <c r="H12" t="s">
        <v>1183</v>
      </c>
      <c r="I12" t="s">
        <v>1184</v>
      </c>
      <c r="J12" t="s">
        <v>1185</v>
      </c>
      <c r="K12" t="s">
        <v>1186</v>
      </c>
      <c r="L12" t="s">
        <v>1187</v>
      </c>
      <c r="M12" t="s">
        <v>1188</v>
      </c>
      <c r="N12" t="s">
        <v>1189</v>
      </c>
      <c r="O12" t="s">
        <v>1190</v>
      </c>
      <c r="P12" t="s">
        <v>1191</v>
      </c>
      <c r="Q12" t="s">
        <v>1192</v>
      </c>
      <c r="R12" t="s">
        <v>1193</v>
      </c>
      <c r="S12" t="s">
        <v>1194</v>
      </c>
      <c r="T12" t="s">
        <v>1195</v>
      </c>
      <c r="U12" t="s">
        <v>1196</v>
      </c>
      <c r="V12" t="s">
        <v>1197</v>
      </c>
      <c r="W12" t="s">
        <v>1198</v>
      </c>
      <c r="X12" t="s">
        <v>1199</v>
      </c>
      <c r="Y12" t="s">
        <v>1200</v>
      </c>
      <c r="Z12" t="s">
        <v>1201</v>
      </c>
      <c r="AA12" t="s">
        <v>1202</v>
      </c>
      <c r="AB12" t="s">
        <v>1203</v>
      </c>
      <c r="AC12" t="s">
        <v>1204</v>
      </c>
      <c r="AD12" t="s">
        <v>1205</v>
      </c>
      <c r="AE12" t="s">
        <v>1206</v>
      </c>
      <c r="AF12" t="s">
        <v>1207</v>
      </c>
      <c r="AG12" t="s">
        <v>1208</v>
      </c>
      <c r="AH12" t="s">
        <v>1209</v>
      </c>
      <c r="AI12" t="s">
        <v>1210</v>
      </c>
      <c r="AJ12" t="s">
        <v>1211</v>
      </c>
      <c r="AK12" t="s">
        <v>1212</v>
      </c>
      <c r="AL12" t="s">
        <v>1213</v>
      </c>
      <c r="AM12" t="s">
        <v>1214</v>
      </c>
      <c r="AN12" t="s">
        <v>1215</v>
      </c>
      <c r="AO12" t="s">
        <v>1216</v>
      </c>
      <c r="AP12" t="s">
        <v>1217</v>
      </c>
      <c r="AQ12" t="s">
        <v>1218</v>
      </c>
      <c r="AR12" t="s">
        <v>1219</v>
      </c>
      <c r="AS12" t="s">
        <v>1220</v>
      </c>
      <c r="AT12" t="s">
        <v>1221</v>
      </c>
      <c r="AU12" t="s">
        <v>1222</v>
      </c>
      <c r="AV12" t="s">
        <v>1223</v>
      </c>
      <c r="AW12" t="s">
        <v>1224</v>
      </c>
      <c r="AX12" t="s">
        <v>1225</v>
      </c>
      <c r="AY12" t="s">
        <v>1226</v>
      </c>
      <c r="AZ12" t="s">
        <v>1227</v>
      </c>
      <c r="BA12" t="s">
        <v>1228</v>
      </c>
      <c r="BB12" t="s">
        <v>1229</v>
      </c>
      <c r="BC12" t="s">
        <v>1230</v>
      </c>
      <c r="BD12" t="s">
        <v>1231</v>
      </c>
      <c r="BE12" t="s">
        <v>1232</v>
      </c>
      <c r="BF12" t="s">
        <v>1233</v>
      </c>
      <c r="BG12" t="s">
        <v>1234</v>
      </c>
      <c r="BH12" t="s">
        <v>1235</v>
      </c>
      <c r="BI12" t="s">
        <v>1236</v>
      </c>
      <c r="BJ12" t="s">
        <v>1237</v>
      </c>
      <c r="BK12" t="s">
        <v>1238</v>
      </c>
      <c r="BL12" t="s">
        <v>1239</v>
      </c>
      <c r="BM12" t="s">
        <v>1240</v>
      </c>
      <c r="BN12" t="s">
        <v>1241</v>
      </c>
      <c r="BO12" t="s">
        <v>1242</v>
      </c>
      <c r="BP12" t="s">
        <v>1243</v>
      </c>
      <c r="BQ12" t="s">
        <v>1244</v>
      </c>
      <c r="BR12" t="s">
        <v>1245</v>
      </c>
      <c r="BS12" t="s">
        <v>1246</v>
      </c>
      <c r="BT12" t="s">
        <v>1247</v>
      </c>
      <c r="BU12" t="s">
        <v>1248</v>
      </c>
      <c r="BV12" t="s">
        <v>1249</v>
      </c>
      <c r="BW12" t="s">
        <v>1250</v>
      </c>
      <c r="BX12" t="s">
        <v>1251</v>
      </c>
      <c r="BY12" t="s">
        <v>1252</v>
      </c>
      <c r="BZ12" t="s">
        <v>1253</v>
      </c>
      <c r="CA12" t="s">
        <v>1254</v>
      </c>
      <c r="CB12" t="s">
        <v>1255</v>
      </c>
      <c r="CC12" t="s">
        <v>1256</v>
      </c>
      <c r="CD12" t="s">
        <v>1257</v>
      </c>
      <c r="CE12" t="s">
        <v>1258</v>
      </c>
      <c r="CF12" t="s">
        <v>1259</v>
      </c>
      <c r="CG12" t="s">
        <v>1260</v>
      </c>
      <c r="CH12" t="s">
        <v>1261</v>
      </c>
      <c r="CI12" t="s">
        <v>1262</v>
      </c>
      <c r="CJ12" t="s">
        <v>1263</v>
      </c>
      <c r="CK12" t="s">
        <v>1264</v>
      </c>
      <c r="CL12" t="s">
        <v>1265</v>
      </c>
      <c r="CM12" t="s">
        <v>1266</v>
      </c>
      <c r="CN12" t="s">
        <v>1267</v>
      </c>
      <c r="CO12" t="s">
        <v>1268</v>
      </c>
      <c r="CP12" t="s">
        <v>1269</v>
      </c>
      <c r="CQ12" t="s">
        <v>1270</v>
      </c>
      <c r="CR12" t="s">
        <v>1271</v>
      </c>
      <c r="CS12" t="s">
        <v>1272</v>
      </c>
      <c r="CT12" t="s">
        <v>1273</v>
      </c>
      <c r="CU12" t="s">
        <v>1274</v>
      </c>
      <c r="CV12" t="s">
        <v>1275</v>
      </c>
      <c r="CW12" t="s">
        <v>1276</v>
      </c>
      <c r="CX12" t="s">
        <v>1277</v>
      </c>
      <c r="CY12" t="s">
        <v>1278</v>
      </c>
      <c r="CZ12" t="s">
        <v>1279</v>
      </c>
      <c r="DA12" t="s">
        <v>1280</v>
      </c>
      <c r="DB12" t="s">
        <v>1281</v>
      </c>
      <c r="DC12" t="s">
        <v>1282</v>
      </c>
      <c r="DD12" t="s">
        <v>1283</v>
      </c>
      <c r="DE12" t="s">
        <v>1284</v>
      </c>
      <c r="DF12" t="s">
        <v>1285</v>
      </c>
      <c r="DG12" t="s">
        <v>1286</v>
      </c>
      <c r="DH12" t="s">
        <v>1287</v>
      </c>
      <c r="DI12" t="s">
        <v>1288</v>
      </c>
      <c r="DJ12" t="s">
        <v>1289</v>
      </c>
      <c r="DK12" t="s">
        <v>1290</v>
      </c>
      <c r="DL12" t="s">
        <v>1291</v>
      </c>
      <c r="DM12" t="s">
        <v>1292</v>
      </c>
      <c r="DN12" t="s">
        <v>1293</v>
      </c>
      <c r="DO12" t="s">
        <v>1294</v>
      </c>
      <c r="DP12" t="s">
        <v>1295</v>
      </c>
      <c r="DQ12" t="s">
        <v>1296</v>
      </c>
      <c r="DR12" t="s">
        <v>1297</v>
      </c>
      <c r="DS12" t="s">
        <v>1298</v>
      </c>
      <c r="DT12" t="s">
        <v>1299</v>
      </c>
      <c r="DU12" t="s">
        <v>1300</v>
      </c>
      <c r="DV12" t="s">
        <v>1301</v>
      </c>
      <c r="DW12" t="s">
        <v>1302</v>
      </c>
      <c r="DX12" t="s">
        <v>1303</v>
      </c>
      <c r="DY12" t="s">
        <v>1304</v>
      </c>
    </row>
    <row r="13" spans="1:129" x14ac:dyDescent="0.25">
      <c r="A13" t="s">
        <v>1305</v>
      </c>
      <c r="B13" t="s">
        <v>1307</v>
      </c>
      <c r="C13" t="s">
        <v>1308</v>
      </c>
      <c r="D13" t="s">
        <v>1309</v>
      </c>
      <c r="E13" t="s">
        <v>1310</v>
      </c>
      <c r="F13" t="s">
        <v>1311</v>
      </c>
      <c r="G13" t="s">
        <v>1312</v>
      </c>
      <c r="H13" t="s">
        <v>1313</v>
      </c>
      <c r="I13" t="s">
        <v>1314</v>
      </c>
      <c r="J13" t="s">
        <v>1315</v>
      </c>
      <c r="K13" t="s">
        <v>1316</v>
      </c>
      <c r="L13" t="s">
        <v>1317</v>
      </c>
      <c r="M13" t="s">
        <v>1318</v>
      </c>
      <c r="N13" t="s">
        <v>1319</v>
      </c>
      <c r="O13" t="s">
        <v>1320</v>
      </c>
      <c r="P13" t="s">
        <v>1321</v>
      </c>
      <c r="Q13" t="s">
        <v>1322</v>
      </c>
      <c r="R13" t="s">
        <v>1323</v>
      </c>
      <c r="S13" t="s">
        <v>1324</v>
      </c>
      <c r="T13" t="s">
        <v>1325</v>
      </c>
      <c r="U13" t="s">
        <v>1326</v>
      </c>
      <c r="V13" t="s">
        <v>1327</v>
      </c>
      <c r="W13" t="s">
        <v>1328</v>
      </c>
      <c r="X13" t="s">
        <v>1329</v>
      </c>
      <c r="Y13" t="s">
        <v>1330</v>
      </c>
      <c r="Z13" t="s">
        <v>1331</v>
      </c>
      <c r="AA13" t="s">
        <v>1332</v>
      </c>
      <c r="AB13" t="s">
        <v>1333</v>
      </c>
      <c r="AC13" t="s">
        <v>1334</v>
      </c>
      <c r="AD13" t="s">
        <v>1335</v>
      </c>
      <c r="AE13" t="s">
        <v>1336</v>
      </c>
      <c r="AF13" t="s">
        <v>1337</v>
      </c>
      <c r="AG13" t="s">
        <v>1338</v>
      </c>
      <c r="AH13" t="s">
        <v>1339</v>
      </c>
      <c r="AI13" t="s">
        <v>1340</v>
      </c>
      <c r="AJ13" t="s">
        <v>1341</v>
      </c>
      <c r="AK13" t="s">
        <v>1342</v>
      </c>
      <c r="AL13" t="s">
        <v>1343</v>
      </c>
      <c r="AM13" t="s">
        <v>1344</v>
      </c>
      <c r="AN13" t="s">
        <v>1345</v>
      </c>
      <c r="AO13" t="s">
        <v>1346</v>
      </c>
      <c r="AP13" t="s">
        <v>1347</v>
      </c>
      <c r="AQ13" t="s">
        <v>1348</v>
      </c>
      <c r="AR13" t="s">
        <v>1349</v>
      </c>
      <c r="AS13" t="s">
        <v>1350</v>
      </c>
      <c r="AT13" t="s">
        <v>1351</v>
      </c>
      <c r="AU13" t="s">
        <v>1352</v>
      </c>
      <c r="AV13" t="s">
        <v>1353</v>
      </c>
      <c r="AW13" t="s">
        <v>1354</v>
      </c>
      <c r="AX13" t="s">
        <v>1355</v>
      </c>
      <c r="AY13" t="s">
        <v>1356</v>
      </c>
      <c r="AZ13" t="s">
        <v>1357</v>
      </c>
      <c r="BA13" t="s">
        <v>1358</v>
      </c>
      <c r="BB13" t="s">
        <v>1359</v>
      </c>
      <c r="BC13" t="s">
        <v>1360</v>
      </c>
      <c r="BD13" t="s">
        <v>1361</v>
      </c>
      <c r="BE13" t="s">
        <v>1362</v>
      </c>
      <c r="BF13" t="s">
        <v>1363</v>
      </c>
      <c r="BG13" t="s">
        <v>1364</v>
      </c>
      <c r="BH13" t="s">
        <v>1365</v>
      </c>
      <c r="BI13" t="s">
        <v>1366</v>
      </c>
      <c r="BJ13" t="s">
        <v>1367</v>
      </c>
      <c r="BK13" t="s">
        <v>1368</v>
      </c>
      <c r="BL13" t="s">
        <v>1369</v>
      </c>
      <c r="BM13" t="s">
        <v>1370</v>
      </c>
      <c r="BN13" t="s">
        <v>1371</v>
      </c>
      <c r="BO13" t="s">
        <v>1372</v>
      </c>
      <c r="BP13" t="s">
        <v>1373</v>
      </c>
      <c r="BQ13" t="s">
        <v>1374</v>
      </c>
      <c r="BR13" t="s">
        <v>1375</v>
      </c>
      <c r="BS13" t="s">
        <v>1376</v>
      </c>
      <c r="BT13" t="s">
        <v>1377</v>
      </c>
      <c r="BU13" t="s">
        <v>1378</v>
      </c>
      <c r="BV13" t="s">
        <v>1379</v>
      </c>
      <c r="BW13" t="s">
        <v>1380</v>
      </c>
      <c r="BX13" t="s">
        <v>1381</v>
      </c>
      <c r="BY13" t="s">
        <v>1382</v>
      </c>
      <c r="BZ13" t="s">
        <v>1383</v>
      </c>
      <c r="CA13" t="s">
        <v>1384</v>
      </c>
      <c r="CB13" t="s">
        <v>1385</v>
      </c>
      <c r="CC13" t="s">
        <v>1386</v>
      </c>
      <c r="CD13" t="s">
        <v>1387</v>
      </c>
      <c r="CE13" t="s">
        <v>1388</v>
      </c>
      <c r="CF13" t="s">
        <v>1389</v>
      </c>
      <c r="CG13" t="s">
        <v>1390</v>
      </c>
      <c r="CH13" t="s">
        <v>1391</v>
      </c>
      <c r="CI13" t="s">
        <v>1392</v>
      </c>
      <c r="CJ13" t="s">
        <v>1393</v>
      </c>
      <c r="CK13" t="s">
        <v>1394</v>
      </c>
      <c r="CL13" t="s">
        <v>1395</v>
      </c>
      <c r="CM13" t="s">
        <v>1396</v>
      </c>
      <c r="CN13" t="s">
        <v>1397</v>
      </c>
      <c r="CO13" t="s">
        <v>1398</v>
      </c>
      <c r="CP13" t="s">
        <v>1399</v>
      </c>
      <c r="CQ13" t="s">
        <v>1400</v>
      </c>
      <c r="CR13" t="s">
        <v>1401</v>
      </c>
      <c r="CS13" t="s">
        <v>1402</v>
      </c>
      <c r="CT13" t="s">
        <v>1403</v>
      </c>
      <c r="CU13" t="s">
        <v>1404</v>
      </c>
      <c r="CV13" t="s">
        <v>1405</v>
      </c>
      <c r="CW13" t="s">
        <v>1406</v>
      </c>
      <c r="CX13" t="s">
        <v>1407</v>
      </c>
      <c r="CY13" t="s">
        <v>1408</v>
      </c>
      <c r="CZ13" t="s">
        <v>1409</v>
      </c>
      <c r="DA13" t="s">
        <v>1410</v>
      </c>
      <c r="DB13" t="s">
        <v>1411</v>
      </c>
      <c r="DC13" t="s">
        <v>1412</v>
      </c>
      <c r="DD13" t="s">
        <v>1413</v>
      </c>
      <c r="DE13" t="s">
        <v>1414</v>
      </c>
      <c r="DF13" t="s">
        <v>1415</v>
      </c>
      <c r="DG13" t="s">
        <v>1416</v>
      </c>
      <c r="DH13" t="s">
        <v>1417</v>
      </c>
      <c r="DI13" t="s">
        <v>1418</v>
      </c>
      <c r="DJ13" t="s">
        <v>1419</v>
      </c>
      <c r="DK13" t="s">
        <v>1420</v>
      </c>
      <c r="DL13" t="s">
        <v>1421</v>
      </c>
      <c r="DM13" t="s">
        <v>1422</v>
      </c>
      <c r="DN13" t="s">
        <v>1423</v>
      </c>
      <c r="DO13" t="s">
        <v>1424</v>
      </c>
      <c r="DP13" t="s">
        <v>1425</v>
      </c>
      <c r="DQ13" t="s">
        <v>1426</v>
      </c>
      <c r="DR13" t="s">
        <v>1427</v>
      </c>
      <c r="DS13" t="s">
        <v>1428</v>
      </c>
      <c r="DT13" t="s">
        <v>1429</v>
      </c>
      <c r="DU13" t="s">
        <v>1430</v>
      </c>
      <c r="DV13" t="s">
        <v>1431</v>
      </c>
      <c r="DW13" t="s">
        <v>1432</v>
      </c>
      <c r="DX13" t="s">
        <v>1433</v>
      </c>
      <c r="DY13" t="s">
        <v>1434</v>
      </c>
    </row>
    <row r="14" spans="1:129" x14ac:dyDescent="0.25">
      <c r="A14" t="s">
        <v>1306</v>
      </c>
      <c r="B14" t="s">
        <v>1435</v>
      </c>
      <c r="C14" t="s">
        <v>1436</v>
      </c>
      <c r="D14" t="s">
        <v>1437</v>
      </c>
      <c r="E14" t="s">
        <v>1438</v>
      </c>
      <c r="F14" t="s">
        <v>1439</v>
      </c>
      <c r="G14" t="s">
        <v>1440</v>
      </c>
      <c r="H14" t="s">
        <v>1441</v>
      </c>
      <c r="I14" t="s">
        <v>1442</v>
      </c>
      <c r="J14" t="s">
        <v>1443</v>
      </c>
      <c r="K14" t="s">
        <v>1444</v>
      </c>
      <c r="L14" t="s">
        <v>1445</v>
      </c>
      <c r="M14" t="s">
        <v>1446</v>
      </c>
      <c r="N14" t="s">
        <v>1447</v>
      </c>
      <c r="O14" t="s">
        <v>1448</v>
      </c>
      <c r="P14" t="s">
        <v>1449</v>
      </c>
      <c r="Q14" t="s">
        <v>1450</v>
      </c>
      <c r="R14" t="s">
        <v>1451</v>
      </c>
      <c r="S14" t="s">
        <v>1452</v>
      </c>
      <c r="T14" t="s">
        <v>1453</v>
      </c>
      <c r="U14" t="s">
        <v>1454</v>
      </c>
      <c r="V14" t="s">
        <v>1455</v>
      </c>
      <c r="W14" t="s">
        <v>1456</v>
      </c>
      <c r="X14" t="s">
        <v>1457</v>
      </c>
      <c r="Y14" t="s">
        <v>1458</v>
      </c>
      <c r="Z14" t="s">
        <v>1459</v>
      </c>
      <c r="AA14" t="s">
        <v>1460</v>
      </c>
      <c r="AB14" t="s">
        <v>1461</v>
      </c>
      <c r="AC14" t="s">
        <v>1462</v>
      </c>
      <c r="AD14" t="s">
        <v>1463</v>
      </c>
      <c r="AE14" t="s">
        <v>1464</v>
      </c>
      <c r="AF14" t="s">
        <v>1465</v>
      </c>
      <c r="AG14" t="s">
        <v>1466</v>
      </c>
      <c r="AH14" t="s">
        <v>1467</v>
      </c>
      <c r="AI14" t="s">
        <v>1468</v>
      </c>
      <c r="AJ14" t="s">
        <v>1469</v>
      </c>
      <c r="AK14" t="s">
        <v>1470</v>
      </c>
      <c r="AL14" t="s">
        <v>1471</v>
      </c>
      <c r="AM14" t="s">
        <v>1472</v>
      </c>
      <c r="AN14" t="s">
        <v>1473</v>
      </c>
      <c r="AO14" t="s">
        <v>1474</v>
      </c>
      <c r="AP14" t="s">
        <v>1475</v>
      </c>
      <c r="AQ14" t="s">
        <v>1476</v>
      </c>
      <c r="AR14" t="s">
        <v>1477</v>
      </c>
      <c r="AS14" t="s">
        <v>1478</v>
      </c>
      <c r="AT14" t="s">
        <v>1479</v>
      </c>
      <c r="AU14" t="s">
        <v>1480</v>
      </c>
      <c r="AV14" t="s">
        <v>1481</v>
      </c>
      <c r="AW14" t="s">
        <v>1482</v>
      </c>
      <c r="AX14" t="s">
        <v>1483</v>
      </c>
      <c r="AY14" t="s">
        <v>1484</v>
      </c>
      <c r="AZ14" t="s">
        <v>1485</v>
      </c>
      <c r="BA14" t="s">
        <v>1486</v>
      </c>
      <c r="BB14" t="s">
        <v>1487</v>
      </c>
      <c r="BC14" t="s">
        <v>1488</v>
      </c>
      <c r="BD14" t="s">
        <v>1489</v>
      </c>
      <c r="BE14" t="s">
        <v>1490</v>
      </c>
      <c r="BF14" t="s">
        <v>1491</v>
      </c>
      <c r="BG14" t="s">
        <v>1492</v>
      </c>
      <c r="BH14" t="s">
        <v>1493</v>
      </c>
      <c r="BI14" t="s">
        <v>1494</v>
      </c>
      <c r="BJ14" t="s">
        <v>1495</v>
      </c>
      <c r="BK14" t="s">
        <v>1496</v>
      </c>
      <c r="BL14" t="s">
        <v>1497</v>
      </c>
      <c r="BM14" t="s">
        <v>1498</v>
      </c>
      <c r="BN14" t="s">
        <v>1499</v>
      </c>
      <c r="BO14" t="s">
        <v>1500</v>
      </c>
      <c r="BP14" t="s">
        <v>1501</v>
      </c>
      <c r="BQ14" t="s">
        <v>1502</v>
      </c>
      <c r="BR14" t="s">
        <v>1503</v>
      </c>
      <c r="BS14" t="s">
        <v>1504</v>
      </c>
      <c r="BT14" t="s">
        <v>1505</v>
      </c>
      <c r="BU14" t="s">
        <v>1506</v>
      </c>
      <c r="BV14" t="s">
        <v>1507</v>
      </c>
      <c r="BW14" t="s">
        <v>1508</v>
      </c>
      <c r="BX14" t="s">
        <v>1509</v>
      </c>
      <c r="BY14" t="s">
        <v>1510</v>
      </c>
      <c r="BZ14" t="s">
        <v>1511</v>
      </c>
      <c r="CA14" t="s">
        <v>1512</v>
      </c>
      <c r="CB14" t="s">
        <v>1513</v>
      </c>
      <c r="CC14" t="s">
        <v>1514</v>
      </c>
      <c r="CD14" t="s">
        <v>1515</v>
      </c>
      <c r="CE14" t="s">
        <v>1516</v>
      </c>
      <c r="CF14" t="s">
        <v>1517</v>
      </c>
      <c r="CG14" t="s">
        <v>1518</v>
      </c>
      <c r="CH14" t="s">
        <v>1519</v>
      </c>
      <c r="CI14" t="s">
        <v>1520</v>
      </c>
      <c r="CJ14" t="s">
        <v>1521</v>
      </c>
      <c r="CK14" t="s">
        <v>1522</v>
      </c>
      <c r="CL14" t="s">
        <v>1523</v>
      </c>
      <c r="CM14" t="s">
        <v>1524</v>
      </c>
      <c r="CN14" t="s">
        <v>1525</v>
      </c>
      <c r="CO14" t="s">
        <v>1526</v>
      </c>
      <c r="CP14" t="s">
        <v>1527</v>
      </c>
      <c r="CQ14" t="s">
        <v>1528</v>
      </c>
      <c r="CR14" t="s">
        <v>1529</v>
      </c>
      <c r="CS14" t="s">
        <v>1530</v>
      </c>
      <c r="CT14" t="s">
        <v>1531</v>
      </c>
      <c r="CU14" t="s">
        <v>1532</v>
      </c>
      <c r="CV14" t="s">
        <v>1533</v>
      </c>
      <c r="CW14" t="s">
        <v>1534</v>
      </c>
      <c r="CX14" t="s">
        <v>1535</v>
      </c>
      <c r="CY14" t="s">
        <v>1536</v>
      </c>
      <c r="CZ14" t="s">
        <v>1537</v>
      </c>
      <c r="DA14" t="s">
        <v>1538</v>
      </c>
      <c r="DB14" t="s">
        <v>1539</v>
      </c>
      <c r="DC14" t="s">
        <v>1540</v>
      </c>
      <c r="DD14" t="s">
        <v>1541</v>
      </c>
      <c r="DE14" t="s">
        <v>1542</v>
      </c>
      <c r="DF14" t="s">
        <v>1543</v>
      </c>
      <c r="DG14" t="s">
        <v>1544</v>
      </c>
      <c r="DH14" t="s">
        <v>1545</v>
      </c>
      <c r="DI14" t="s">
        <v>1546</v>
      </c>
      <c r="DJ14" t="s">
        <v>1547</v>
      </c>
      <c r="DK14" t="s">
        <v>1548</v>
      </c>
      <c r="DL14" t="s">
        <v>1549</v>
      </c>
      <c r="DM14" t="s">
        <v>1550</v>
      </c>
      <c r="DN14" t="s">
        <v>1551</v>
      </c>
      <c r="DO14" t="s">
        <v>1552</v>
      </c>
      <c r="DP14" t="s">
        <v>1553</v>
      </c>
      <c r="DQ14" t="s">
        <v>1554</v>
      </c>
      <c r="DR14" t="s">
        <v>1555</v>
      </c>
      <c r="DS14" t="s">
        <v>1556</v>
      </c>
      <c r="DT14" t="s">
        <v>1557</v>
      </c>
      <c r="DU14" t="s">
        <v>1558</v>
      </c>
      <c r="DV14" t="s">
        <v>1559</v>
      </c>
      <c r="DW14" t="s">
        <v>1560</v>
      </c>
      <c r="DX14" t="s">
        <v>1561</v>
      </c>
      <c r="DY14" t="s">
        <v>1562</v>
      </c>
    </row>
    <row r="15" spans="1:129" x14ac:dyDescent="0.25">
      <c r="A15" t="s">
        <v>1563</v>
      </c>
      <c r="B15" t="s">
        <v>1565</v>
      </c>
      <c r="C15" t="s">
        <v>1566</v>
      </c>
      <c r="D15" t="s">
        <v>1567</v>
      </c>
      <c r="E15" t="s">
        <v>1568</v>
      </c>
      <c r="F15" t="s">
        <v>1569</v>
      </c>
      <c r="G15" t="s">
        <v>1570</v>
      </c>
      <c r="H15" t="s">
        <v>1571</v>
      </c>
      <c r="I15" t="s">
        <v>1572</v>
      </c>
      <c r="J15" t="s">
        <v>1573</v>
      </c>
      <c r="K15" t="s">
        <v>1574</v>
      </c>
      <c r="L15" t="s">
        <v>1575</v>
      </c>
      <c r="M15" t="s">
        <v>1576</v>
      </c>
      <c r="N15" t="s">
        <v>1577</v>
      </c>
      <c r="O15" t="s">
        <v>1578</v>
      </c>
      <c r="P15" t="s">
        <v>1579</v>
      </c>
      <c r="Q15" t="s">
        <v>1580</v>
      </c>
      <c r="R15" t="s">
        <v>1581</v>
      </c>
      <c r="S15" t="s">
        <v>1582</v>
      </c>
      <c r="T15" t="s">
        <v>1583</v>
      </c>
      <c r="U15" t="s">
        <v>1584</v>
      </c>
      <c r="V15" t="s">
        <v>1585</v>
      </c>
      <c r="W15" t="s">
        <v>1586</v>
      </c>
      <c r="X15" t="s">
        <v>1587</v>
      </c>
      <c r="Y15" t="s">
        <v>1588</v>
      </c>
      <c r="Z15" t="s">
        <v>1589</v>
      </c>
      <c r="AA15" t="s">
        <v>1590</v>
      </c>
      <c r="AB15" t="s">
        <v>1591</v>
      </c>
      <c r="AC15" t="s">
        <v>1592</v>
      </c>
      <c r="AD15" t="s">
        <v>1593</v>
      </c>
      <c r="AE15" t="s">
        <v>1594</v>
      </c>
      <c r="AF15" t="s">
        <v>1595</v>
      </c>
      <c r="AG15" t="s">
        <v>1596</v>
      </c>
      <c r="AH15" t="s">
        <v>1597</v>
      </c>
      <c r="AI15" t="s">
        <v>1598</v>
      </c>
      <c r="AJ15" t="s">
        <v>1599</v>
      </c>
      <c r="AK15" t="s">
        <v>1600</v>
      </c>
      <c r="AL15" t="s">
        <v>1601</v>
      </c>
      <c r="AM15" t="s">
        <v>1602</v>
      </c>
      <c r="AN15" t="s">
        <v>1603</v>
      </c>
      <c r="AO15" t="s">
        <v>1604</v>
      </c>
      <c r="AP15" t="s">
        <v>1605</v>
      </c>
      <c r="AQ15" t="s">
        <v>1606</v>
      </c>
      <c r="AR15" t="s">
        <v>1607</v>
      </c>
      <c r="AS15" t="s">
        <v>1608</v>
      </c>
      <c r="AT15" t="s">
        <v>1609</v>
      </c>
      <c r="AU15" t="s">
        <v>1610</v>
      </c>
      <c r="AV15" t="s">
        <v>1611</v>
      </c>
      <c r="AW15" t="s">
        <v>1612</v>
      </c>
      <c r="AX15" t="s">
        <v>1613</v>
      </c>
      <c r="AY15" t="s">
        <v>1614</v>
      </c>
      <c r="AZ15" t="s">
        <v>1615</v>
      </c>
      <c r="BA15" t="s">
        <v>1616</v>
      </c>
      <c r="BB15" t="s">
        <v>1617</v>
      </c>
      <c r="BC15" t="s">
        <v>1618</v>
      </c>
      <c r="BD15" t="s">
        <v>1619</v>
      </c>
      <c r="BE15" t="s">
        <v>1620</v>
      </c>
      <c r="BF15" t="s">
        <v>1621</v>
      </c>
      <c r="BG15" t="s">
        <v>1622</v>
      </c>
      <c r="BH15" t="s">
        <v>1623</v>
      </c>
      <c r="BI15" t="s">
        <v>1624</v>
      </c>
      <c r="BJ15" t="s">
        <v>1625</v>
      </c>
      <c r="BK15" t="s">
        <v>1626</v>
      </c>
      <c r="BL15" t="s">
        <v>1627</v>
      </c>
      <c r="BM15" t="s">
        <v>1628</v>
      </c>
      <c r="BN15" t="s">
        <v>1629</v>
      </c>
      <c r="BO15" t="s">
        <v>1630</v>
      </c>
      <c r="BP15" t="s">
        <v>1631</v>
      </c>
      <c r="BQ15" t="s">
        <v>1632</v>
      </c>
      <c r="BR15" t="s">
        <v>1633</v>
      </c>
      <c r="BS15" t="s">
        <v>1634</v>
      </c>
      <c r="BT15" t="s">
        <v>1635</v>
      </c>
      <c r="BU15" t="s">
        <v>1636</v>
      </c>
      <c r="BV15" t="s">
        <v>1637</v>
      </c>
      <c r="BW15" t="s">
        <v>1638</v>
      </c>
      <c r="BX15" t="s">
        <v>1639</v>
      </c>
      <c r="BY15" t="s">
        <v>1640</v>
      </c>
      <c r="BZ15" t="s">
        <v>1641</v>
      </c>
      <c r="CA15" t="s">
        <v>1642</v>
      </c>
      <c r="CB15" t="s">
        <v>1643</v>
      </c>
      <c r="CC15" t="s">
        <v>1644</v>
      </c>
      <c r="CD15" t="s">
        <v>1645</v>
      </c>
      <c r="CE15" t="s">
        <v>1646</v>
      </c>
      <c r="CF15" t="s">
        <v>1647</v>
      </c>
      <c r="CG15" t="s">
        <v>1648</v>
      </c>
      <c r="CH15" t="s">
        <v>1649</v>
      </c>
      <c r="CI15" t="s">
        <v>1650</v>
      </c>
      <c r="CJ15" t="s">
        <v>1651</v>
      </c>
      <c r="CK15" t="s">
        <v>1652</v>
      </c>
      <c r="CL15" t="s">
        <v>1653</v>
      </c>
      <c r="CM15" t="s">
        <v>1654</v>
      </c>
      <c r="CN15" t="s">
        <v>1655</v>
      </c>
      <c r="CO15" t="s">
        <v>1656</v>
      </c>
      <c r="CP15" t="s">
        <v>1657</v>
      </c>
      <c r="CQ15" t="s">
        <v>1658</v>
      </c>
      <c r="CR15" t="s">
        <v>1659</v>
      </c>
      <c r="CS15" t="s">
        <v>1660</v>
      </c>
      <c r="CT15" t="s">
        <v>1661</v>
      </c>
      <c r="CU15" t="s">
        <v>1662</v>
      </c>
      <c r="CV15" t="s">
        <v>1663</v>
      </c>
      <c r="CW15" t="s">
        <v>1664</v>
      </c>
      <c r="CX15" t="s">
        <v>1665</v>
      </c>
      <c r="CY15" t="s">
        <v>1666</v>
      </c>
      <c r="CZ15" t="s">
        <v>1667</v>
      </c>
      <c r="DA15" t="s">
        <v>1668</v>
      </c>
      <c r="DB15" t="s">
        <v>1669</v>
      </c>
      <c r="DC15" t="s">
        <v>1670</v>
      </c>
      <c r="DD15" t="s">
        <v>1671</v>
      </c>
      <c r="DE15" t="s">
        <v>1672</v>
      </c>
      <c r="DF15" t="s">
        <v>1673</v>
      </c>
      <c r="DG15" t="s">
        <v>1674</v>
      </c>
      <c r="DH15" t="s">
        <v>1675</v>
      </c>
      <c r="DI15" t="s">
        <v>1676</v>
      </c>
      <c r="DJ15" t="s">
        <v>1677</v>
      </c>
      <c r="DK15" t="s">
        <v>1678</v>
      </c>
      <c r="DL15" t="s">
        <v>1679</v>
      </c>
      <c r="DM15" t="s">
        <v>1680</v>
      </c>
      <c r="DN15" t="s">
        <v>1681</v>
      </c>
      <c r="DO15" t="s">
        <v>1682</v>
      </c>
      <c r="DP15" t="s">
        <v>1683</v>
      </c>
      <c r="DQ15" t="s">
        <v>1684</v>
      </c>
      <c r="DR15" t="s">
        <v>1685</v>
      </c>
      <c r="DS15" t="s">
        <v>1686</v>
      </c>
      <c r="DT15" t="s">
        <v>1687</v>
      </c>
      <c r="DU15" t="s">
        <v>1688</v>
      </c>
      <c r="DV15" t="s">
        <v>1689</v>
      </c>
      <c r="DW15" t="s">
        <v>1690</v>
      </c>
      <c r="DX15" t="s">
        <v>1691</v>
      </c>
      <c r="DY15" t="s">
        <v>1692</v>
      </c>
    </row>
    <row r="16" spans="1:129" x14ac:dyDescent="0.25">
      <c r="A16" t="s">
        <v>1564</v>
      </c>
      <c r="B16" t="s">
        <v>1693</v>
      </c>
      <c r="C16" t="s">
        <v>1694</v>
      </c>
      <c r="D16" t="s">
        <v>1695</v>
      </c>
      <c r="E16" t="s">
        <v>1696</v>
      </c>
      <c r="F16" t="s">
        <v>1697</v>
      </c>
      <c r="G16" t="s">
        <v>1698</v>
      </c>
      <c r="H16" t="s">
        <v>1699</v>
      </c>
      <c r="I16" t="s">
        <v>1700</v>
      </c>
      <c r="J16" t="s">
        <v>1701</v>
      </c>
      <c r="K16" t="s">
        <v>1702</v>
      </c>
      <c r="L16" t="s">
        <v>1703</v>
      </c>
      <c r="M16" t="s">
        <v>1704</v>
      </c>
      <c r="N16" t="s">
        <v>1705</v>
      </c>
      <c r="O16" t="s">
        <v>1706</v>
      </c>
      <c r="P16" t="s">
        <v>1707</v>
      </c>
      <c r="Q16" t="s">
        <v>1708</v>
      </c>
      <c r="R16" t="s">
        <v>1709</v>
      </c>
      <c r="S16" t="s">
        <v>1710</v>
      </c>
      <c r="T16" t="s">
        <v>1711</v>
      </c>
      <c r="U16" t="s">
        <v>1712</v>
      </c>
      <c r="V16" t="s">
        <v>1713</v>
      </c>
      <c r="W16" t="s">
        <v>1714</v>
      </c>
      <c r="X16" t="s">
        <v>1715</v>
      </c>
      <c r="Y16" t="s">
        <v>1716</v>
      </c>
      <c r="Z16" t="s">
        <v>1717</v>
      </c>
      <c r="AA16" t="s">
        <v>1718</v>
      </c>
      <c r="AB16" t="s">
        <v>1719</v>
      </c>
      <c r="AC16" t="s">
        <v>1720</v>
      </c>
      <c r="AD16" t="s">
        <v>1721</v>
      </c>
      <c r="AE16" t="s">
        <v>1722</v>
      </c>
      <c r="AF16" t="s">
        <v>1723</v>
      </c>
      <c r="AG16" t="s">
        <v>1724</v>
      </c>
      <c r="AH16" t="s">
        <v>1725</v>
      </c>
      <c r="AI16" t="s">
        <v>1726</v>
      </c>
      <c r="AJ16" t="s">
        <v>1727</v>
      </c>
      <c r="AK16" t="s">
        <v>1728</v>
      </c>
      <c r="AL16" t="s">
        <v>1729</v>
      </c>
      <c r="AM16" t="s">
        <v>1730</v>
      </c>
      <c r="AN16" t="s">
        <v>1731</v>
      </c>
      <c r="AO16" t="s">
        <v>1732</v>
      </c>
      <c r="AP16" t="s">
        <v>1733</v>
      </c>
      <c r="AQ16" t="s">
        <v>1734</v>
      </c>
      <c r="AR16" t="s">
        <v>1735</v>
      </c>
      <c r="AS16" t="s">
        <v>1736</v>
      </c>
      <c r="AT16" t="s">
        <v>1737</v>
      </c>
      <c r="AU16" t="s">
        <v>1738</v>
      </c>
      <c r="AV16" t="s">
        <v>1739</v>
      </c>
      <c r="AW16" t="s">
        <v>1740</v>
      </c>
      <c r="AX16" t="s">
        <v>1741</v>
      </c>
      <c r="AY16" t="s">
        <v>1742</v>
      </c>
      <c r="AZ16" t="s">
        <v>1743</v>
      </c>
      <c r="BA16" t="s">
        <v>1744</v>
      </c>
      <c r="BB16" t="s">
        <v>1745</v>
      </c>
      <c r="BC16" t="s">
        <v>1746</v>
      </c>
      <c r="BD16" t="s">
        <v>1747</v>
      </c>
      <c r="BE16" t="s">
        <v>1748</v>
      </c>
      <c r="BF16" t="s">
        <v>1749</v>
      </c>
      <c r="BG16" t="s">
        <v>1750</v>
      </c>
      <c r="BH16" t="s">
        <v>1751</v>
      </c>
      <c r="BI16" t="s">
        <v>1752</v>
      </c>
      <c r="BJ16" t="s">
        <v>1753</v>
      </c>
      <c r="BK16" t="s">
        <v>1754</v>
      </c>
      <c r="BL16" t="s">
        <v>1755</v>
      </c>
      <c r="BM16" t="s">
        <v>1756</v>
      </c>
      <c r="BN16" t="s">
        <v>1757</v>
      </c>
      <c r="BO16" t="s">
        <v>1758</v>
      </c>
      <c r="BP16" t="s">
        <v>1759</v>
      </c>
      <c r="BQ16" t="s">
        <v>1760</v>
      </c>
      <c r="BR16" t="s">
        <v>1761</v>
      </c>
      <c r="BS16" t="s">
        <v>1762</v>
      </c>
      <c r="BT16" t="s">
        <v>1763</v>
      </c>
      <c r="BU16" t="s">
        <v>1764</v>
      </c>
      <c r="BV16" t="s">
        <v>1765</v>
      </c>
      <c r="BW16" t="s">
        <v>1766</v>
      </c>
      <c r="BX16" t="s">
        <v>1767</v>
      </c>
      <c r="BY16" t="s">
        <v>1768</v>
      </c>
      <c r="BZ16" t="s">
        <v>1769</v>
      </c>
      <c r="CA16" t="s">
        <v>1770</v>
      </c>
      <c r="CB16" t="s">
        <v>1771</v>
      </c>
      <c r="CC16" t="s">
        <v>1772</v>
      </c>
      <c r="CD16" t="s">
        <v>1773</v>
      </c>
      <c r="CE16" t="s">
        <v>1774</v>
      </c>
      <c r="CF16" t="s">
        <v>1775</v>
      </c>
      <c r="CG16" t="s">
        <v>1776</v>
      </c>
      <c r="CH16" t="s">
        <v>1777</v>
      </c>
      <c r="CI16" t="s">
        <v>1778</v>
      </c>
      <c r="CJ16" t="s">
        <v>1779</v>
      </c>
      <c r="CK16" t="s">
        <v>1780</v>
      </c>
      <c r="CL16" t="s">
        <v>1781</v>
      </c>
      <c r="CM16" t="s">
        <v>1782</v>
      </c>
      <c r="CN16" t="s">
        <v>1783</v>
      </c>
      <c r="CO16" t="s">
        <v>1784</v>
      </c>
      <c r="CP16" t="s">
        <v>1785</v>
      </c>
      <c r="CQ16" t="s">
        <v>1786</v>
      </c>
      <c r="CR16" t="s">
        <v>1787</v>
      </c>
      <c r="CS16" t="s">
        <v>1788</v>
      </c>
      <c r="CT16" t="s">
        <v>1789</v>
      </c>
      <c r="CU16" t="s">
        <v>1790</v>
      </c>
      <c r="CV16" t="s">
        <v>1791</v>
      </c>
      <c r="CW16" t="s">
        <v>1792</v>
      </c>
      <c r="CX16" t="s">
        <v>1793</v>
      </c>
      <c r="CY16" t="s">
        <v>1794</v>
      </c>
      <c r="CZ16" t="s">
        <v>1795</v>
      </c>
      <c r="DA16" t="s">
        <v>1796</v>
      </c>
      <c r="DB16" t="s">
        <v>1797</v>
      </c>
      <c r="DC16" t="s">
        <v>1798</v>
      </c>
      <c r="DD16" t="s">
        <v>1799</v>
      </c>
      <c r="DE16" t="s">
        <v>1800</v>
      </c>
      <c r="DF16" t="s">
        <v>1801</v>
      </c>
      <c r="DG16" t="s">
        <v>1802</v>
      </c>
      <c r="DH16" t="s">
        <v>1803</v>
      </c>
      <c r="DI16" t="s">
        <v>1804</v>
      </c>
      <c r="DJ16" t="s">
        <v>1805</v>
      </c>
      <c r="DK16" t="s">
        <v>1806</v>
      </c>
      <c r="DL16" t="s">
        <v>1807</v>
      </c>
      <c r="DM16" t="s">
        <v>1808</v>
      </c>
      <c r="DN16" t="s">
        <v>1809</v>
      </c>
      <c r="DO16" t="s">
        <v>1810</v>
      </c>
      <c r="DP16" t="s">
        <v>1811</v>
      </c>
      <c r="DQ16" t="s">
        <v>1812</v>
      </c>
      <c r="DR16" t="s">
        <v>1813</v>
      </c>
      <c r="DS16" t="s">
        <v>1814</v>
      </c>
      <c r="DT16" t="s">
        <v>1815</v>
      </c>
      <c r="DU16" t="s">
        <v>1816</v>
      </c>
      <c r="DV16" t="s">
        <v>1817</v>
      </c>
      <c r="DW16" t="s">
        <v>1818</v>
      </c>
      <c r="DX16" t="s">
        <v>1819</v>
      </c>
      <c r="DY16" t="s">
        <v>1820</v>
      </c>
    </row>
    <row r="17" spans="1:129" x14ac:dyDescent="0.25">
      <c r="A17" t="s">
        <v>1821</v>
      </c>
      <c r="B17" t="s">
        <v>1823</v>
      </c>
      <c r="C17" t="s">
        <v>1824</v>
      </c>
      <c r="D17" t="s">
        <v>1825</v>
      </c>
      <c r="E17" t="s">
        <v>1826</v>
      </c>
      <c r="F17" t="s">
        <v>1827</v>
      </c>
      <c r="G17" t="s">
        <v>1828</v>
      </c>
      <c r="H17" t="s">
        <v>1829</v>
      </c>
      <c r="I17" t="s">
        <v>1830</v>
      </c>
      <c r="J17" t="s">
        <v>1831</v>
      </c>
      <c r="K17" t="s">
        <v>1832</v>
      </c>
      <c r="L17" t="s">
        <v>1833</v>
      </c>
      <c r="M17" t="s">
        <v>1834</v>
      </c>
      <c r="N17" t="s">
        <v>1835</v>
      </c>
      <c r="O17" t="s">
        <v>1836</v>
      </c>
      <c r="P17" t="s">
        <v>1837</v>
      </c>
      <c r="Q17" t="s">
        <v>1838</v>
      </c>
      <c r="R17" t="s">
        <v>1839</v>
      </c>
      <c r="S17" t="s">
        <v>1840</v>
      </c>
      <c r="T17" t="s">
        <v>1841</v>
      </c>
      <c r="U17" t="s">
        <v>1842</v>
      </c>
      <c r="V17" t="s">
        <v>1843</v>
      </c>
      <c r="W17" t="s">
        <v>1844</v>
      </c>
      <c r="X17" t="s">
        <v>1845</v>
      </c>
      <c r="Y17" t="s">
        <v>1846</v>
      </c>
      <c r="Z17" t="s">
        <v>1847</v>
      </c>
      <c r="AA17" t="s">
        <v>1848</v>
      </c>
      <c r="AB17" t="s">
        <v>1849</v>
      </c>
      <c r="AC17" t="s">
        <v>1850</v>
      </c>
      <c r="AD17" t="s">
        <v>1851</v>
      </c>
      <c r="AE17" t="s">
        <v>1852</v>
      </c>
      <c r="AF17" t="s">
        <v>1853</v>
      </c>
      <c r="AG17" t="s">
        <v>1854</v>
      </c>
      <c r="AH17" t="s">
        <v>1855</v>
      </c>
      <c r="AI17" t="s">
        <v>1856</v>
      </c>
      <c r="AJ17" t="s">
        <v>1857</v>
      </c>
      <c r="AK17" t="s">
        <v>1858</v>
      </c>
      <c r="AL17" t="s">
        <v>1859</v>
      </c>
      <c r="AM17" t="s">
        <v>1860</v>
      </c>
      <c r="AN17" t="s">
        <v>1861</v>
      </c>
      <c r="AO17" t="s">
        <v>1862</v>
      </c>
      <c r="AP17" t="s">
        <v>1863</v>
      </c>
      <c r="AQ17" t="s">
        <v>1864</v>
      </c>
      <c r="AR17" t="s">
        <v>1865</v>
      </c>
      <c r="AS17" t="s">
        <v>1866</v>
      </c>
      <c r="AT17" t="s">
        <v>1867</v>
      </c>
      <c r="AU17" t="s">
        <v>1868</v>
      </c>
      <c r="AV17" t="s">
        <v>1869</v>
      </c>
      <c r="AW17" t="s">
        <v>1870</v>
      </c>
      <c r="AX17" t="s">
        <v>1871</v>
      </c>
      <c r="AY17" t="s">
        <v>1872</v>
      </c>
      <c r="AZ17" t="s">
        <v>1873</v>
      </c>
      <c r="BA17" t="s">
        <v>1874</v>
      </c>
      <c r="BB17" t="s">
        <v>1875</v>
      </c>
      <c r="BC17" t="s">
        <v>1876</v>
      </c>
      <c r="BD17" t="s">
        <v>1877</v>
      </c>
      <c r="BE17" t="s">
        <v>1878</v>
      </c>
      <c r="BF17" t="s">
        <v>1879</v>
      </c>
      <c r="BG17" t="s">
        <v>1880</v>
      </c>
      <c r="BH17" t="s">
        <v>1881</v>
      </c>
      <c r="BI17" t="s">
        <v>1882</v>
      </c>
      <c r="BJ17" t="s">
        <v>1883</v>
      </c>
      <c r="BK17" t="s">
        <v>1884</v>
      </c>
      <c r="BL17" t="s">
        <v>1885</v>
      </c>
      <c r="BM17" t="s">
        <v>1886</v>
      </c>
      <c r="BN17" t="s">
        <v>1887</v>
      </c>
      <c r="BO17" t="s">
        <v>1888</v>
      </c>
      <c r="BP17" t="s">
        <v>1889</v>
      </c>
      <c r="BQ17" t="s">
        <v>1890</v>
      </c>
      <c r="BR17" t="s">
        <v>1891</v>
      </c>
      <c r="BS17" t="s">
        <v>1892</v>
      </c>
      <c r="BT17" t="s">
        <v>1893</v>
      </c>
      <c r="BU17" t="s">
        <v>1894</v>
      </c>
      <c r="BV17" t="s">
        <v>1895</v>
      </c>
      <c r="BW17" t="s">
        <v>1896</v>
      </c>
      <c r="BX17" t="s">
        <v>1897</v>
      </c>
      <c r="BY17" t="s">
        <v>1898</v>
      </c>
      <c r="BZ17" t="s">
        <v>1899</v>
      </c>
      <c r="CA17" t="s">
        <v>1900</v>
      </c>
      <c r="CB17" t="s">
        <v>1901</v>
      </c>
      <c r="CC17" t="s">
        <v>1902</v>
      </c>
      <c r="CD17" t="s">
        <v>1903</v>
      </c>
      <c r="CE17" t="s">
        <v>1904</v>
      </c>
      <c r="CF17" t="s">
        <v>1905</v>
      </c>
      <c r="CG17" t="s">
        <v>1906</v>
      </c>
      <c r="CH17" t="s">
        <v>1907</v>
      </c>
      <c r="CI17" t="s">
        <v>1908</v>
      </c>
      <c r="CJ17" t="s">
        <v>1909</v>
      </c>
      <c r="CK17" t="s">
        <v>1910</v>
      </c>
      <c r="CL17" t="s">
        <v>1911</v>
      </c>
      <c r="CM17" t="s">
        <v>1912</v>
      </c>
      <c r="CN17" t="s">
        <v>1913</v>
      </c>
      <c r="CO17" t="s">
        <v>1914</v>
      </c>
      <c r="CP17" t="s">
        <v>1915</v>
      </c>
      <c r="CQ17" t="s">
        <v>1916</v>
      </c>
      <c r="CR17" t="s">
        <v>1917</v>
      </c>
      <c r="CS17" t="s">
        <v>1918</v>
      </c>
      <c r="CT17" t="s">
        <v>1919</v>
      </c>
      <c r="CU17" t="s">
        <v>1920</v>
      </c>
      <c r="CV17" t="s">
        <v>1921</v>
      </c>
      <c r="CW17" t="s">
        <v>1922</v>
      </c>
      <c r="CX17" t="s">
        <v>1923</v>
      </c>
      <c r="CY17" t="s">
        <v>1924</v>
      </c>
      <c r="CZ17" t="s">
        <v>1925</v>
      </c>
      <c r="DA17" t="s">
        <v>1926</v>
      </c>
      <c r="DB17" t="s">
        <v>1927</v>
      </c>
      <c r="DC17" t="s">
        <v>1928</v>
      </c>
      <c r="DD17" t="s">
        <v>1929</v>
      </c>
      <c r="DE17" t="s">
        <v>1930</v>
      </c>
      <c r="DF17" t="s">
        <v>1931</v>
      </c>
      <c r="DG17" t="s">
        <v>1932</v>
      </c>
      <c r="DH17" t="s">
        <v>1933</v>
      </c>
      <c r="DI17" t="s">
        <v>1934</v>
      </c>
      <c r="DJ17" t="s">
        <v>1935</v>
      </c>
      <c r="DK17" t="s">
        <v>1936</v>
      </c>
      <c r="DL17" t="s">
        <v>1937</v>
      </c>
      <c r="DM17" t="s">
        <v>1938</v>
      </c>
      <c r="DN17" t="s">
        <v>1939</v>
      </c>
      <c r="DO17" t="s">
        <v>1940</v>
      </c>
      <c r="DP17" t="s">
        <v>1941</v>
      </c>
      <c r="DQ17" t="s">
        <v>1942</v>
      </c>
      <c r="DR17" t="s">
        <v>1943</v>
      </c>
      <c r="DS17" t="s">
        <v>1944</v>
      </c>
      <c r="DT17" t="s">
        <v>1945</v>
      </c>
      <c r="DU17" t="s">
        <v>1946</v>
      </c>
      <c r="DV17" t="s">
        <v>1947</v>
      </c>
      <c r="DW17" t="s">
        <v>1948</v>
      </c>
      <c r="DX17" t="s">
        <v>1949</v>
      </c>
      <c r="DY17" t="s">
        <v>1950</v>
      </c>
    </row>
    <row r="18" spans="1:129" x14ac:dyDescent="0.25">
      <c r="A18" t="s">
        <v>1822</v>
      </c>
      <c r="B18" t="s">
        <v>1951</v>
      </c>
      <c r="C18" t="s">
        <v>1952</v>
      </c>
      <c r="D18" t="s">
        <v>1953</v>
      </c>
      <c r="E18" t="s">
        <v>1954</v>
      </c>
      <c r="F18" t="s">
        <v>1955</v>
      </c>
      <c r="G18" t="s">
        <v>1956</v>
      </c>
      <c r="H18" t="s">
        <v>1957</v>
      </c>
      <c r="I18" t="s">
        <v>1958</v>
      </c>
      <c r="J18" t="s">
        <v>1959</v>
      </c>
      <c r="K18" t="s">
        <v>1960</v>
      </c>
      <c r="L18" t="s">
        <v>1961</v>
      </c>
      <c r="M18" t="s">
        <v>1962</v>
      </c>
      <c r="N18" t="s">
        <v>1963</v>
      </c>
      <c r="O18" t="s">
        <v>1964</v>
      </c>
      <c r="P18" t="s">
        <v>1965</v>
      </c>
      <c r="Q18" t="s">
        <v>1966</v>
      </c>
      <c r="R18" t="s">
        <v>1967</v>
      </c>
      <c r="S18" t="s">
        <v>1968</v>
      </c>
      <c r="T18" t="s">
        <v>1969</v>
      </c>
      <c r="U18" t="s">
        <v>1970</v>
      </c>
      <c r="V18" t="s">
        <v>1971</v>
      </c>
      <c r="W18" t="s">
        <v>1972</v>
      </c>
      <c r="X18" t="s">
        <v>1973</v>
      </c>
      <c r="Y18" t="s">
        <v>1974</v>
      </c>
      <c r="Z18" t="s">
        <v>1975</v>
      </c>
      <c r="AA18" t="s">
        <v>1976</v>
      </c>
      <c r="AB18" t="s">
        <v>1977</v>
      </c>
      <c r="AC18" t="s">
        <v>1978</v>
      </c>
      <c r="AD18" t="s">
        <v>1979</v>
      </c>
      <c r="AE18" t="s">
        <v>1980</v>
      </c>
      <c r="AF18" t="s">
        <v>1981</v>
      </c>
      <c r="AG18" t="s">
        <v>1982</v>
      </c>
      <c r="AH18" t="s">
        <v>1983</v>
      </c>
      <c r="AI18" t="s">
        <v>1984</v>
      </c>
      <c r="AJ18" t="s">
        <v>1985</v>
      </c>
      <c r="AK18" t="s">
        <v>1986</v>
      </c>
      <c r="AL18" t="s">
        <v>1987</v>
      </c>
      <c r="AM18" t="s">
        <v>1988</v>
      </c>
      <c r="AN18" t="s">
        <v>1989</v>
      </c>
      <c r="AO18" t="s">
        <v>1990</v>
      </c>
      <c r="AP18" t="s">
        <v>1991</v>
      </c>
      <c r="AQ18" t="s">
        <v>1992</v>
      </c>
      <c r="AR18" t="s">
        <v>1993</v>
      </c>
      <c r="AS18" t="s">
        <v>1994</v>
      </c>
      <c r="AT18" t="s">
        <v>1995</v>
      </c>
      <c r="AU18" t="s">
        <v>1996</v>
      </c>
      <c r="AV18" t="s">
        <v>1997</v>
      </c>
      <c r="AW18" t="s">
        <v>1998</v>
      </c>
      <c r="AX18" t="s">
        <v>1999</v>
      </c>
      <c r="AY18" t="s">
        <v>2000</v>
      </c>
      <c r="AZ18" t="s">
        <v>2001</v>
      </c>
      <c r="BA18" t="s">
        <v>2002</v>
      </c>
      <c r="BB18" t="s">
        <v>2003</v>
      </c>
      <c r="BC18" t="s">
        <v>2004</v>
      </c>
      <c r="BD18" t="s">
        <v>2005</v>
      </c>
      <c r="BE18" t="s">
        <v>2006</v>
      </c>
      <c r="BF18" t="s">
        <v>2007</v>
      </c>
      <c r="BG18" t="s">
        <v>2008</v>
      </c>
      <c r="BH18" t="s">
        <v>2009</v>
      </c>
      <c r="BI18" t="s">
        <v>2010</v>
      </c>
      <c r="BJ18" t="s">
        <v>2011</v>
      </c>
      <c r="BK18" t="s">
        <v>2012</v>
      </c>
      <c r="BL18" t="s">
        <v>2013</v>
      </c>
      <c r="BM18" t="s">
        <v>2014</v>
      </c>
      <c r="BN18" t="s">
        <v>2015</v>
      </c>
      <c r="BO18" t="s">
        <v>2016</v>
      </c>
      <c r="BP18" t="s">
        <v>2017</v>
      </c>
      <c r="BQ18" t="s">
        <v>2018</v>
      </c>
      <c r="BR18" t="s">
        <v>2019</v>
      </c>
      <c r="BS18" t="s">
        <v>2020</v>
      </c>
      <c r="BT18" t="s">
        <v>2021</v>
      </c>
      <c r="BU18" t="s">
        <v>2022</v>
      </c>
      <c r="BV18" t="s">
        <v>2023</v>
      </c>
      <c r="BW18" t="s">
        <v>2024</v>
      </c>
      <c r="BX18" t="s">
        <v>2025</v>
      </c>
      <c r="BY18" t="s">
        <v>2026</v>
      </c>
      <c r="BZ18" t="s">
        <v>2027</v>
      </c>
      <c r="CA18" t="s">
        <v>2028</v>
      </c>
      <c r="CB18" t="s">
        <v>2029</v>
      </c>
      <c r="CC18" t="s">
        <v>2030</v>
      </c>
      <c r="CD18" t="s">
        <v>2031</v>
      </c>
      <c r="CE18" t="s">
        <v>2032</v>
      </c>
      <c r="CF18" t="s">
        <v>2033</v>
      </c>
      <c r="CG18" t="s">
        <v>2034</v>
      </c>
      <c r="CH18" t="s">
        <v>2035</v>
      </c>
      <c r="CI18" t="s">
        <v>2036</v>
      </c>
      <c r="CJ18" t="s">
        <v>2037</v>
      </c>
      <c r="CK18" t="s">
        <v>2038</v>
      </c>
      <c r="CL18" t="s">
        <v>2039</v>
      </c>
      <c r="CM18" t="s">
        <v>2040</v>
      </c>
      <c r="CN18" t="s">
        <v>2041</v>
      </c>
      <c r="CO18" t="s">
        <v>2042</v>
      </c>
      <c r="CP18" t="s">
        <v>2043</v>
      </c>
      <c r="CQ18" t="s">
        <v>2044</v>
      </c>
      <c r="CR18" t="s">
        <v>2045</v>
      </c>
      <c r="CS18" t="s">
        <v>2046</v>
      </c>
      <c r="CT18" t="s">
        <v>2047</v>
      </c>
      <c r="CU18" t="s">
        <v>2048</v>
      </c>
      <c r="CV18" t="s">
        <v>2049</v>
      </c>
      <c r="CW18" t="s">
        <v>2050</v>
      </c>
      <c r="CX18" t="s">
        <v>2051</v>
      </c>
      <c r="CY18" t="s">
        <v>2052</v>
      </c>
      <c r="CZ18" t="s">
        <v>2053</v>
      </c>
      <c r="DA18" t="s">
        <v>2054</v>
      </c>
      <c r="DB18" t="s">
        <v>2055</v>
      </c>
      <c r="DC18" t="s">
        <v>2056</v>
      </c>
      <c r="DD18" t="s">
        <v>2057</v>
      </c>
      <c r="DE18" t="s">
        <v>2058</v>
      </c>
      <c r="DF18" t="s">
        <v>2059</v>
      </c>
      <c r="DG18" t="s">
        <v>2060</v>
      </c>
      <c r="DH18" t="s">
        <v>2061</v>
      </c>
      <c r="DI18" t="s">
        <v>2062</v>
      </c>
      <c r="DJ18" t="s">
        <v>2063</v>
      </c>
      <c r="DK18" t="s">
        <v>2064</v>
      </c>
      <c r="DL18" t="s">
        <v>2065</v>
      </c>
      <c r="DM18" t="s">
        <v>2066</v>
      </c>
      <c r="DN18" t="s">
        <v>2067</v>
      </c>
      <c r="DO18" t="s">
        <v>2068</v>
      </c>
      <c r="DP18" t="s">
        <v>2069</v>
      </c>
      <c r="DQ18" t="s">
        <v>2070</v>
      </c>
      <c r="DR18" t="s">
        <v>2071</v>
      </c>
      <c r="DS18" t="s">
        <v>2072</v>
      </c>
      <c r="DT18" t="s">
        <v>2073</v>
      </c>
      <c r="DU18" t="s">
        <v>2074</v>
      </c>
      <c r="DV18" t="s">
        <v>2075</v>
      </c>
      <c r="DW18" t="s">
        <v>2076</v>
      </c>
      <c r="DX18" t="s">
        <v>2077</v>
      </c>
      <c r="DY18" t="s">
        <v>2078</v>
      </c>
    </row>
    <row r="19" spans="1:129" x14ac:dyDescent="0.25">
      <c r="A19" t="s">
        <v>2079</v>
      </c>
      <c r="B19" t="s">
        <v>2081</v>
      </c>
      <c r="C19" t="s">
        <v>2082</v>
      </c>
      <c r="D19" t="s">
        <v>2083</v>
      </c>
      <c r="E19" t="s">
        <v>2084</v>
      </c>
      <c r="F19" t="s">
        <v>2085</v>
      </c>
      <c r="G19" t="s">
        <v>2086</v>
      </c>
      <c r="H19" t="s">
        <v>2087</v>
      </c>
      <c r="I19" t="s">
        <v>2088</v>
      </c>
      <c r="J19" t="s">
        <v>2089</v>
      </c>
      <c r="K19" t="s">
        <v>2090</v>
      </c>
      <c r="L19" t="s">
        <v>2091</v>
      </c>
      <c r="M19" t="s">
        <v>2092</v>
      </c>
      <c r="N19" t="s">
        <v>2093</v>
      </c>
      <c r="O19" t="s">
        <v>2094</v>
      </c>
      <c r="P19" t="s">
        <v>2095</v>
      </c>
      <c r="Q19" t="s">
        <v>2096</v>
      </c>
      <c r="R19" t="s">
        <v>2097</v>
      </c>
      <c r="S19" t="s">
        <v>2098</v>
      </c>
      <c r="T19" t="s">
        <v>2099</v>
      </c>
      <c r="U19" t="s">
        <v>2100</v>
      </c>
      <c r="V19" t="s">
        <v>2101</v>
      </c>
      <c r="W19" t="s">
        <v>2102</v>
      </c>
      <c r="X19" t="s">
        <v>2103</v>
      </c>
      <c r="Y19" t="s">
        <v>2104</v>
      </c>
      <c r="Z19" t="s">
        <v>2105</v>
      </c>
      <c r="AA19" t="s">
        <v>2106</v>
      </c>
      <c r="AB19" t="s">
        <v>2107</v>
      </c>
      <c r="AC19" t="s">
        <v>2108</v>
      </c>
      <c r="AD19" t="s">
        <v>2109</v>
      </c>
      <c r="AE19" t="s">
        <v>2110</v>
      </c>
      <c r="AF19" t="s">
        <v>2111</v>
      </c>
      <c r="AG19" t="s">
        <v>2112</v>
      </c>
      <c r="AH19" t="s">
        <v>2113</v>
      </c>
      <c r="AI19" t="s">
        <v>2114</v>
      </c>
      <c r="AJ19" t="s">
        <v>2115</v>
      </c>
      <c r="AK19" t="s">
        <v>2116</v>
      </c>
      <c r="AL19" t="s">
        <v>2117</v>
      </c>
      <c r="AM19" t="s">
        <v>2118</v>
      </c>
      <c r="AN19" t="s">
        <v>2119</v>
      </c>
      <c r="AO19" t="s">
        <v>2120</v>
      </c>
      <c r="AP19" t="s">
        <v>2121</v>
      </c>
      <c r="AQ19" t="s">
        <v>2122</v>
      </c>
      <c r="AR19" t="s">
        <v>2123</v>
      </c>
      <c r="AS19" t="s">
        <v>2124</v>
      </c>
      <c r="AT19" t="s">
        <v>2125</v>
      </c>
      <c r="AU19" t="s">
        <v>2126</v>
      </c>
      <c r="AV19" t="s">
        <v>2127</v>
      </c>
      <c r="AW19" t="s">
        <v>2128</v>
      </c>
      <c r="AX19" t="s">
        <v>2129</v>
      </c>
      <c r="AY19" t="s">
        <v>2130</v>
      </c>
      <c r="AZ19" t="s">
        <v>2131</v>
      </c>
      <c r="BA19" t="s">
        <v>2132</v>
      </c>
      <c r="BB19" t="s">
        <v>2133</v>
      </c>
      <c r="BC19" t="s">
        <v>2134</v>
      </c>
      <c r="BD19" t="s">
        <v>2135</v>
      </c>
      <c r="BE19" t="s">
        <v>2136</v>
      </c>
      <c r="BF19" t="s">
        <v>2137</v>
      </c>
      <c r="BG19" t="s">
        <v>2138</v>
      </c>
      <c r="BH19" t="s">
        <v>2139</v>
      </c>
      <c r="BI19" t="s">
        <v>2140</v>
      </c>
      <c r="BJ19" t="s">
        <v>2141</v>
      </c>
      <c r="BK19" t="s">
        <v>2142</v>
      </c>
      <c r="BL19" t="s">
        <v>2143</v>
      </c>
      <c r="BM19" t="s">
        <v>2144</v>
      </c>
      <c r="BN19" t="s">
        <v>2145</v>
      </c>
      <c r="BO19" t="s">
        <v>2146</v>
      </c>
      <c r="BP19" t="s">
        <v>2147</v>
      </c>
      <c r="BQ19" t="s">
        <v>2148</v>
      </c>
      <c r="BR19" t="s">
        <v>2149</v>
      </c>
      <c r="BS19" t="s">
        <v>2150</v>
      </c>
      <c r="BT19" t="s">
        <v>2151</v>
      </c>
      <c r="BU19" t="s">
        <v>2152</v>
      </c>
      <c r="BV19" t="s">
        <v>2153</v>
      </c>
      <c r="BW19" t="s">
        <v>2154</v>
      </c>
      <c r="BX19" t="s">
        <v>2155</v>
      </c>
      <c r="BY19" t="s">
        <v>2156</v>
      </c>
      <c r="BZ19" t="s">
        <v>2157</v>
      </c>
      <c r="CA19" t="s">
        <v>2158</v>
      </c>
      <c r="CB19" t="s">
        <v>2159</v>
      </c>
      <c r="CC19" t="s">
        <v>2160</v>
      </c>
      <c r="CD19" t="s">
        <v>2161</v>
      </c>
      <c r="CE19" t="s">
        <v>2162</v>
      </c>
      <c r="CF19" t="s">
        <v>2163</v>
      </c>
      <c r="CG19" t="s">
        <v>2164</v>
      </c>
      <c r="CH19" t="s">
        <v>2165</v>
      </c>
      <c r="CI19" t="s">
        <v>2166</v>
      </c>
      <c r="CJ19" t="s">
        <v>2167</v>
      </c>
      <c r="CK19" t="s">
        <v>2168</v>
      </c>
      <c r="CL19" t="s">
        <v>2169</v>
      </c>
      <c r="CM19" t="s">
        <v>2170</v>
      </c>
      <c r="CN19" t="s">
        <v>2171</v>
      </c>
      <c r="CO19" t="s">
        <v>2172</v>
      </c>
      <c r="CP19" t="s">
        <v>2173</v>
      </c>
      <c r="CQ19" t="s">
        <v>2174</v>
      </c>
      <c r="CR19" t="s">
        <v>2175</v>
      </c>
      <c r="CS19" t="s">
        <v>2176</v>
      </c>
      <c r="CT19" t="s">
        <v>2177</v>
      </c>
      <c r="CU19" t="s">
        <v>2178</v>
      </c>
      <c r="CV19" t="s">
        <v>2179</v>
      </c>
      <c r="CW19" t="s">
        <v>2180</v>
      </c>
      <c r="CX19" t="s">
        <v>2181</v>
      </c>
      <c r="CY19" t="s">
        <v>2182</v>
      </c>
      <c r="CZ19" t="s">
        <v>2183</v>
      </c>
      <c r="DA19" t="s">
        <v>2184</v>
      </c>
      <c r="DB19" t="s">
        <v>2185</v>
      </c>
      <c r="DC19" t="s">
        <v>2186</v>
      </c>
      <c r="DD19" t="s">
        <v>2187</v>
      </c>
      <c r="DE19" t="s">
        <v>2188</v>
      </c>
      <c r="DF19" t="s">
        <v>2189</v>
      </c>
      <c r="DG19" t="s">
        <v>2190</v>
      </c>
      <c r="DH19" t="s">
        <v>2191</v>
      </c>
      <c r="DI19" t="s">
        <v>2192</v>
      </c>
      <c r="DJ19" t="s">
        <v>2193</v>
      </c>
      <c r="DK19" t="s">
        <v>2194</v>
      </c>
      <c r="DL19" t="s">
        <v>2195</v>
      </c>
      <c r="DM19" t="s">
        <v>2196</v>
      </c>
      <c r="DN19" t="s">
        <v>2197</v>
      </c>
      <c r="DO19" t="s">
        <v>2198</v>
      </c>
      <c r="DP19" t="s">
        <v>2199</v>
      </c>
      <c r="DQ19" t="s">
        <v>2200</v>
      </c>
      <c r="DR19" t="s">
        <v>2201</v>
      </c>
      <c r="DS19" t="s">
        <v>2202</v>
      </c>
      <c r="DT19" t="s">
        <v>2203</v>
      </c>
      <c r="DU19" t="s">
        <v>2204</v>
      </c>
      <c r="DV19" t="s">
        <v>2205</v>
      </c>
      <c r="DW19" t="s">
        <v>2206</v>
      </c>
      <c r="DX19" t="s">
        <v>2207</v>
      </c>
      <c r="DY19" t="s">
        <v>2208</v>
      </c>
    </row>
    <row r="20" spans="1:129" x14ac:dyDescent="0.25">
      <c r="A20" t="s">
        <v>2080</v>
      </c>
      <c r="B20" t="s">
        <v>2209</v>
      </c>
      <c r="C20" t="s">
        <v>2210</v>
      </c>
      <c r="D20" t="s">
        <v>2211</v>
      </c>
      <c r="E20" t="s">
        <v>2212</v>
      </c>
      <c r="F20" t="s">
        <v>2213</v>
      </c>
      <c r="G20" t="s">
        <v>2214</v>
      </c>
      <c r="H20" t="s">
        <v>2215</v>
      </c>
      <c r="I20" t="s">
        <v>2216</v>
      </c>
      <c r="J20" t="s">
        <v>2217</v>
      </c>
      <c r="K20" t="s">
        <v>2218</v>
      </c>
      <c r="L20" t="s">
        <v>2219</v>
      </c>
      <c r="M20" t="s">
        <v>2220</v>
      </c>
      <c r="N20" t="s">
        <v>2221</v>
      </c>
      <c r="O20" t="s">
        <v>2222</v>
      </c>
      <c r="P20" t="s">
        <v>2223</v>
      </c>
      <c r="Q20" t="s">
        <v>2224</v>
      </c>
      <c r="R20" t="s">
        <v>2225</v>
      </c>
      <c r="S20" t="s">
        <v>2226</v>
      </c>
      <c r="T20" t="s">
        <v>2227</v>
      </c>
      <c r="U20" t="s">
        <v>2228</v>
      </c>
      <c r="V20" t="s">
        <v>2229</v>
      </c>
      <c r="W20" t="s">
        <v>2230</v>
      </c>
      <c r="X20" t="s">
        <v>2231</v>
      </c>
      <c r="Y20" t="s">
        <v>2232</v>
      </c>
      <c r="Z20" t="s">
        <v>2233</v>
      </c>
      <c r="AA20" t="s">
        <v>2234</v>
      </c>
      <c r="AB20" t="s">
        <v>2235</v>
      </c>
      <c r="AC20" t="s">
        <v>2236</v>
      </c>
      <c r="AD20" t="s">
        <v>2237</v>
      </c>
      <c r="AE20" t="s">
        <v>2238</v>
      </c>
      <c r="AF20" t="s">
        <v>2239</v>
      </c>
      <c r="AG20" t="s">
        <v>2240</v>
      </c>
      <c r="AH20" t="s">
        <v>2241</v>
      </c>
      <c r="AI20" t="s">
        <v>2242</v>
      </c>
      <c r="AJ20" t="s">
        <v>2243</v>
      </c>
      <c r="AK20" t="s">
        <v>2244</v>
      </c>
      <c r="AL20" t="s">
        <v>2245</v>
      </c>
      <c r="AM20" t="s">
        <v>2246</v>
      </c>
      <c r="AN20" t="s">
        <v>2247</v>
      </c>
      <c r="AO20" t="s">
        <v>2248</v>
      </c>
      <c r="AP20" t="s">
        <v>2249</v>
      </c>
      <c r="AQ20" t="s">
        <v>2250</v>
      </c>
      <c r="AR20" t="s">
        <v>2251</v>
      </c>
      <c r="AS20" t="s">
        <v>2252</v>
      </c>
      <c r="AT20" t="s">
        <v>2253</v>
      </c>
      <c r="AU20" t="s">
        <v>2254</v>
      </c>
      <c r="AV20" t="s">
        <v>2255</v>
      </c>
      <c r="AW20" t="s">
        <v>2256</v>
      </c>
      <c r="AX20" t="s">
        <v>2257</v>
      </c>
      <c r="AY20" t="s">
        <v>2258</v>
      </c>
      <c r="AZ20" t="s">
        <v>2259</v>
      </c>
      <c r="BA20" t="s">
        <v>2260</v>
      </c>
      <c r="BB20" t="s">
        <v>2261</v>
      </c>
      <c r="BC20" t="s">
        <v>2262</v>
      </c>
      <c r="BD20" t="s">
        <v>2263</v>
      </c>
      <c r="BE20" t="s">
        <v>2264</v>
      </c>
      <c r="BF20" t="s">
        <v>2265</v>
      </c>
      <c r="BG20" t="s">
        <v>2266</v>
      </c>
      <c r="BH20" t="s">
        <v>2267</v>
      </c>
      <c r="BI20" t="s">
        <v>2268</v>
      </c>
      <c r="BJ20" t="s">
        <v>2269</v>
      </c>
      <c r="BK20" t="s">
        <v>2270</v>
      </c>
      <c r="BL20" t="s">
        <v>2271</v>
      </c>
      <c r="BM20" t="s">
        <v>2272</v>
      </c>
      <c r="BN20" t="s">
        <v>2273</v>
      </c>
      <c r="BO20" t="s">
        <v>2274</v>
      </c>
      <c r="BP20" t="s">
        <v>2275</v>
      </c>
      <c r="BQ20" t="s">
        <v>2276</v>
      </c>
      <c r="BR20" t="s">
        <v>2277</v>
      </c>
      <c r="BS20" t="s">
        <v>2278</v>
      </c>
      <c r="BT20" t="s">
        <v>2279</v>
      </c>
      <c r="BU20" t="s">
        <v>2280</v>
      </c>
      <c r="BV20" t="s">
        <v>2281</v>
      </c>
      <c r="BW20" t="s">
        <v>2282</v>
      </c>
      <c r="BX20" t="s">
        <v>2283</v>
      </c>
      <c r="BY20" t="s">
        <v>2284</v>
      </c>
      <c r="BZ20" t="s">
        <v>2285</v>
      </c>
      <c r="CA20" t="s">
        <v>2286</v>
      </c>
      <c r="CB20" t="s">
        <v>2287</v>
      </c>
      <c r="CC20" t="s">
        <v>2288</v>
      </c>
      <c r="CD20" t="s">
        <v>2289</v>
      </c>
      <c r="CE20" t="s">
        <v>2290</v>
      </c>
      <c r="CF20" t="s">
        <v>2291</v>
      </c>
      <c r="CG20" t="s">
        <v>2292</v>
      </c>
      <c r="CH20" t="s">
        <v>2293</v>
      </c>
      <c r="CI20" t="s">
        <v>2294</v>
      </c>
      <c r="CJ20" t="s">
        <v>2295</v>
      </c>
      <c r="CK20" t="s">
        <v>2296</v>
      </c>
      <c r="CL20" t="s">
        <v>2297</v>
      </c>
      <c r="CM20" t="s">
        <v>2298</v>
      </c>
      <c r="CN20" t="s">
        <v>2299</v>
      </c>
      <c r="CO20" t="s">
        <v>2300</v>
      </c>
      <c r="CP20" t="s">
        <v>2301</v>
      </c>
      <c r="CQ20" t="s">
        <v>2302</v>
      </c>
      <c r="CR20" t="s">
        <v>2303</v>
      </c>
      <c r="CS20" t="s">
        <v>2304</v>
      </c>
      <c r="CT20" t="s">
        <v>2305</v>
      </c>
      <c r="CU20" t="s">
        <v>2306</v>
      </c>
      <c r="CV20" t="s">
        <v>2307</v>
      </c>
      <c r="CW20" t="s">
        <v>2308</v>
      </c>
      <c r="CX20" t="s">
        <v>2309</v>
      </c>
      <c r="CY20" t="s">
        <v>2310</v>
      </c>
      <c r="CZ20" t="s">
        <v>2311</v>
      </c>
      <c r="DA20" t="s">
        <v>2312</v>
      </c>
      <c r="DB20" t="s">
        <v>2313</v>
      </c>
      <c r="DC20" t="s">
        <v>2314</v>
      </c>
      <c r="DD20" t="s">
        <v>2315</v>
      </c>
      <c r="DE20" t="s">
        <v>2316</v>
      </c>
      <c r="DF20" t="s">
        <v>2317</v>
      </c>
      <c r="DG20" t="s">
        <v>2318</v>
      </c>
      <c r="DH20" t="s">
        <v>2319</v>
      </c>
      <c r="DI20" t="s">
        <v>2320</v>
      </c>
      <c r="DJ20" t="s">
        <v>2321</v>
      </c>
      <c r="DK20" t="s">
        <v>2322</v>
      </c>
      <c r="DL20" t="s">
        <v>2323</v>
      </c>
      <c r="DM20" t="s">
        <v>2324</v>
      </c>
      <c r="DN20" t="s">
        <v>2325</v>
      </c>
      <c r="DO20" t="s">
        <v>2326</v>
      </c>
      <c r="DP20" t="s">
        <v>2327</v>
      </c>
      <c r="DQ20" t="s">
        <v>2328</v>
      </c>
      <c r="DR20" t="s">
        <v>2329</v>
      </c>
      <c r="DS20" t="s">
        <v>2330</v>
      </c>
      <c r="DT20" t="s">
        <v>2331</v>
      </c>
      <c r="DU20" t="s">
        <v>2332</v>
      </c>
      <c r="DV20" t="s">
        <v>2333</v>
      </c>
      <c r="DW20" t="s">
        <v>2334</v>
      </c>
      <c r="DX20" t="s">
        <v>2335</v>
      </c>
      <c r="DY20" t="s">
        <v>2336</v>
      </c>
    </row>
    <row r="21" spans="1:129" x14ac:dyDescent="0.25">
      <c r="A21" t="s">
        <v>2337</v>
      </c>
      <c r="B21" t="s">
        <v>2339</v>
      </c>
      <c r="C21" t="s">
        <v>2340</v>
      </c>
      <c r="D21" t="s">
        <v>2341</v>
      </c>
      <c r="E21" t="s">
        <v>2342</v>
      </c>
      <c r="F21" t="s">
        <v>2343</v>
      </c>
      <c r="G21" t="s">
        <v>2344</v>
      </c>
      <c r="H21" t="s">
        <v>2345</v>
      </c>
      <c r="I21" t="s">
        <v>2346</v>
      </c>
      <c r="J21" t="s">
        <v>2347</v>
      </c>
      <c r="K21" t="s">
        <v>2348</v>
      </c>
      <c r="L21" t="s">
        <v>2349</v>
      </c>
      <c r="M21" t="s">
        <v>2350</v>
      </c>
      <c r="N21" t="s">
        <v>2351</v>
      </c>
      <c r="O21" t="s">
        <v>2352</v>
      </c>
      <c r="P21" t="s">
        <v>2353</v>
      </c>
      <c r="Q21" t="s">
        <v>2354</v>
      </c>
      <c r="R21" t="s">
        <v>2355</v>
      </c>
      <c r="S21" t="s">
        <v>2356</v>
      </c>
      <c r="T21" t="s">
        <v>2357</v>
      </c>
      <c r="U21" t="s">
        <v>2358</v>
      </c>
      <c r="V21" t="s">
        <v>2359</v>
      </c>
      <c r="W21" t="s">
        <v>2360</v>
      </c>
      <c r="X21" t="s">
        <v>2361</v>
      </c>
      <c r="Y21" t="s">
        <v>2362</v>
      </c>
      <c r="Z21" t="s">
        <v>2363</v>
      </c>
      <c r="AA21" t="s">
        <v>2364</v>
      </c>
      <c r="AB21" t="s">
        <v>2365</v>
      </c>
      <c r="AC21" t="s">
        <v>2366</v>
      </c>
      <c r="AD21" t="s">
        <v>2367</v>
      </c>
      <c r="AE21" t="s">
        <v>2368</v>
      </c>
      <c r="AF21" t="s">
        <v>2369</v>
      </c>
      <c r="AG21" t="s">
        <v>2370</v>
      </c>
      <c r="AH21" t="s">
        <v>2371</v>
      </c>
      <c r="AI21" t="s">
        <v>2372</v>
      </c>
      <c r="AJ21" t="s">
        <v>2373</v>
      </c>
      <c r="AK21" t="s">
        <v>2374</v>
      </c>
      <c r="AL21" t="s">
        <v>2375</v>
      </c>
      <c r="AM21" t="s">
        <v>2376</v>
      </c>
      <c r="AN21" t="s">
        <v>2377</v>
      </c>
      <c r="AO21" t="s">
        <v>2378</v>
      </c>
      <c r="AP21" t="s">
        <v>2379</v>
      </c>
      <c r="AQ21" t="s">
        <v>2380</v>
      </c>
      <c r="AR21" t="s">
        <v>2381</v>
      </c>
      <c r="AS21" t="s">
        <v>2382</v>
      </c>
      <c r="AT21" t="s">
        <v>2383</v>
      </c>
      <c r="AU21" t="s">
        <v>2384</v>
      </c>
      <c r="AV21" t="s">
        <v>2385</v>
      </c>
      <c r="AW21" t="s">
        <v>2386</v>
      </c>
      <c r="AX21" t="s">
        <v>2387</v>
      </c>
      <c r="AY21" t="s">
        <v>2388</v>
      </c>
      <c r="AZ21" t="s">
        <v>2389</v>
      </c>
      <c r="BA21" t="s">
        <v>2390</v>
      </c>
      <c r="BB21" t="s">
        <v>2391</v>
      </c>
      <c r="BC21" t="s">
        <v>2392</v>
      </c>
      <c r="BD21" t="s">
        <v>2393</v>
      </c>
      <c r="BE21" t="s">
        <v>2394</v>
      </c>
      <c r="BF21" t="s">
        <v>2395</v>
      </c>
      <c r="BG21" t="s">
        <v>2396</v>
      </c>
      <c r="BH21" t="s">
        <v>2397</v>
      </c>
      <c r="BI21" t="s">
        <v>2398</v>
      </c>
      <c r="BJ21" t="s">
        <v>2399</v>
      </c>
      <c r="BK21" t="s">
        <v>2400</v>
      </c>
      <c r="BL21" t="s">
        <v>2401</v>
      </c>
      <c r="BM21" t="s">
        <v>2402</v>
      </c>
      <c r="BN21" t="s">
        <v>2403</v>
      </c>
      <c r="BO21" t="s">
        <v>2404</v>
      </c>
      <c r="BP21" t="s">
        <v>2405</v>
      </c>
      <c r="BQ21" t="s">
        <v>2406</v>
      </c>
      <c r="BR21" t="s">
        <v>2407</v>
      </c>
      <c r="BS21" t="s">
        <v>2408</v>
      </c>
      <c r="BT21" t="s">
        <v>2409</v>
      </c>
      <c r="BU21" t="s">
        <v>2410</v>
      </c>
      <c r="BV21" t="s">
        <v>2411</v>
      </c>
      <c r="BW21" t="s">
        <v>2412</v>
      </c>
      <c r="BX21" t="s">
        <v>2413</v>
      </c>
      <c r="BY21" t="s">
        <v>2414</v>
      </c>
      <c r="BZ21" t="s">
        <v>2415</v>
      </c>
      <c r="CA21" t="s">
        <v>2416</v>
      </c>
      <c r="CB21" t="s">
        <v>2417</v>
      </c>
      <c r="CC21" t="s">
        <v>2418</v>
      </c>
      <c r="CD21" t="s">
        <v>2419</v>
      </c>
      <c r="CE21" t="s">
        <v>2420</v>
      </c>
      <c r="CF21" t="s">
        <v>2421</v>
      </c>
      <c r="CG21" t="s">
        <v>2422</v>
      </c>
      <c r="CH21" t="s">
        <v>2423</v>
      </c>
      <c r="CI21" t="s">
        <v>2424</v>
      </c>
      <c r="CJ21" t="s">
        <v>2425</v>
      </c>
      <c r="CK21" t="s">
        <v>2426</v>
      </c>
      <c r="CL21" t="s">
        <v>2427</v>
      </c>
      <c r="CM21" t="s">
        <v>2428</v>
      </c>
      <c r="CN21" t="s">
        <v>2429</v>
      </c>
      <c r="CO21" t="s">
        <v>2430</v>
      </c>
      <c r="CP21" t="s">
        <v>2431</v>
      </c>
      <c r="CQ21" t="s">
        <v>2432</v>
      </c>
      <c r="CR21" t="s">
        <v>2433</v>
      </c>
      <c r="CS21" t="s">
        <v>2434</v>
      </c>
      <c r="CT21" t="s">
        <v>2435</v>
      </c>
      <c r="CU21" t="s">
        <v>2436</v>
      </c>
      <c r="CV21" t="s">
        <v>2437</v>
      </c>
      <c r="CW21" t="s">
        <v>2438</v>
      </c>
      <c r="CX21" t="s">
        <v>2439</v>
      </c>
      <c r="CY21" t="s">
        <v>2440</v>
      </c>
      <c r="CZ21" t="s">
        <v>2441</v>
      </c>
      <c r="DA21" t="s">
        <v>2442</v>
      </c>
      <c r="DB21" t="s">
        <v>2443</v>
      </c>
      <c r="DC21" t="s">
        <v>2444</v>
      </c>
      <c r="DD21" t="s">
        <v>2445</v>
      </c>
      <c r="DE21" t="s">
        <v>2446</v>
      </c>
      <c r="DF21" t="s">
        <v>2447</v>
      </c>
      <c r="DG21" t="s">
        <v>2448</v>
      </c>
      <c r="DH21" t="s">
        <v>2449</v>
      </c>
      <c r="DI21" t="s">
        <v>2450</v>
      </c>
      <c r="DJ21" t="s">
        <v>2451</v>
      </c>
      <c r="DK21" t="s">
        <v>2452</v>
      </c>
      <c r="DL21" t="s">
        <v>2453</v>
      </c>
      <c r="DM21" t="s">
        <v>2454</v>
      </c>
      <c r="DN21" t="s">
        <v>2455</v>
      </c>
      <c r="DO21" t="s">
        <v>2456</v>
      </c>
      <c r="DP21" t="s">
        <v>2457</v>
      </c>
      <c r="DQ21" t="s">
        <v>2458</v>
      </c>
      <c r="DR21" t="s">
        <v>2459</v>
      </c>
      <c r="DS21" t="s">
        <v>2460</v>
      </c>
      <c r="DT21" t="s">
        <v>2461</v>
      </c>
      <c r="DU21" t="s">
        <v>2462</v>
      </c>
      <c r="DV21" t="s">
        <v>2463</v>
      </c>
      <c r="DW21" t="s">
        <v>2464</v>
      </c>
      <c r="DX21" t="s">
        <v>2465</v>
      </c>
      <c r="DY21" t="s">
        <v>2466</v>
      </c>
    </row>
    <row r="22" spans="1:129" x14ac:dyDescent="0.25">
      <c r="A22" t="s">
        <v>2338</v>
      </c>
      <c r="B22" t="s">
        <v>2467</v>
      </c>
      <c r="C22" t="s">
        <v>2468</v>
      </c>
      <c r="D22" t="s">
        <v>2469</v>
      </c>
      <c r="E22" t="s">
        <v>2470</v>
      </c>
      <c r="F22" t="s">
        <v>2471</v>
      </c>
      <c r="G22" t="s">
        <v>2472</v>
      </c>
      <c r="H22" t="s">
        <v>2473</v>
      </c>
      <c r="I22" t="s">
        <v>2474</v>
      </c>
      <c r="J22" t="s">
        <v>2475</v>
      </c>
      <c r="K22" t="s">
        <v>2476</v>
      </c>
      <c r="L22" t="s">
        <v>2477</v>
      </c>
      <c r="M22" t="s">
        <v>2478</v>
      </c>
      <c r="N22" t="s">
        <v>2479</v>
      </c>
      <c r="O22" t="s">
        <v>2480</v>
      </c>
      <c r="P22" t="s">
        <v>2481</v>
      </c>
      <c r="Q22" t="s">
        <v>2482</v>
      </c>
      <c r="R22" t="s">
        <v>2483</v>
      </c>
      <c r="S22" t="s">
        <v>2484</v>
      </c>
      <c r="T22" t="s">
        <v>2485</v>
      </c>
      <c r="U22" t="s">
        <v>2486</v>
      </c>
      <c r="V22" t="s">
        <v>2487</v>
      </c>
      <c r="W22" t="s">
        <v>2488</v>
      </c>
      <c r="X22" t="s">
        <v>2489</v>
      </c>
      <c r="Y22" t="s">
        <v>2490</v>
      </c>
      <c r="Z22" t="s">
        <v>2491</v>
      </c>
      <c r="AA22" t="s">
        <v>2492</v>
      </c>
      <c r="AB22" t="s">
        <v>2493</v>
      </c>
      <c r="AC22" t="s">
        <v>2494</v>
      </c>
      <c r="AD22" t="s">
        <v>2495</v>
      </c>
      <c r="AE22" t="s">
        <v>2496</v>
      </c>
      <c r="AF22" t="s">
        <v>2497</v>
      </c>
      <c r="AG22" t="s">
        <v>2498</v>
      </c>
      <c r="AH22" t="s">
        <v>2499</v>
      </c>
      <c r="AI22" t="s">
        <v>2500</v>
      </c>
      <c r="AJ22" t="s">
        <v>2501</v>
      </c>
      <c r="AK22" t="s">
        <v>2502</v>
      </c>
      <c r="AL22" t="s">
        <v>2503</v>
      </c>
      <c r="AM22" t="s">
        <v>2504</v>
      </c>
      <c r="AN22" t="s">
        <v>2505</v>
      </c>
      <c r="AO22" t="s">
        <v>2506</v>
      </c>
      <c r="AP22" t="s">
        <v>2507</v>
      </c>
      <c r="AQ22" t="s">
        <v>2508</v>
      </c>
      <c r="AR22" t="s">
        <v>2509</v>
      </c>
      <c r="AS22" t="s">
        <v>2510</v>
      </c>
      <c r="AT22" t="s">
        <v>2511</v>
      </c>
      <c r="AU22" t="s">
        <v>2512</v>
      </c>
      <c r="AV22" t="s">
        <v>2513</v>
      </c>
      <c r="AW22" t="s">
        <v>2514</v>
      </c>
      <c r="AX22" t="s">
        <v>2515</v>
      </c>
      <c r="AY22" t="s">
        <v>2516</v>
      </c>
      <c r="AZ22" t="s">
        <v>2517</v>
      </c>
      <c r="BA22" t="s">
        <v>2518</v>
      </c>
      <c r="BB22" t="s">
        <v>2519</v>
      </c>
      <c r="BC22" t="s">
        <v>2520</v>
      </c>
      <c r="BD22" t="s">
        <v>2521</v>
      </c>
      <c r="BE22" t="s">
        <v>2522</v>
      </c>
      <c r="BF22" t="s">
        <v>2523</v>
      </c>
      <c r="BG22" t="s">
        <v>2524</v>
      </c>
      <c r="BH22" t="s">
        <v>2525</v>
      </c>
      <c r="BI22" t="s">
        <v>2526</v>
      </c>
      <c r="BJ22" t="s">
        <v>2527</v>
      </c>
      <c r="BK22" t="s">
        <v>2528</v>
      </c>
      <c r="BL22" t="s">
        <v>2529</v>
      </c>
      <c r="BM22" t="s">
        <v>2530</v>
      </c>
      <c r="BN22" t="s">
        <v>2531</v>
      </c>
      <c r="BO22" t="s">
        <v>2532</v>
      </c>
      <c r="BP22" t="s">
        <v>2533</v>
      </c>
      <c r="BQ22" t="s">
        <v>2534</v>
      </c>
      <c r="BR22" t="s">
        <v>2535</v>
      </c>
      <c r="BS22" t="s">
        <v>2536</v>
      </c>
      <c r="BT22" t="s">
        <v>2537</v>
      </c>
      <c r="BU22" t="s">
        <v>2538</v>
      </c>
      <c r="BV22" t="s">
        <v>2539</v>
      </c>
      <c r="BW22" t="s">
        <v>2540</v>
      </c>
      <c r="BX22" t="s">
        <v>2541</v>
      </c>
      <c r="BY22" t="s">
        <v>2542</v>
      </c>
      <c r="BZ22" t="s">
        <v>2543</v>
      </c>
      <c r="CA22" t="s">
        <v>2544</v>
      </c>
      <c r="CB22" t="s">
        <v>2545</v>
      </c>
      <c r="CC22" t="s">
        <v>2546</v>
      </c>
      <c r="CD22" t="s">
        <v>2547</v>
      </c>
      <c r="CE22" t="s">
        <v>2548</v>
      </c>
      <c r="CF22" t="s">
        <v>2549</v>
      </c>
      <c r="CG22" t="s">
        <v>2550</v>
      </c>
      <c r="CH22" t="s">
        <v>2551</v>
      </c>
      <c r="CI22" t="s">
        <v>2552</v>
      </c>
      <c r="CJ22" t="s">
        <v>2553</v>
      </c>
      <c r="CK22" t="s">
        <v>2554</v>
      </c>
      <c r="CL22" t="s">
        <v>2555</v>
      </c>
      <c r="CM22" t="s">
        <v>2556</v>
      </c>
      <c r="CN22" t="s">
        <v>2557</v>
      </c>
      <c r="CO22" t="s">
        <v>2558</v>
      </c>
      <c r="CP22" t="s">
        <v>2559</v>
      </c>
      <c r="CQ22" t="s">
        <v>2560</v>
      </c>
      <c r="CR22" t="s">
        <v>2561</v>
      </c>
      <c r="CS22" t="s">
        <v>2562</v>
      </c>
      <c r="CT22" t="s">
        <v>2563</v>
      </c>
      <c r="CU22" t="s">
        <v>2564</v>
      </c>
      <c r="CV22" t="s">
        <v>2565</v>
      </c>
      <c r="CW22" t="s">
        <v>2566</v>
      </c>
      <c r="CX22" t="s">
        <v>2567</v>
      </c>
      <c r="CY22" t="s">
        <v>2568</v>
      </c>
      <c r="CZ22" t="s">
        <v>2569</v>
      </c>
      <c r="DA22" t="s">
        <v>2570</v>
      </c>
      <c r="DB22" t="s">
        <v>2571</v>
      </c>
      <c r="DC22" t="s">
        <v>2572</v>
      </c>
      <c r="DD22" t="s">
        <v>2573</v>
      </c>
      <c r="DE22" t="s">
        <v>2574</v>
      </c>
      <c r="DF22" t="s">
        <v>2575</v>
      </c>
      <c r="DG22" t="s">
        <v>2576</v>
      </c>
      <c r="DH22" t="s">
        <v>2577</v>
      </c>
      <c r="DI22" t="s">
        <v>2578</v>
      </c>
      <c r="DJ22" t="s">
        <v>2579</v>
      </c>
      <c r="DK22" t="s">
        <v>2580</v>
      </c>
      <c r="DL22" t="s">
        <v>2581</v>
      </c>
      <c r="DM22" t="s">
        <v>2582</v>
      </c>
      <c r="DN22" t="s">
        <v>2583</v>
      </c>
      <c r="DO22" t="s">
        <v>2584</v>
      </c>
      <c r="DP22" t="s">
        <v>2585</v>
      </c>
      <c r="DQ22" t="s">
        <v>2586</v>
      </c>
      <c r="DR22" t="s">
        <v>2587</v>
      </c>
      <c r="DS22" t="s">
        <v>2588</v>
      </c>
      <c r="DT22" t="s">
        <v>2589</v>
      </c>
      <c r="DU22" t="s">
        <v>2590</v>
      </c>
      <c r="DV22" t="s">
        <v>2591</v>
      </c>
      <c r="DW22" t="s">
        <v>2592</v>
      </c>
      <c r="DX22" t="s">
        <v>2593</v>
      </c>
      <c r="DY22" t="s">
        <v>2594</v>
      </c>
    </row>
    <row r="23" spans="1:129" x14ac:dyDescent="0.25">
      <c r="A23" t="s">
        <v>2595</v>
      </c>
      <c r="B23" t="s">
        <v>2597</v>
      </c>
      <c r="C23" t="s">
        <v>2598</v>
      </c>
      <c r="D23" t="s">
        <v>2599</v>
      </c>
      <c r="E23" t="s">
        <v>2600</v>
      </c>
      <c r="F23" t="s">
        <v>2601</v>
      </c>
      <c r="G23" t="s">
        <v>2602</v>
      </c>
      <c r="H23" t="s">
        <v>2603</v>
      </c>
      <c r="I23" t="s">
        <v>2604</v>
      </c>
      <c r="J23" t="s">
        <v>2605</v>
      </c>
      <c r="K23" t="s">
        <v>2606</v>
      </c>
      <c r="L23" t="s">
        <v>2607</v>
      </c>
      <c r="M23" t="s">
        <v>2608</v>
      </c>
      <c r="N23" t="s">
        <v>2609</v>
      </c>
      <c r="O23" t="s">
        <v>2610</v>
      </c>
      <c r="P23" t="s">
        <v>2611</v>
      </c>
      <c r="Q23" t="s">
        <v>2612</v>
      </c>
      <c r="R23" t="s">
        <v>2613</v>
      </c>
      <c r="S23" t="s">
        <v>2614</v>
      </c>
      <c r="T23" t="s">
        <v>2615</v>
      </c>
      <c r="U23" t="s">
        <v>2616</v>
      </c>
      <c r="V23" t="s">
        <v>2617</v>
      </c>
      <c r="W23" t="s">
        <v>2618</v>
      </c>
      <c r="X23" t="s">
        <v>2619</v>
      </c>
      <c r="Y23" t="s">
        <v>2620</v>
      </c>
      <c r="Z23" t="s">
        <v>2621</v>
      </c>
      <c r="AA23" t="s">
        <v>2622</v>
      </c>
      <c r="AB23" t="s">
        <v>2623</v>
      </c>
      <c r="AC23" t="s">
        <v>2624</v>
      </c>
      <c r="AD23" t="s">
        <v>2625</v>
      </c>
      <c r="AE23" t="s">
        <v>2626</v>
      </c>
      <c r="AF23" t="s">
        <v>2627</v>
      </c>
      <c r="AG23" t="s">
        <v>2628</v>
      </c>
      <c r="AH23" t="s">
        <v>2629</v>
      </c>
      <c r="AI23" t="s">
        <v>2630</v>
      </c>
      <c r="AJ23" t="s">
        <v>2631</v>
      </c>
      <c r="AK23" t="s">
        <v>2632</v>
      </c>
      <c r="AL23" t="s">
        <v>2633</v>
      </c>
      <c r="AM23" t="s">
        <v>2634</v>
      </c>
      <c r="AN23" t="s">
        <v>2635</v>
      </c>
      <c r="AO23" t="s">
        <v>2636</v>
      </c>
      <c r="AP23" t="s">
        <v>2637</v>
      </c>
      <c r="AQ23" t="s">
        <v>2638</v>
      </c>
      <c r="AR23" t="s">
        <v>2639</v>
      </c>
      <c r="AS23" t="s">
        <v>2640</v>
      </c>
      <c r="AT23" t="s">
        <v>2641</v>
      </c>
      <c r="AU23" t="s">
        <v>2642</v>
      </c>
      <c r="AV23" t="s">
        <v>2643</v>
      </c>
      <c r="AW23" t="s">
        <v>2644</v>
      </c>
      <c r="AX23" t="s">
        <v>2645</v>
      </c>
      <c r="AY23" t="s">
        <v>2646</v>
      </c>
      <c r="AZ23" t="s">
        <v>2647</v>
      </c>
      <c r="BA23" t="s">
        <v>2648</v>
      </c>
      <c r="BB23" t="s">
        <v>2649</v>
      </c>
      <c r="BC23" t="s">
        <v>2650</v>
      </c>
      <c r="BD23" t="s">
        <v>2651</v>
      </c>
      <c r="BE23" t="s">
        <v>2652</v>
      </c>
      <c r="BF23" t="s">
        <v>2653</v>
      </c>
      <c r="BG23" t="s">
        <v>2654</v>
      </c>
      <c r="BH23" t="s">
        <v>2655</v>
      </c>
      <c r="BI23" t="s">
        <v>2656</v>
      </c>
      <c r="BJ23" t="s">
        <v>2657</v>
      </c>
      <c r="BK23" t="s">
        <v>2658</v>
      </c>
      <c r="BL23" t="s">
        <v>2659</v>
      </c>
      <c r="BM23" t="s">
        <v>2660</v>
      </c>
      <c r="BN23" t="s">
        <v>2661</v>
      </c>
      <c r="BO23" t="s">
        <v>2662</v>
      </c>
      <c r="BP23" t="s">
        <v>2663</v>
      </c>
      <c r="BQ23" t="s">
        <v>2664</v>
      </c>
      <c r="BR23" t="s">
        <v>2665</v>
      </c>
      <c r="BS23" t="s">
        <v>2666</v>
      </c>
      <c r="BT23" t="s">
        <v>2667</v>
      </c>
      <c r="BU23" t="s">
        <v>2668</v>
      </c>
      <c r="BV23" t="s">
        <v>2669</v>
      </c>
      <c r="BW23" t="s">
        <v>2670</v>
      </c>
      <c r="BX23" t="s">
        <v>2671</v>
      </c>
      <c r="BY23" t="s">
        <v>2672</v>
      </c>
      <c r="BZ23" t="s">
        <v>2673</v>
      </c>
      <c r="CA23" t="s">
        <v>2674</v>
      </c>
      <c r="CB23" t="s">
        <v>2675</v>
      </c>
      <c r="CC23" t="s">
        <v>2676</v>
      </c>
      <c r="CD23" t="s">
        <v>2677</v>
      </c>
      <c r="CE23" t="s">
        <v>2678</v>
      </c>
      <c r="CF23" t="s">
        <v>2679</v>
      </c>
      <c r="CG23" t="s">
        <v>2680</v>
      </c>
      <c r="CH23" t="s">
        <v>2681</v>
      </c>
      <c r="CI23" t="s">
        <v>2682</v>
      </c>
      <c r="CJ23" t="s">
        <v>2683</v>
      </c>
      <c r="CK23" t="s">
        <v>2684</v>
      </c>
      <c r="CL23" t="s">
        <v>2685</v>
      </c>
      <c r="CM23" t="s">
        <v>2686</v>
      </c>
      <c r="CN23" t="s">
        <v>2687</v>
      </c>
      <c r="CO23" t="s">
        <v>2688</v>
      </c>
      <c r="CP23" t="s">
        <v>2689</v>
      </c>
      <c r="CQ23" t="s">
        <v>2690</v>
      </c>
      <c r="CR23" t="s">
        <v>2691</v>
      </c>
      <c r="CS23" t="s">
        <v>2692</v>
      </c>
      <c r="CT23" t="s">
        <v>2693</v>
      </c>
      <c r="CU23" t="s">
        <v>2694</v>
      </c>
      <c r="CV23" t="s">
        <v>2695</v>
      </c>
      <c r="CW23" t="s">
        <v>2696</v>
      </c>
      <c r="CX23" t="s">
        <v>2697</v>
      </c>
      <c r="CY23" t="s">
        <v>2698</v>
      </c>
      <c r="CZ23" t="s">
        <v>2699</v>
      </c>
      <c r="DA23" t="s">
        <v>2700</v>
      </c>
      <c r="DB23" t="s">
        <v>2701</v>
      </c>
      <c r="DC23" t="s">
        <v>2702</v>
      </c>
      <c r="DD23" t="s">
        <v>2703</v>
      </c>
      <c r="DE23" t="s">
        <v>2704</v>
      </c>
      <c r="DF23" t="s">
        <v>2705</v>
      </c>
      <c r="DG23" t="s">
        <v>2706</v>
      </c>
      <c r="DH23" t="s">
        <v>2707</v>
      </c>
      <c r="DI23" t="s">
        <v>2708</v>
      </c>
      <c r="DJ23" t="s">
        <v>2709</v>
      </c>
      <c r="DK23" t="s">
        <v>2710</v>
      </c>
      <c r="DL23" t="s">
        <v>2711</v>
      </c>
      <c r="DM23" t="s">
        <v>2712</v>
      </c>
      <c r="DN23" t="s">
        <v>2713</v>
      </c>
      <c r="DO23" t="s">
        <v>2714</v>
      </c>
      <c r="DP23" t="s">
        <v>2715</v>
      </c>
      <c r="DQ23" t="s">
        <v>2716</v>
      </c>
      <c r="DR23" t="s">
        <v>2717</v>
      </c>
      <c r="DS23" t="s">
        <v>2718</v>
      </c>
      <c r="DT23" t="s">
        <v>2719</v>
      </c>
      <c r="DU23" t="s">
        <v>2720</v>
      </c>
      <c r="DV23" t="s">
        <v>2721</v>
      </c>
      <c r="DW23" t="s">
        <v>2722</v>
      </c>
      <c r="DX23" t="s">
        <v>2723</v>
      </c>
      <c r="DY23" t="s">
        <v>2724</v>
      </c>
    </row>
    <row r="24" spans="1:129" x14ac:dyDescent="0.25">
      <c r="A24" t="s">
        <v>2596</v>
      </c>
      <c r="B24" t="s">
        <v>2725</v>
      </c>
      <c r="C24" t="s">
        <v>2726</v>
      </c>
      <c r="D24" t="s">
        <v>2727</v>
      </c>
      <c r="E24" t="s">
        <v>2728</v>
      </c>
      <c r="F24" t="s">
        <v>2729</v>
      </c>
      <c r="G24" t="s">
        <v>2730</v>
      </c>
      <c r="H24" t="s">
        <v>2731</v>
      </c>
      <c r="I24" t="s">
        <v>2732</v>
      </c>
      <c r="J24" t="s">
        <v>2733</v>
      </c>
      <c r="K24" t="s">
        <v>2734</v>
      </c>
      <c r="L24" t="s">
        <v>2735</v>
      </c>
      <c r="M24" t="s">
        <v>2736</v>
      </c>
      <c r="N24" t="s">
        <v>2737</v>
      </c>
      <c r="O24" t="s">
        <v>2738</v>
      </c>
      <c r="P24" t="s">
        <v>2739</v>
      </c>
      <c r="Q24" t="s">
        <v>2740</v>
      </c>
      <c r="R24" t="s">
        <v>2741</v>
      </c>
      <c r="S24" t="s">
        <v>2742</v>
      </c>
      <c r="T24" t="s">
        <v>2743</v>
      </c>
      <c r="U24" t="s">
        <v>2744</v>
      </c>
      <c r="V24" t="s">
        <v>2745</v>
      </c>
      <c r="W24" t="s">
        <v>2746</v>
      </c>
      <c r="X24" t="s">
        <v>2747</v>
      </c>
      <c r="Y24" t="s">
        <v>2748</v>
      </c>
      <c r="Z24" t="s">
        <v>2749</v>
      </c>
      <c r="AA24" t="s">
        <v>2750</v>
      </c>
      <c r="AB24" t="s">
        <v>2751</v>
      </c>
      <c r="AC24" t="s">
        <v>2752</v>
      </c>
      <c r="AD24" t="s">
        <v>2753</v>
      </c>
      <c r="AE24" t="s">
        <v>2754</v>
      </c>
      <c r="AF24" t="s">
        <v>2755</v>
      </c>
      <c r="AG24" t="s">
        <v>2756</v>
      </c>
      <c r="AH24" t="s">
        <v>2757</v>
      </c>
      <c r="AI24" t="s">
        <v>2758</v>
      </c>
      <c r="AJ24" t="s">
        <v>2759</v>
      </c>
      <c r="AK24" t="s">
        <v>2760</v>
      </c>
      <c r="AL24" t="s">
        <v>2761</v>
      </c>
      <c r="AM24" t="s">
        <v>2762</v>
      </c>
      <c r="AN24" t="s">
        <v>2763</v>
      </c>
      <c r="AO24" t="s">
        <v>2764</v>
      </c>
      <c r="AP24" t="s">
        <v>2765</v>
      </c>
      <c r="AQ24" t="s">
        <v>2766</v>
      </c>
      <c r="AR24" t="s">
        <v>2767</v>
      </c>
      <c r="AS24" t="s">
        <v>2768</v>
      </c>
      <c r="AT24" t="s">
        <v>2769</v>
      </c>
      <c r="AU24" t="s">
        <v>2770</v>
      </c>
      <c r="AV24" t="s">
        <v>2771</v>
      </c>
      <c r="AW24" t="s">
        <v>2772</v>
      </c>
      <c r="AX24" t="s">
        <v>2773</v>
      </c>
      <c r="AY24" t="s">
        <v>2774</v>
      </c>
      <c r="AZ24" t="s">
        <v>2775</v>
      </c>
      <c r="BA24" t="s">
        <v>2776</v>
      </c>
      <c r="BB24" t="s">
        <v>2777</v>
      </c>
      <c r="BC24" t="s">
        <v>2778</v>
      </c>
      <c r="BD24" t="s">
        <v>2779</v>
      </c>
      <c r="BE24" t="s">
        <v>2780</v>
      </c>
      <c r="BF24" t="s">
        <v>2781</v>
      </c>
      <c r="BG24" t="s">
        <v>2782</v>
      </c>
      <c r="BH24" t="s">
        <v>2783</v>
      </c>
      <c r="BI24" t="s">
        <v>2784</v>
      </c>
      <c r="BJ24" t="s">
        <v>2785</v>
      </c>
      <c r="BK24" t="s">
        <v>2786</v>
      </c>
      <c r="BL24" t="s">
        <v>2787</v>
      </c>
      <c r="BM24" t="s">
        <v>2788</v>
      </c>
      <c r="BN24" t="s">
        <v>2789</v>
      </c>
      <c r="BO24" t="s">
        <v>2790</v>
      </c>
      <c r="BP24" t="s">
        <v>2791</v>
      </c>
      <c r="BQ24" t="s">
        <v>2792</v>
      </c>
      <c r="BR24" t="s">
        <v>2793</v>
      </c>
      <c r="BS24" t="s">
        <v>2794</v>
      </c>
      <c r="BT24" t="s">
        <v>2795</v>
      </c>
      <c r="BU24" t="s">
        <v>2796</v>
      </c>
      <c r="BV24" t="s">
        <v>2797</v>
      </c>
      <c r="BW24" t="s">
        <v>2798</v>
      </c>
      <c r="BX24" t="s">
        <v>2799</v>
      </c>
      <c r="BY24" t="s">
        <v>2800</v>
      </c>
      <c r="BZ24" t="s">
        <v>2801</v>
      </c>
      <c r="CA24" t="s">
        <v>2802</v>
      </c>
      <c r="CB24" t="s">
        <v>2803</v>
      </c>
      <c r="CC24" t="s">
        <v>2804</v>
      </c>
      <c r="CD24" t="s">
        <v>2805</v>
      </c>
      <c r="CE24" t="s">
        <v>2806</v>
      </c>
      <c r="CF24" t="s">
        <v>2807</v>
      </c>
      <c r="CG24" t="s">
        <v>2808</v>
      </c>
      <c r="CH24" t="s">
        <v>2809</v>
      </c>
      <c r="CI24" t="s">
        <v>2810</v>
      </c>
      <c r="CJ24" t="s">
        <v>2811</v>
      </c>
      <c r="CK24" t="s">
        <v>2812</v>
      </c>
      <c r="CL24" t="s">
        <v>2813</v>
      </c>
      <c r="CM24" t="s">
        <v>2814</v>
      </c>
      <c r="CN24" t="s">
        <v>2815</v>
      </c>
      <c r="CO24" t="s">
        <v>2816</v>
      </c>
      <c r="CP24" t="s">
        <v>2817</v>
      </c>
      <c r="CQ24" t="s">
        <v>2818</v>
      </c>
      <c r="CR24" t="s">
        <v>2819</v>
      </c>
      <c r="CS24" t="s">
        <v>2820</v>
      </c>
      <c r="CT24" t="s">
        <v>2821</v>
      </c>
      <c r="CU24" t="s">
        <v>2822</v>
      </c>
      <c r="CV24" t="s">
        <v>2823</v>
      </c>
      <c r="CW24" t="s">
        <v>2824</v>
      </c>
      <c r="CX24" t="s">
        <v>2825</v>
      </c>
      <c r="CY24" t="s">
        <v>2826</v>
      </c>
      <c r="CZ24" t="s">
        <v>2827</v>
      </c>
      <c r="DA24" t="s">
        <v>2828</v>
      </c>
      <c r="DB24" t="s">
        <v>2829</v>
      </c>
      <c r="DC24" t="s">
        <v>2830</v>
      </c>
      <c r="DD24" t="s">
        <v>2831</v>
      </c>
      <c r="DE24" t="s">
        <v>2832</v>
      </c>
      <c r="DF24" t="s">
        <v>2833</v>
      </c>
      <c r="DG24" t="s">
        <v>2834</v>
      </c>
      <c r="DH24" t="s">
        <v>2835</v>
      </c>
      <c r="DI24" t="s">
        <v>2836</v>
      </c>
      <c r="DJ24" t="s">
        <v>2837</v>
      </c>
      <c r="DK24" t="s">
        <v>2838</v>
      </c>
      <c r="DL24" t="s">
        <v>2839</v>
      </c>
      <c r="DM24" t="s">
        <v>2840</v>
      </c>
      <c r="DN24" t="s">
        <v>2841</v>
      </c>
      <c r="DO24" t="s">
        <v>2842</v>
      </c>
      <c r="DP24" t="s">
        <v>2843</v>
      </c>
      <c r="DQ24" t="s">
        <v>2844</v>
      </c>
      <c r="DR24" t="s">
        <v>2845</v>
      </c>
      <c r="DS24" t="s">
        <v>2846</v>
      </c>
      <c r="DT24" t="s">
        <v>2847</v>
      </c>
      <c r="DU24" t="s">
        <v>2848</v>
      </c>
      <c r="DV24" t="s">
        <v>2849</v>
      </c>
      <c r="DW24" t="s">
        <v>2850</v>
      </c>
      <c r="DX24" t="s">
        <v>2851</v>
      </c>
      <c r="DY24" t="s">
        <v>2852</v>
      </c>
    </row>
    <row r="25" spans="1:129" x14ac:dyDescent="0.25">
      <c r="A25" t="s">
        <v>2853</v>
      </c>
      <c r="B25" t="s">
        <v>2855</v>
      </c>
      <c r="C25" t="s">
        <v>2856</v>
      </c>
      <c r="D25" t="s">
        <v>2857</v>
      </c>
      <c r="E25" t="s">
        <v>2858</v>
      </c>
      <c r="F25" t="s">
        <v>2859</v>
      </c>
      <c r="G25" t="s">
        <v>2860</v>
      </c>
      <c r="H25" t="s">
        <v>2861</v>
      </c>
      <c r="I25" t="s">
        <v>2862</v>
      </c>
      <c r="J25" t="s">
        <v>2863</v>
      </c>
      <c r="K25" t="s">
        <v>2864</v>
      </c>
      <c r="L25" t="s">
        <v>2865</v>
      </c>
      <c r="M25" t="s">
        <v>2866</v>
      </c>
      <c r="N25" t="s">
        <v>2867</v>
      </c>
      <c r="O25" t="s">
        <v>2868</v>
      </c>
      <c r="P25" t="s">
        <v>2869</v>
      </c>
      <c r="Q25" t="s">
        <v>2870</v>
      </c>
      <c r="R25" t="s">
        <v>2871</v>
      </c>
      <c r="S25" t="s">
        <v>2872</v>
      </c>
      <c r="T25" t="s">
        <v>2873</v>
      </c>
      <c r="U25" t="s">
        <v>2874</v>
      </c>
      <c r="V25" t="s">
        <v>2875</v>
      </c>
      <c r="W25" t="s">
        <v>2876</v>
      </c>
      <c r="X25" t="s">
        <v>2877</v>
      </c>
      <c r="Y25" t="s">
        <v>2878</v>
      </c>
      <c r="Z25" t="s">
        <v>2879</v>
      </c>
      <c r="AA25" t="s">
        <v>2880</v>
      </c>
      <c r="AB25" t="s">
        <v>2881</v>
      </c>
      <c r="AC25" t="s">
        <v>2882</v>
      </c>
      <c r="AD25" t="s">
        <v>2883</v>
      </c>
      <c r="AE25" t="s">
        <v>2884</v>
      </c>
      <c r="AF25" t="s">
        <v>2885</v>
      </c>
      <c r="AG25" t="s">
        <v>2886</v>
      </c>
      <c r="AH25" t="s">
        <v>2887</v>
      </c>
      <c r="AI25" t="s">
        <v>2888</v>
      </c>
      <c r="AJ25" t="s">
        <v>2889</v>
      </c>
      <c r="AK25" t="s">
        <v>2890</v>
      </c>
      <c r="AL25" t="s">
        <v>2891</v>
      </c>
      <c r="AM25" t="s">
        <v>2892</v>
      </c>
      <c r="AN25" t="s">
        <v>2893</v>
      </c>
      <c r="AO25" t="s">
        <v>2894</v>
      </c>
      <c r="AP25" t="s">
        <v>2895</v>
      </c>
      <c r="AQ25" t="s">
        <v>2896</v>
      </c>
      <c r="AR25" t="s">
        <v>2897</v>
      </c>
      <c r="AS25" t="s">
        <v>2898</v>
      </c>
      <c r="AT25" t="s">
        <v>2899</v>
      </c>
      <c r="AU25" t="s">
        <v>2900</v>
      </c>
      <c r="AV25" t="s">
        <v>2901</v>
      </c>
      <c r="AW25" t="s">
        <v>2902</v>
      </c>
      <c r="AX25" t="s">
        <v>2903</v>
      </c>
      <c r="AY25" t="s">
        <v>2904</v>
      </c>
      <c r="AZ25" t="s">
        <v>2905</v>
      </c>
      <c r="BA25" t="s">
        <v>2906</v>
      </c>
      <c r="BB25" t="s">
        <v>2907</v>
      </c>
      <c r="BC25" t="s">
        <v>2908</v>
      </c>
      <c r="BD25" t="s">
        <v>2909</v>
      </c>
      <c r="BE25" t="s">
        <v>2910</v>
      </c>
      <c r="BF25" t="s">
        <v>2911</v>
      </c>
      <c r="BG25" t="s">
        <v>2912</v>
      </c>
      <c r="BH25" t="s">
        <v>2913</v>
      </c>
      <c r="BI25" t="s">
        <v>2914</v>
      </c>
      <c r="BJ25" t="s">
        <v>2915</v>
      </c>
      <c r="BK25" t="s">
        <v>2916</v>
      </c>
      <c r="BL25" t="s">
        <v>2917</v>
      </c>
      <c r="BM25" t="s">
        <v>2918</v>
      </c>
      <c r="BN25" t="s">
        <v>2919</v>
      </c>
      <c r="BO25" t="s">
        <v>2920</v>
      </c>
      <c r="BP25" t="s">
        <v>2921</v>
      </c>
      <c r="BQ25" t="s">
        <v>2922</v>
      </c>
      <c r="BR25" t="s">
        <v>2923</v>
      </c>
      <c r="BS25" t="s">
        <v>2924</v>
      </c>
      <c r="BT25" t="s">
        <v>2925</v>
      </c>
      <c r="BU25" t="s">
        <v>2926</v>
      </c>
      <c r="BV25" t="s">
        <v>2927</v>
      </c>
      <c r="BW25" t="s">
        <v>2928</v>
      </c>
      <c r="BX25" t="s">
        <v>2929</v>
      </c>
      <c r="BY25" t="s">
        <v>2930</v>
      </c>
      <c r="BZ25" t="s">
        <v>2931</v>
      </c>
      <c r="CA25" t="s">
        <v>2932</v>
      </c>
      <c r="CB25" t="s">
        <v>2933</v>
      </c>
      <c r="CC25" t="s">
        <v>2934</v>
      </c>
      <c r="CD25" t="s">
        <v>2935</v>
      </c>
      <c r="CE25" t="s">
        <v>2936</v>
      </c>
      <c r="CF25" t="s">
        <v>2937</v>
      </c>
      <c r="CG25" t="s">
        <v>2938</v>
      </c>
      <c r="CH25" t="s">
        <v>2939</v>
      </c>
      <c r="CI25" t="s">
        <v>2940</v>
      </c>
      <c r="CJ25" t="s">
        <v>2941</v>
      </c>
      <c r="CK25" t="s">
        <v>2942</v>
      </c>
      <c r="CL25" t="s">
        <v>2943</v>
      </c>
      <c r="CM25" t="s">
        <v>2944</v>
      </c>
      <c r="CN25" t="s">
        <v>2945</v>
      </c>
      <c r="CO25" t="s">
        <v>2946</v>
      </c>
      <c r="CP25" t="s">
        <v>2947</v>
      </c>
      <c r="CQ25" t="s">
        <v>2948</v>
      </c>
      <c r="CR25" t="s">
        <v>2949</v>
      </c>
      <c r="CS25" t="s">
        <v>2950</v>
      </c>
      <c r="CT25" t="s">
        <v>2951</v>
      </c>
      <c r="CU25" t="s">
        <v>2952</v>
      </c>
      <c r="CV25" t="s">
        <v>2953</v>
      </c>
      <c r="CW25" t="s">
        <v>2954</v>
      </c>
      <c r="CX25" t="s">
        <v>2955</v>
      </c>
      <c r="CY25" t="s">
        <v>2956</v>
      </c>
      <c r="CZ25" t="s">
        <v>2957</v>
      </c>
      <c r="DA25" t="s">
        <v>2958</v>
      </c>
      <c r="DB25" t="s">
        <v>2959</v>
      </c>
      <c r="DC25" t="s">
        <v>2960</v>
      </c>
      <c r="DD25" t="s">
        <v>2961</v>
      </c>
      <c r="DE25" t="s">
        <v>2962</v>
      </c>
      <c r="DF25" t="s">
        <v>2963</v>
      </c>
      <c r="DG25" t="s">
        <v>2964</v>
      </c>
      <c r="DH25" t="s">
        <v>2965</v>
      </c>
      <c r="DI25" t="s">
        <v>2966</v>
      </c>
      <c r="DJ25" t="s">
        <v>2967</v>
      </c>
      <c r="DK25" t="s">
        <v>2968</v>
      </c>
      <c r="DL25" t="s">
        <v>2969</v>
      </c>
      <c r="DM25" t="s">
        <v>2970</v>
      </c>
      <c r="DN25" t="s">
        <v>2971</v>
      </c>
      <c r="DO25" t="s">
        <v>2972</v>
      </c>
      <c r="DP25" t="s">
        <v>2973</v>
      </c>
      <c r="DQ25" t="s">
        <v>2974</v>
      </c>
      <c r="DR25" t="s">
        <v>2975</v>
      </c>
      <c r="DS25" t="s">
        <v>2976</v>
      </c>
      <c r="DT25" t="s">
        <v>2977</v>
      </c>
      <c r="DU25" t="s">
        <v>2978</v>
      </c>
      <c r="DV25" t="s">
        <v>2979</v>
      </c>
      <c r="DW25" t="s">
        <v>2980</v>
      </c>
      <c r="DX25" t="s">
        <v>2981</v>
      </c>
      <c r="DY25" t="s">
        <v>2982</v>
      </c>
    </row>
    <row r="26" spans="1:129" x14ac:dyDescent="0.25">
      <c r="A26" t="s">
        <v>2854</v>
      </c>
      <c r="B26" t="s">
        <v>2983</v>
      </c>
      <c r="C26" t="s">
        <v>2984</v>
      </c>
      <c r="D26" t="s">
        <v>2985</v>
      </c>
      <c r="E26" t="s">
        <v>2986</v>
      </c>
      <c r="F26" t="s">
        <v>2987</v>
      </c>
      <c r="G26" t="s">
        <v>2988</v>
      </c>
      <c r="H26" t="s">
        <v>2989</v>
      </c>
      <c r="I26" t="s">
        <v>2990</v>
      </c>
      <c r="J26" t="s">
        <v>2991</v>
      </c>
      <c r="K26" t="s">
        <v>2992</v>
      </c>
      <c r="L26" t="s">
        <v>2993</v>
      </c>
      <c r="M26" t="s">
        <v>2994</v>
      </c>
      <c r="N26" t="s">
        <v>2995</v>
      </c>
      <c r="O26" t="s">
        <v>2996</v>
      </c>
      <c r="P26" t="s">
        <v>2997</v>
      </c>
      <c r="Q26" t="s">
        <v>2998</v>
      </c>
      <c r="R26" t="s">
        <v>2999</v>
      </c>
      <c r="S26" t="s">
        <v>3000</v>
      </c>
      <c r="T26" t="s">
        <v>3001</v>
      </c>
      <c r="U26" t="s">
        <v>3002</v>
      </c>
      <c r="V26" t="s">
        <v>3003</v>
      </c>
      <c r="W26" t="s">
        <v>3004</v>
      </c>
      <c r="X26" t="s">
        <v>3005</v>
      </c>
      <c r="Y26" t="s">
        <v>3006</v>
      </c>
      <c r="Z26" t="s">
        <v>3007</v>
      </c>
      <c r="AA26" t="s">
        <v>3008</v>
      </c>
      <c r="AB26" t="s">
        <v>3009</v>
      </c>
      <c r="AC26" t="s">
        <v>3010</v>
      </c>
      <c r="AD26" t="s">
        <v>3011</v>
      </c>
      <c r="AE26" t="s">
        <v>3012</v>
      </c>
      <c r="AF26" t="s">
        <v>3013</v>
      </c>
      <c r="AG26" t="s">
        <v>3014</v>
      </c>
      <c r="AH26" t="s">
        <v>3015</v>
      </c>
      <c r="AI26" t="s">
        <v>3016</v>
      </c>
      <c r="AJ26" t="s">
        <v>3017</v>
      </c>
      <c r="AK26" t="s">
        <v>3018</v>
      </c>
      <c r="AL26" t="s">
        <v>3019</v>
      </c>
      <c r="AM26" t="s">
        <v>3020</v>
      </c>
      <c r="AN26" t="s">
        <v>3021</v>
      </c>
      <c r="AO26" t="s">
        <v>3022</v>
      </c>
      <c r="AP26" t="s">
        <v>3023</v>
      </c>
      <c r="AQ26" t="s">
        <v>3024</v>
      </c>
      <c r="AR26" t="s">
        <v>3025</v>
      </c>
      <c r="AS26" t="s">
        <v>3026</v>
      </c>
      <c r="AT26" t="s">
        <v>3027</v>
      </c>
      <c r="AU26" t="s">
        <v>3028</v>
      </c>
      <c r="AV26" t="s">
        <v>3029</v>
      </c>
      <c r="AW26" t="s">
        <v>3030</v>
      </c>
      <c r="AX26" t="s">
        <v>3031</v>
      </c>
      <c r="AY26" t="s">
        <v>3032</v>
      </c>
      <c r="AZ26" t="s">
        <v>3033</v>
      </c>
      <c r="BA26" t="s">
        <v>3034</v>
      </c>
      <c r="BB26" t="s">
        <v>3035</v>
      </c>
      <c r="BC26" t="s">
        <v>3036</v>
      </c>
      <c r="BD26" t="s">
        <v>3037</v>
      </c>
      <c r="BE26" t="s">
        <v>3038</v>
      </c>
      <c r="BF26" t="s">
        <v>3039</v>
      </c>
      <c r="BG26" t="s">
        <v>3040</v>
      </c>
      <c r="BH26" t="s">
        <v>3041</v>
      </c>
      <c r="BI26" t="s">
        <v>3042</v>
      </c>
      <c r="BJ26" t="s">
        <v>3043</v>
      </c>
      <c r="BK26" t="s">
        <v>3044</v>
      </c>
      <c r="BL26" t="s">
        <v>3045</v>
      </c>
      <c r="BM26" t="s">
        <v>3046</v>
      </c>
      <c r="BN26" t="s">
        <v>3047</v>
      </c>
      <c r="BO26" t="s">
        <v>3048</v>
      </c>
      <c r="BP26" t="s">
        <v>3049</v>
      </c>
      <c r="BQ26" t="s">
        <v>3050</v>
      </c>
      <c r="BR26" t="s">
        <v>3051</v>
      </c>
      <c r="BS26" t="s">
        <v>3052</v>
      </c>
      <c r="BT26" t="s">
        <v>3053</v>
      </c>
      <c r="BU26" t="s">
        <v>3054</v>
      </c>
      <c r="BV26" t="s">
        <v>3055</v>
      </c>
      <c r="BW26" t="s">
        <v>3056</v>
      </c>
      <c r="BX26" t="s">
        <v>3057</v>
      </c>
      <c r="BY26" t="s">
        <v>3058</v>
      </c>
      <c r="BZ26" t="s">
        <v>3059</v>
      </c>
      <c r="CA26" t="s">
        <v>3060</v>
      </c>
      <c r="CB26" t="s">
        <v>3061</v>
      </c>
      <c r="CC26" t="s">
        <v>3062</v>
      </c>
      <c r="CD26" t="s">
        <v>3063</v>
      </c>
      <c r="CE26" t="s">
        <v>3064</v>
      </c>
      <c r="CF26" t="s">
        <v>3065</v>
      </c>
      <c r="CG26" t="s">
        <v>3066</v>
      </c>
      <c r="CH26" t="s">
        <v>3067</v>
      </c>
      <c r="CI26" t="s">
        <v>3068</v>
      </c>
      <c r="CJ26" t="s">
        <v>3069</v>
      </c>
      <c r="CK26" t="s">
        <v>3070</v>
      </c>
      <c r="CL26" t="s">
        <v>3071</v>
      </c>
      <c r="CM26" t="s">
        <v>3072</v>
      </c>
      <c r="CN26" t="s">
        <v>3073</v>
      </c>
      <c r="CO26" t="s">
        <v>3074</v>
      </c>
      <c r="CP26" t="s">
        <v>3075</v>
      </c>
      <c r="CQ26" t="s">
        <v>3076</v>
      </c>
      <c r="CR26" t="s">
        <v>3077</v>
      </c>
      <c r="CS26" t="s">
        <v>3078</v>
      </c>
      <c r="CT26" t="s">
        <v>3079</v>
      </c>
      <c r="CU26" t="s">
        <v>3080</v>
      </c>
      <c r="CV26" t="s">
        <v>3081</v>
      </c>
      <c r="CW26" t="s">
        <v>3082</v>
      </c>
      <c r="CX26" t="s">
        <v>3083</v>
      </c>
      <c r="CY26" t="s">
        <v>3084</v>
      </c>
      <c r="CZ26" t="s">
        <v>3085</v>
      </c>
      <c r="DA26" t="s">
        <v>3086</v>
      </c>
      <c r="DB26" t="s">
        <v>3087</v>
      </c>
      <c r="DC26" t="s">
        <v>3088</v>
      </c>
      <c r="DD26" t="s">
        <v>3089</v>
      </c>
      <c r="DE26" t="s">
        <v>3090</v>
      </c>
      <c r="DF26" t="s">
        <v>3091</v>
      </c>
      <c r="DG26" t="s">
        <v>3092</v>
      </c>
      <c r="DH26" t="s">
        <v>3093</v>
      </c>
      <c r="DI26" t="s">
        <v>3094</v>
      </c>
      <c r="DJ26" t="s">
        <v>3095</v>
      </c>
      <c r="DK26" t="s">
        <v>3096</v>
      </c>
      <c r="DL26" t="s">
        <v>3097</v>
      </c>
      <c r="DM26" t="s">
        <v>3098</v>
      </c>
      <c r="DN26" t="s">
        <v>3099</v>
      </c>
      <c r="DO26" t="s">
        <v>3100</v>
      </c>
      <c r="DP26" t="s">
        <v>3101</v>
      </c>
      <c r="DQ26" t="s">
        <v>3102</v>
      </c>
      <c r="DR26" t="s">
        <v>3103</v>
      </c>
      <c r="DS26" t="s">
        <v>3104</v>
      </c>
      <c r="DT26" t="s">
        <v>3105</v>
      </c>
      <c r="DU26" t="s">
        <v>3106</v>
      </c>
      <c r="DV26" t="s">
        <v>3107</v>
      </c>
      <c r="DW26" t="s">
        <v>3108</v>
      </c>
      <c r="DX26" t="s">
        <v>3109</v>
      </c>
      <c r="DY26" t="s">
        <v>3110</v>
      </c>
    </row>
    <row r="27" spans="1:129" x14ac:dyDescent="0.25">
      <c r="A27" t="s">
        <v>3111</v>
      </c>
      <c r="B27" t="s">
        <v>3113</v>
      </c>
      <c r="C27" t="s">
        <v>3114</v>
      </c>
      <c r="D27" t="s">
        <v>3115</v>
      </c>
      <c r="E27" t="s">
        <v>3116</v>
      </c>
      <c r="F27" t="s">
        <v>3117</v>
      </c>
      <c r="G27" t="s">
        <v>3118</v>
      </c>
      <c r="H27" t="s">
        <v>3119</v>
      </c>
      <c r="I27" t="s">
        <v>3120</v>
      </c>
      <c r="J27" t="s">
        <v>3121</v>
      </c>
      <c r="K27" t="s">
        <v>3122</v>
      </c>
      <c r="L27" t="s">
        <v>3123</v>
      </c>
      <c r="M27" t="s">
        <v>3124</v>
      </c>
      <c r="N27" t="s">
        <v>3125</v>
      </c>
      <c r="O27" t="s">
        <v>3126</v>
      </c>
      <c r="P27" t="s">
        <v>3127</v>
      </c>
      <c r="Q27" t="s">
        <v>3128</v>
      </c>
      <c r="R27" t="s">
        <v>3129</v>
      </c>
      <c r="S27" t="s">
        <v>3130</v>
      </c>
      <c r="T27" t="s">
        <v>3131</v>
      </c>
      <c r="U27" t="s">
        <v>3132</v>
      </c>
      <c r="V27" t="s">
        <v>3133</v>
      </c>
      <c r="W27" t="s">
        <v>3134</v>
      </c>
      <c r="X27" t="s">
        <v>3135</v>
      </c>
      <c r="Y27" t="s">
        <v>3136</v>
      </c>
      <c r="Z27" t="s">
        <v>3137</v>
      </c>
      <c r="AA27" t="s">
        <v>3138</v>
      </c>
      <c r="AB27" t="s">
        <v>3139</v>
      </c>
      <c r="AC27" t="s">
        <v>3140</v>
      </c>
      <c r="AD27" t="s">
        <v>3141</v>
      </c>
      <c r="AE27" t="s">
        <v>3142</v>
      </c>
      <c r="AF27" t="s">
        <v>3143</v>
      </c>
      <c r="AG27" t="s">
        <v>3144</v>
      </c>
      <c r="AH27" t="s">
        <v>3145</v>
      </c>
      <c r="AI27" t="s">
        <v>3146</v>
      </c>
      <c r="AJ27" t="s">
        <v>3147</v>
      </c>
      <c r="AK27" t="s">
        <v>3148</v>
      </c>
      <c r="AL27" t="s">
        <v>3149</v>
      </c>
      <c r="AM27" t="s">
        <v>3150</v>
      </c>
      <c r="AN27" t="s">
        <v>3151</v>
      </c>
      <c r="AO27" t="s">
        <v>3152</v>
      </c>
      <c r="AP27" t="s">
        <v>3153</v>
      </c>
      <c r="AQ27" t="s">
        <v>3154</v>
      </c>
      <c r="AR27" t="s">
        <v>3155</v>
      </c>
      <c r="AS27" t="s">
        <v>3156</v>
      </c>
      <c r="AT27" t="s">
        <v>3157</v>
      </c>
      <c r="AU27" t="s">
        <v>3158</v>
      </c>
      <c r="AV27" t="s">
        <v>3159</v>
      </c>
      <c r="AW27" t="s">
        <v>3160</v>
      </c>
      <c r="AX27" t="s">
        <v>3161</v>
      </c>
      <c r="AY27" t="s">
        <v>3162</v>
      </c>
      <c r="AZ27" t="s">
        <v>3163</v>
      </c>
      <c r="BA27" t="s">
        <v>3164</v>
      </c>
      <c r="BB27" t="s">
        <v>3165</v>
      </c>
      <c r="BC27" t="s">
        <v>3166</v>
      </c>
      <c r="BD27" t="s">
        <v>3167</v>
      </c>
      <c r="BE27" t="s">
        <v>3168</v>
      </c>
      <c r="BF27" t="s">
        <v>3169</v>
      </c>
      <c r="BG27" t="s">
        <v>3170</v>
      </c>
      <c r="BH27" t="s">
        <v>3171</v>
      </c>
      <c r="BI27" t="s">
        <v>3172</v>
      </c>
      <c r="BJ27" t="s">
        <v>3173</v>
      </c>
      <c r="BK27" t="s">
        <v>3174</v>
      </c>
      <c r="BL27" t="s">
        <v>3175</v>
      </c>
      <c r="BM27" t="s">
        <v>3176</v>
      </c>
      <c r="BN27" t="s">
        <v>3177</v>
      </c>
      <c r="BO27" t="s">
        <v>3178</v>
      </c>
      <c r="BP27" t="s">
        <v>3179</v>
      </c>
      <c r="BQ27" t="s">
        <v>3180</v>
      </c>
      <c r="BR27" t="s">
        <v>3181</v>
      </c>
      <c r="BS27" t="s">
        <v>3182</v>
      </c>
      <c r="BT27" t="s">
        <v>3183</v>
      </c>
      <c r="BU27" t="s">
        <v>3184</v>
      </c>
      <c r="BV27" t="s">
        <v>3185</v>
      </c>
      <c r="BW27" t="s">
        <v>3186</v>
      </c>
      <c r="BX27" t="s">
        <v>3187</v>
      </c>
      <c r="BY27" t="s">
        <v>3188</v>
      </c>
      <c r="BZ27" t="s">
        <v>3189</v>
      </c>
      <c r="CA27" t="s">
        <v>3190</v>
      </c>
      <c r="CB27" t="s">
        <v>3191</v>
      </c>
      <c r="CC27" t="s">
        <v>3192</v>
      </c>
      <c r="CD27" t="s">
        <v>3193</v>
      </c>
      <c r="CE27" t="s">
        <v>3194</v>
      </c>
      <c r="CF27" t="s">
        <v>3195</v>
      </c>
      <c r="CG27" t="s">
        <v>3196</v>
      </c>
      <c r="CH27" t="s">
        <v>3197</v>
      </c>
      <c r="CI27" t="s">
        <v>3198</v>
      </c>
      <c r="CJ27" t="s">
        <v>3199</v>
      </c>
      <c r="CK27" t="s">
        <v>3200</v>
      </c>
      <c r="CL27" t="s">
        <v>3201</v>
      </c>
      <c r="CM27" t="s">
        <v>3202</v>
      </c>
      <c r="CN27" t="s">
        <v>3203</v>
      </c>
      <c r="CO27" t="s">
        <v>3204</v>
      </c>
      <c r="CP27" t="s">
        <v>3205</v>
      </c>
      <c r="CQ27" t="s">
        <v>3206</v>
      </c>
      <c r="CR27" t="s">
        <v>3207</v>
      </c>
      <c r="CS27" t="s">
        <v>3208</v>
      </c>
      <c r="CT27" t="s">
        <v>3209</v>
      </c>
      <c r="CU27" t="s">
        <v>3210</v>
      </c>
      <c r="CV27" t="s">
        <v>3211</v>
      </c>
      <c r="CW27" t="s">
        <v>3212</v>
      </c>
      <c r="CX27" t="s">
        <v>3213</v>
      </c>
      <c r="CY27" t="s">
        <v>3214</v>
      </c>
      <c r="CZ27" t="s">
        <v>3215</v>
      </c>
      <c r="DA27" t="s">
        <v>3216</v>
      </c>
      <c r="DB27" t="s">
        <v>3217</v>
      </c>
      <c r="DC27" t="s">
        <v>3218</v>
      </c>
      <c r="DD27" t="s">
        <v>3219</v>
      </c>
      <c r="DE27" t="s">
        <v>3220</v>
      </c>
      <c r="DF27" t="s">
        <v>3221</v>
      </c>
      <c r="DG27" t="s">
        <v>3222</v>
      </c>
      <c r="DH27" t="s">
        <v>3223</v>
      </c>
      <c r="DI27" t="s">
        <v>3224</v>
      </c>
      <c r="DJ27" t="s">
        <v>3225</v>
      </c>
      <c r="DK27" t="s">
        <v>3226</v>
      </c>
      <c r="DL27" t="s">
        <v>3227</v>
      </c>
      <c r="DM27" t="s">
        <v>3228</v>
      </c>
      <c r="DN27" t="s">
        <v>3229</v>
      </c>
      <c r="DO27" t="s">
        <v>3230</v>
      </c>
      <c r="DP27" t="s">
        <v>3231</v>
      </c>
      <c r="DQ27" t="s">
        <v>3232</v>
      </c>
      <c r="DR27" t="s">
        <v>3233</v>
      </c>
      <c r="DS27" t="s">
        <v>3234</v>
      </c>
      <c r="DT27" t="s">
        <v>3235</v>
      </c>
      <c r="DU27" t="s">
        <v>3236</v>
      </c>
      <c r="DV27" t="s">
        <v>3237</v>
      </c>
      <c r="DW27" t="s">
        <v>3238</v>
      </c>
      <c r="DX27" t="s">
        <v>3239</v>
      </c>
      <c r="DY27" t="s">
        <v>3240</v>
      </c>
    </row>
    <row r="28" spans="1:129" x14ac:dyDescent="0.25">
      <c r="A28" t="s">
        <v>3112</v>
      </c>
      <c r="B28" t="s">
        <v>3241</v>
      </c>
      <c r="C28" t="s">
        <v>3242</v>
      </c>
      <c r="D28" t="s">
        <v>3243</v>
      </c>
      <c r="E28" t="s">
        <v>3244</v>
      </c>
      <c r="F28" t="s">
        <v>3245</v>
      </c>
      <c r="G28" t="s">
        <v>3246</v>
      </c>
      <c r="H28" t="s">
        <v>3247</v>
      </c>
      <c r="I28" t="s">
        <v>3248</v>
      </c>
      <c r="J28" t="s">
        <v>3249</v>
      </c>
      <c r="K28" t="s">
        <v>3250</v>
      </c>
      <c r="L28" t="s">
        <v>3251</v>
      </c>
      <c r="M28" t="s">
        <v>3252</v>
      </c>
      <c r="N28" t="s">
        <v>3253</v>
      </c>
      <c r="O28" t="s">
        <v>3254</v>
      </c>
      <c r="P28" t="s">
        <v>3255</v>
      </c>
      <c r="Q28" t="s">
        <v>3256</v>
      </c>
      <c r="R28" t="s">
        <v>3257</v>
      </c>
      <c r="S28" t="s">
        <v>3258</v>
      </c>
      <c r="T28" t="s">
        <v>3259</v>
      </c>
      <c r="U28" t="s">
        <v>3260</v>
      </c>
      <c r="V28" t="s">
        <v>3261</v>
      </c>
      <c r="W28" t="s">
        <v>3262</v>
      </c>
      <c r="X28" t="s">
        <v>3263</v>
      </c>
      <c r="Y28" t="s">
        <v>3264</v>
      </c>
      <c r="Z28" t="s">
        <v>3265</v>
      </c>
      <c r="AA28" t="s">
        <v>3266</v>
      </c>
      <c r="AB28" t="s">
        <v>3267</v>
      </c>
      <c r="AC28" t="s">
        <v>3268</v>
      </c>
      <c r="AD28" t="s">
        <v>3269</v>
      </c>
      <c r="AE28" t="s">
        <v>3270</v>
      </c>
      <c r="AF28" t="s">
        <v>3271</v>
      </c>
      <c r="AG28" t="s">
        <v>3272</v>
      </c>
      <c r="AH28" t="s">
        <v>3273</v>
      </c>
      <c r="AI28" t="s">
        <v>3274</v>
      </c>
      <c r="AJ28" t="s">
        <v>3275</v>
      </c>
      <c r="AK28" t="s">
        <v>3276</v>
      </c>
      <c r="AL28" t="s">
        <v>3277</v>
      </c>
      <c r="AM28" t="s">
        <v>3278</v>
      </c>
      <c r="AN28" t="s">
        <v>3279</v>
      </c>
      <c r="AO28" t="s">
        <v>3280</v>
      </c>
      <c r="AP28" t="s">
        <v>3281</v>
      </c>
      <c r="AQ28" t="s">
        <v>3282</v>
      </c>
      <c r="AR28" t="s">
        <v>3283</v>
      </c>
      <c r="AS28" t="s">
        <v>3284</v>
      </c>
      <c r="AT28" t="s">
        <v>3285</v>
      </c>
      <c r="AU28" t="s">
        <v>3286</v>
      </c>
      <c r="AV28" t="s">
        <v>3287</v>
      </c>
      <c r="AW28" t="s">
        <v>3288</v>
      </c>
      <c r="AX28" t="s">
        <v>3289</v>
      </c>
      <c r="AY28" t="s">
        <v>3290</v>
      </c>
      <c r="AZ28" t="s">
        <v>3291</v>
      </c>
      <c r="BA28" t="s">
        <v>3292</v>
      </c>
      <c r="BB28" t="s">
        <v>3293</v>
      </c>
      <c r="BC28" t="s">
        <v>3294</v>
      </c>
      <c r="BD28" t="s">
        <v>3295</v>
      </c>
      <c r="BE28" t="s">
        <v>3296</v>
      </c>
      <c r="BF28" t="s">
        <v>3297</v>
      </c>
      <c r="BG28" t="s">
        <v>3298</v>
      </c>
      <c r="BH28" t="s">
        <v>3299</v>
      </c>
      <c r="BI28" t="s">
        <v>3300</v>
      </c>
      <c r="BJ28" t="s">
        <v>3301</v>
      </c>
      <c r="BK28" t="s">
        <v>3302</v>
      </c>
      <c r="BL28" t="s">
        <v>3303</v>
      </c>
      <c r="BM28" t="s">
        <v>3304</v>
      </c>
      <c r="BN28" t="s">
        <v>3305</v>
      </c>
      <c r="BO28" t="s">
        <v>3306</v>
      </c>
      <c r="BP28" t="s">
        <v>3307</v>
      </c>
      <c r="BQ28" t="s">
        <v>3308</v>
      </c>
      <c r="BR28" t="s">
        <v>3309</v>
      </c>
      <c r="BS28" t="s">
        <v>3310</v>
      </c>
      <c r="BT28" t="s">
        <v>3311</v>
      </c>
      <c r="BU28" t="s">
        <v>3312</v>
      </c>
      <c r="BV28" t="s">
        <v>3313</v>
      </c>
      <c r="BW28" t="s">
        <v>3314</v>
      </c>
      <c r="BX28" t="s">
        <v>3315</v>
      </c>
      <c r="BY28" t="s">
        <v>3316</v>
      </c>
      <c r="BZ28" t="s">
        <v>3317</v>
      </c>
      <c r="CA28" t="s">
        <v>3318</v>
      </c>
      <c r="CB28" t="s">
        <v>3319</v>
      </c>
      <c r="CC28" t="s">
        <v>3320</v>
      </c>
      <c r="CD28" t="s">
        <v>3321</v>
      </c>
      <c r="CE28" t="s">
        <v>3322</v>
      </c>
      <c r="CF28" t="s">
        <v>3323</v>
      </c>
      <c r="CG28" t="s">
        <v>3324</v>
      </c>
      <c r="CH28" t="s">
        <v>3325</v>
      </c>
      <c r="CI28" t="s">
        <v>3326</v>
      </c>
      <c r="CJ28" t="s">
        <v>3327</v>
      </c>
      <c r="CK28" t="s">
        <v>3328</v>
      </c>
      <c r="CL28" t="s">
        <v>3329</v>
      </c>
      <c r="CM28" t="s">
        <v>3330</v>
      </c>
      <c r="CN28" t="s">
        <v>3331</v>
      </c>
      <c r="CO28" t="s">
        <v>3332</v>
      </c>
      <c r="CP28" t="s">
        <v>3333</v>
      </c>
      <c r="CQ28" t="s">
        <v>3334</v>
      </c>
      <c r="CR28" t="s">
        <v>3335</v>
      </c>
      <c r="CS28" t="s">
        <v>3336</v>
      </c>
      <c r="CT28" t="s">
        <v>3337</v>
      </c>
      <c r="CU28" t="s">
        <v>3338</v>
      </c>
      <c r="CV28" t="s">
        <v>3339</v>
      </c>
      <c r="CW28" t="s">
        <v>3340</v>
      </c>
      <c r="CX28" t="s">
        <v>3341</v>
      </c>
      <c r="CY28" t="s">
        <v>3342</v>
      </c>
      <c r="CZ28" t="s">
        <v>3343</v>
      </c>
      <c r="DA28" t="s">
        <v>3344</v>
      </c>
      <c r="DB28" t="s">
        <v>3345</v>
      </c>
      <c r="DC28" t="s">
        <v>3346</v>
      </c>
      <c r="DD28" t="s">
        <v>3347</v>
      </c>
      <c r="DE28" t="s">
        <v>3348</v>
      </c>
      <c r="DF28" t="s">
        <v>3349</v>
      </c>
      <c r="DG28" t="s">
        <v>3350</v>
      </c>
      <c r="DH28" t="s">
        <v>3351</v>
      </c>
      <c r="DI28" t="s">
        <v>3352</v>
      </c>
      <c r="DJ28" t="s">
        <v>3353</v>
      </c>
      <c r="DK28" t="s">
        <v>3354</v>
      </c>
      <c r="DL28" t="s">
        <v>3355</v>
      </c>
      <c r="DM28" t="s">
        <v>3356</v>
      </c>
      <c r="DN28" t="s">
        <v>3357</v>
      </c>
      <c r="DO28" t="s">
        <v>3358</v>
      </c>
      <c r="DP28" t="s">
        <v>3359</v>
      </c>
      <c r="DQ28" t="s">
        <v>3360</v>
      </c>
      <c r="DR28" t="s">
        <v>3361</v>
      </c>
      <c r="DS28" t="s">
        <v>3362</v>
      </c>
      <c r="DT28" t="s">
        <v>3363</v>
      </c>
      <c r="DU28" t="s">
        <v>3364</v>
      </c>
      <c r="DV28" t="s">
        <v>3365</v>
      </c>
      <c r="DW28" t="s">
        <v>3366</v>
      </c>
      <c r="DX28" t="s">
        <v>3367</v>
      </c>
      <c r="DY28" t="s">
        <v>3368</v>
      </c>
    </row>
    <row r="30" spans="1:129" x14ac:dyDescent="0.25">
      <c r="A30" s="32" t="s">
        <v>3369</v>
      </c>
    </row>
    <row r="31" spans="1:129" x14ac:dyDescent="0.25">
      <c r="A31" t="s">
        <v>16</v>
      </c>
      <c r="B31">
        <v>1</v>
      </c>
      <c r="C31">
        <v>62.03125</v>
      </c>
      <c r="D31">
        <v>123.0625</v>
      </c>
      <c r="E31">
        <v>184.09375</v>
      </c>
      <c r="F31">
        <v>245.125</v>
      </c>
      <c r="G31">
        <v>306.15625</v>
      </c>
      <c r="H31">
        <v>367.1875</v>
      </c>
      <c r="I31">
        <v>428.21875</v>
      </c>
      <c r="J31">
        <v>489.25</v>
      </c>
      <c r="K31">
        <v>550.28125</v>
      </c>
      <c r="L31">
        <v>611.3125</v>
      </c>
      <c r="M31">
        <v>672.34375</v>
      </c>
      <c r="N31">
        <v>733.375</v>
      </c>
      <c r="O31">
        <v>794.40625</v>
      </c>
      <c r="P31">
        <v>855.4375</v>
      </c>
      <c r="Q31">
        <v>916.46875</v>
      </c>
      <c r="R31">
        <v>977.5</v>
      </c>
      <c r="S31">
        <v>1038.53125</v>
      </c>
      <c r="T31">
        <v>1099.5625</v>
      </c>
      <c r="U31">
        <v>1160.59375</v>
      </c>
      <c r="V31">
        <v>1221.625</v>
      </c>
      <c r="W31">
        <v>1282.65625</v>
      </c>
      <c r="X31">
        <v>1343.6875</v>
      </c>
      <c r="Y31">
        <v>1404.71875</v>
      </c>
      <c r="Z31">
        <v>1465.75</v>
      </c>
      <c r="AA31">
        <v>1526.78125</v>
      </c>
      <c r="AB31">
        <v>1587.8125</v>
      </c>
      <c r="AC31">
        <v>1648.84375</v>
      </c>
      <c r="AD31">
        <v>1709.875</v>
      </c>
      <c r="AE31">
        <v>1770.90625</v>
      </c>
      <c r="AF31">
        <v>1831.9375</v>
      </c>
      <c r="AG31">
        <v>1892.96875</v>
      </c>
      <c r="AH31">
        <v>1954</v>
      </c>
      <c r="AI31">
        <v>2015.03125</v>
      </c>
      <c r="AJ31">
        <v>2076.0625</v>
      </c>
      <c r="AK31">
        <v>2137.09375</v>
      </c>
      <c r="AL31">
        <v>2198.125</v>
      </c>
      <c r="AM31">
        <v>2259.15625</v>
      </c>
      <c r="AN31">
        <v>2320.1875</v>
      </c>
      <c r="AO31">
        <v>2381.21875</v>
      </c>
      <c r="AP31">
        <v>2442.25</v>
      </c>
      <c r="AQ31">
        <v>2503.28125</v>
      </c>
      <c r="AR31">
        <v>2564.3125</v>
      </c>
      <c r="AS31">
        <v>2625.34375</v>
      </c>
      <c r="AT31">
        <v>2686.375</v>
      </c>
      <c r="AU31">
        <v>2747.40625</v>
      </c>
      <c r="AV31">
        <v>2808.4375</v>
      </c>
      <c r="AW31">
        <v>2869.46875</v>
      </c>
      <c r="AX31">
        <v>2930.5</v>
      </c>
      <c r="AY31">
        <v>2991.53125</v>
      </c>
      <c r="AZ31">
        <v>3052.5625</v>
      </c>
      <c r="BA31">
        <v>3113.59375</v>
      </c>
      <c r="BB31">
        <v>3174.625</v>
      </c>
      <c r="BC31">
        <v>3235.65625</v>
      </c>
      <c r="BD31">
        <v>3296.6875</v>
      </c>
      <c r="BE31">
        <v>3357.71875</v>
      </c>
      <c r="BF31">
        <v>3418.75</v>
      </c>
      <c r="BG31">
        <v>3479.78125</v>
      </c>
      <c r="BH31">
        <v>3540.8125</v>
      </c>
      <c r="BI31">
        <v>3601.84375</v>
      </c>
      <c r="BJ31">
        <v>3662.875</v>
      </c>
      <c r="BK31">
        <v>3723.90625</v>
      </c>
      <c r="BL31">
        <v>3784.9375</v>
      </c>
      <c r="BM31">
        <v>3845.96875</v>
      </c>
      <c r="BN31">
        <v>3907</v>
      </c>
      <c r="BO31">
        <v>3968.03125</v>
      </c>
      <c r="BP31">
        <v>4029.0625</v>
      </c>
      <c r="BQ31">
        <v>4090.09375</v>
      </c>
      <c r="BR31">
        <v>4151.125</v>
      </c>
      <c r="BS31">
        <v>4212.15625</v>
      </c>
      <c r="BT31">
        <v>4273.1875</v>
      </c>
      <c r="BU31">
        <v>4334.21875</v>
      </c>
      <c r="BV31">
        <v>4395.25</v>
      </c>
      <c r="BW31">
        <v>4456.28125</v>
      </c>
      <c r="BX31">
        <v>4517.3125</v>
      </c>
      <c r="BY31">
        <v>4578.34375</v>
      </c>
      <c r="BZ31">
        <v>4639.375</v>
      </c>
      <c r="CA31">
        <v>4700.40625</v>
      </c>
      <c r="CB31">
        <v>4761.4375</v>
      </c>
      <c r="CC31">
        <v>4822.46875</v>
      </c>
      <c r="CD31">
        <v>4883.5</v>
      </c>
      <c r="CE31">
        <v>4944.53125</v>
      </c>
      <c r="CF31">
        <v>5005.5625</v>
      </c>
      <c r="CG31">
        <v>5066.59375</v>
      </c>
      <c r="CH31">
        <v>5127.625</v>
      </c>
      <c r="CI31">
        <v>5188.65625</v>
      </c>
      <c r="CJ31">
        <v>5249.6875</v>
      </c>
      <c r="CK31">
        <v>5310.71875</v>
      </c>
      <c r="CL31">
        <v>5371.75</v>
      </c>
      <c r="CM31">
        <v>5432.78125</v>
      </c>
      <c r="CN31">
        <v>5493.8125</v>
      </c>
      <c r="CO31">
        <v>5554.84375</v>
      </c>
      <c r="CP31">
        <v>5615.875</v>
      </c>
      <c r="CQ31">
        <v>5676.90625</v>
      </c>
      <c r="CR31">
        <v>5737.9375</v>
      </c>
      <c r="CS31">
        <v>5798.96875</v>
      </c>
      <c r="CT31">
        <v>5860</v>
      </c>
      <c r="CU31">
        <v>5921.03125</v>
      </c>
      <c r="CV31">
        <v>5982.0625</v>
      </c>
      <c r="CW31">
        <v>6043.09375</v>
      </c>
      <c r="CX31">
        <v>6104.125</v>
      </c>
      <c r="CY31">
        <v>6165.15625</v>
      </c>
      <c r="CZ31">
        <v>6226.1875</v>
      </c>
      <c r="DA31">
        <v>6287.21875</v>
      </c>
      <c r="DB31">
        <v>6348.25</v>
      </c>
      <c r="DC31">
        <v>6409.28125</v>
      </c>
      <c r="DD31">
        <v>6470.3125</v>
      </c>
      <c r="DE31">
        <v>6531.34375</v>
      </c>
      <c r="DF31">
        <v>6592.375</v>
      </c>
      <c r="DG31">
        <v>6653.40625</v>
      </c>
      <c r="DH31">
        <v>6714.4375</v>
      </c>
      <c r="DI31">
        <v>6775.46875</v>
      </c>
      <c r="DJ31">
        <v>6836.5</v>
      </c>
      <c r="DK31">
        <v>6897.53125</v>
      </c>
      <c r="DL31">
        <v>6958.5625</v>
      </c>
      <c r="DM31">
        <v>7019.59375</v>
      </c>
      <c r="DN31">
        <v>7080.625</v>
      </c>
      <c r="DO31">
        <v>7141.65625</v>
      </c>
      <c r="DP31">
        <v>7202.6875</v>
      </c>
      <c r="DQ31">
        <v>7263.71875</v>
      </c>
      <c r="DR31">
        <v>7324.75</v>
      </c>
      <c r="DS31">
        <v>7385.78125</v>
      </c>
      <c r="DT31">
        <v>7446.8125</v>
      </c>
      <c r="DU31">
        <v>7507.84375</v>
      </c>
      <c r="DV31">
        <v>7568.875</v>
      </c>
      <c r="DW31">
        <v>7629.90625</v>
      </c>
      <c r="DX31">
        <v>7690.9375</v>
      </c>
      <c r="DY31">
        <v>7751.96875</v>
      </c>
    </row>
    <row r="32" spans="1:129" x14ac:dyDescent="0.25">
      <c r="A32" t="s">
        <v>17</v>
      </c>
      <c r="B32">
        <v>391.04006830116703</v>
      </c>
      <c r="C32">
        <v>104.8998844845805</v>
      </c>
      <c r="D32">
        <v>91.580436442488903</v>
      </c>
      <c r="E32">
        <v>91.890488486230893</v>
      </c>
      <c r="F32">
        <v>80.657743156546104</v>
      </c>
      <c r="G32">
        <v>80.469998673130107</v>
      </c>
      <c r="H32">
        <v>81.239832457041999</v>
      </c>
      <c r="I32">
        <v>82.814828358907405</v>
      </c>
      <c r="J32">
        <v>81.112768794565596</v>
      </c>
      <c r="K32">
        <v>81.647755383627185</v>
      </c>
      <c r="L32">
        <v>79.820528428038159</v>
      </c>
      <c r="M32">
        <v>78.907716890940605</v>
      </c>
      <c r="N32">
        <v>78.514443192035841</v>
      </c>
      <c r="O32">
        <v>76.320715924061091</v>
      </c>
      <c r="P32">
        <v>74.806510225403443</v>
      </c>
      <c r="Q32">
        <v>73.612916689958851</v>
      </c>
      <c r="R32">
        <v>73.85883809772568</v>
      </c>
      <c r="S32">
        <v>74.918958926467226</v>
      </c>
      <c r="T32">
        <v>75.48850559160411</v>
      </c>
      <c r="U32">
        <v>75.2123884452147</v>
      </c>
      <c r="V32">
        <v>75.980220607727006</v>
      </c>
      <c r="W32">
        <v>75.764882196396997</v>
      </c>
      <c r="X32">
        <v>76.567937411280013</v>
      </c>
      <c r="Y32">
        <v>75.665289137731548</v>
      </c>
      <c r="Z32">
        <v>76.328826589334881</v>
      </c>
      <c r="AA32">
        <v>76.069726845151905</v>
      </c>
      <c r="AB32">
        <v>76.065445283270435</v>
      </c>
      <c r="AC32">
        <v>76.904061426820547</v>
      </c>
      <c r="AD32">
        <v>77.359938509755182</v>
      </c>
      <c r="AE32">
        <v>77.18377125734122</v>
      </c>
      <c r="AF32">
        <v>77.112748753151365</v>
      </c>
      <c r="AG32">
        <v>77.485548185510709</v>
      </c>
      <c r="AH32">
        <v>77.604806825914551</v>
      </c>
      <c r="AI32">
        <v>79.976780281287361</v>
      </c>
      <c r="AJ32">
        <v>84.347152720645937</v>
      </c>
      <c r="AK32">
        <v>79.827268492150338</v>
      </c>
      <c r="AL32">
        <v>77.898311856168533</v>
      </c>
      <c r="AM32">
        <v>77.160619392513937</v>
      </c>
      <c r="AN32">
        <v>74.967771924728353</v>
      </c>
      <c r="AO32">
        <v>72.788322823336955</v>
      </c>
      <c r="AP32">
        <v>70.322251185646579</v>
      </c>
      <c r="AQ32">
        <v>68.919187947562079</v>
      </c>
      <c r="AR32">
        <v>69.213228388107694</v>
      </c>
      <c r="AS32">
        <v>70.918564168808402</v>
      </c>
      <c r="AT32">
        <v>72.518650182725622</v>
      </c>
      <c r="AU32">
        <v>74.560606587790829</v>
      </c>
      <c r="AV32">
        <v>74.230377741315635</v>
      </c>
      <c r="AW32">
        <v>73.502683046581197</v>
      </c>
      <c r="AX32">
        <v>72.13522165437486</v>
      </c>
      <c r="AY32">
        <v>70.009431361765124</v>
      </c>
      <c r="AZ32">
        <v>67.929983215284395</v>
      </c>
      <c r="BA32">
        <v>65.35659336605255</v>
      </c>
      <c r="BB32">
        <v>63.376252670852018</v>
      </c>
      <c r="BC32">
        <v>61.514069958419782</v>
      </c>
      <c r="BD32">
        <v>59.830674039841441</v>
      </c>
      <c r="BE32">
        <v>58.678827638130905</v>
      </c>
      <c r="BF32">
        <v>57.886874153813821</v>
      </c>
      <c r="BG32">
        <v>57.098823310454897</v>
      </c>
      <c r="BH32">
        <v>56.307192655412472</v>
      </c>
      <c r="BI32">
        <v>55.275347415407637</v>
      </c>
      <c r="BJ32">
        <v>54.323065924961817</v>
      </c>
      <c r="BK32">
        <v>53.382791828184388</v>
      </c>
      <c r="BL32">
        <v>52.583480557495761</v>
      </c>
      <c r="BM32">
        <v>51.958833234376932</v>
      </c>
      <c r="BN32">
        <v>51.450483180103504</v>
      </c>
      <c r="BO32">
        <v>50.944606749022583</v>
      </c>
      <c r="BP32">
        <v>50.305962372060549</v>
      </c>
      <c r="BQ32">
        <v>49.60898790727682</v>
      </c>
      <c r="BR32">
        <v>48.89533774848298</v>
      </c>
      <c r="BS32">
        <v>48.387223822756539</v>
      </c>
      <c r="BT32">
        <v>48.131409365144194</v>
      </c>
      <c r="BU32">
        <v>48.061554910116861</v>
      </c>
      <c r="BV32">
        <v>48.489292681123722</v>
      </c>
      <c r="BW32">
        <v>48.825467125889986</v>
      </c>
      <c r="BX32">
        <v>49.760054280562535</v>
      </c>
      <c r="BY32">
        <v>51.138460190233502</v>
      </c>
      <c r="BZ32">
        <v>52.394285623925363</v>
      </c>
      <c r="CA32">
        <v>51.660814632860024</v>
      </c>
      <c r="CB32">
        <v>52.257543904809879</v>
      </c>
      <c r="CC32">
        <v>52.984631418939138</v>
      </c>
      <c r="CD32">
        <v>53.152537351534207</v>
      </c>
      <c r="CE32">
        <v>52.963650113626059</v>
      </c>
      <c r="CF32">
        <v>52.76229054329032</v>
      </c>
      <c r="CG32">
        <v>52.887170991891679</v>
      </c>
      <c r="CH32">
        <v>53.918574695446246</v>
      </c>
      <c r="CI32">
        <v>56.039072588739259</v>
      </c>
      <c r="CJ32">
        <v>58.69372099144028</v>
      </c>
      <c r="CK32">
        <v>62.4530114314895</v>
      </c>
      <c r="CL32">
        <v>67.710236576245521</v>
      </c>
      <c r="CM32">
        <v>72.76345148700905</v>
      </c>
      <c r="CN32">
        <v>71.62105097819547</v>
      </c>
      <c r="CO32">
        <v>68.472473451481079</v>
      </c>
      <c r="CP32">
        <v>65.962911710408704</v>
      </c>
      <c r="CQ32">
        <v>64.537612999182215</v>
      </c>
      <c r="CR32">
        <v>63.437908259295341</v>
      </c>
      <c r="CS32">
        <v>63.287414593676559</v>
      </c>
      <c r="CT32">
        <v>63.154387921649075</v>
      </c>
      <c r="CU32">
        <v>62.672142830054</v>
      </c>
      <c r="CV32">
        <v>61.848304960658119</v>
      </c>
      <c r="CW32">
        <v>61.372539586959633</v>
      </c>
      <c r="CX32">
        <v>61.41540160981755</v>
      </c>
      <c r="CY32">
        <v>61.68927367989297</v>
      </c>
      <c r="CZ32">
        <v>61.96908427748869</v>
      </c>
      <c r="DA32">
        <v>62.409206289401411</v>
      </c>
      <c r="DB32">
        <v>62.78901850570093</v>
      </c>
      <c r="DC32">
        <v>63.325296763452897</v>
      </c>
      <c r="DD32">
        <v>63.626829862362399</v>
      </c>
      <c r="DE32">
        <v>63.357885797810702</v>
      </c>
      <c r="DF32">
        <v>63.081796265822902</v>
      </c>
      <c r="DG32">
        <v>63.2660699449833</v>
      </c>
      <c r="DH32">
        <v>63.632248452978999</v>
      </c>
      <c r="DI32">
        <v>64.226531421947897</v>
      </c>
      <c r="DJ32">
        <v>64.302555274958991</v>
      </c>
      <c r="DK32">
        <v>64.540927494721103</v>
      </c>
      <c r="DL32">
        <v>64.585000946356701</v>
      </c>
      <c r="DM32">
        <v>65.242330393016601</v>
      </c>
      <c r="DN32">
        <v>65.837426927790503</v>
      </c>
      <c r="DO32">
        <v>66.944863513930201</v>
      </c>
      <c r="DP32">
        <v>67.941080611101299</v>
      </c>
      <c r="DQ32">
        <v>69.029696070711992</v>
      </c>
      <c r="DR32">
        <v>69.99304582325351</v>
      </c>
      <c r="DS32">
        <v>71.312542445594204</v>
      </c>
      <c r="DT32">
        <v>71.531093977505094</v>
      </c>
      <c r="DU32">
        <v>72.532477653452503</v>
      </c>
      <c r="DV32">
        <v>73.054660756028198</v>
      </c>
      <c r="DW32">
        <v>74.825523038430006</v>
      </c>
      <c r="DX32">
        <v>75.744743134429896</v>
      </c>
      <c r="DY32">
        <v>78.744634629233403</v>
      </c>
    </row>
    <row r="33" spans="1:129" x14ac:dyDescent="0.25">
      <c r="A33" t="s">
        <v>18</v>
      </c>
      <c r="B33">
        <v>394.73261453184</v>
      </c>
      <c r="C33">
        <v>96.193654579973796</v>
      </c>
      <c r="D33">
        <v>95.181250190182197</v>
      </c>
      <c r="E33">
        <v>98.243704737615303</v>
      </c>
      <c r="F33">
        <v>99.049749487598206</v>
      </c>
      <c r="G33">
        <v>98.273807117052201</v>
      </c>
      <c r="H33">
        <v>99.672044879921401</v>
      </c>
      <c r="I33">
        <v>98.831224128626502</v>
      </c>
      <c r="J33">
        <v>94.376679000002198</v>
      </c>
      <c r="K33">
        <v>91.405939007957784</v>
      </c>
      <c r="L33">
        <v>94.823420111454155</v>
      </c>
      <c r="M33">
        <v>86.891379967964212</v>
      </c>
      <c r="N33">
        <v>87.085407585543237</v>
      </c>
      <c r="O33">
        <v>86.363707757512884</v>
      </c>
      <c r="P33">
        <v>87.147982889075038</v>
      </c>
      <c r="Q33">
        <v>86.816265976713751</v>
      </c>
      <c r="R33">
        <v>87.805544577099781</v>
      </c>
      <c r="S33">
        <v>87.125010684930828</v>
      </c>
      <c r="T33">
        <v>87.817907288176102</v>
      </c>
      <c r="U33">
        <v>88.172990697101696</v>
      </c>
      <c r="V33">
        <v>86.807197480697397</v>
      </c>
      <c r="W33">
        <v>85.770693049730895</v>
      </c>
      <c r="X33">
        <v>86.497852278014321</v>
      </c>
      <c r="Y33">
        <v>85.328815860800859</v>
      </c>
      <c r="Z33">
        <v>83.95514709175518</v>
      </c>
      <c r="AA33">
        <v>84.001628658800811</v>
      </c>
      <c r="AB33">
        <v>84.02091288982173</v>
      </c>
      <c r="AC33">
        <v>83.110625759049938</v>
      </c>
      <c r="AD33">
        <v>82.44140191339369</v>
      </c>
      <c r="AE33">
        <v>80.981288537195724</v>
      </c>
      <c r="AF33">
        <v>80.819861483581761</v>
      </c>
      <c r="AG33">
        <v>80.865682472718902</v>
      </c>
      <c r="AH33">
        <v>79.84159848559986</v>
      </c>
      <c r="AI33">
        <v>78.565869049517161</v>
      </c>
      <c r="AJ33">
        <v>74.425915628224942</v>
      </c>
      <c r="AK33">
        <v>71.919529203108439</v>
      </c>
      <c r="AL33">
        <v>70.27991449878634</v>
      </c>
      <c r="AM33">
        <v>68.283419846179441</v>
      </c>
      <c r="AN33">
        <v>66.187917851102753</v>
      </c>
      <c r="AO33">
        <v>65.223121352984364</v>
      </c>
      <c r="AP33">
        <v>65.031556908638578</v>
      </c>
      <c r="AQ33">
        <v>66.252968518838088</v>
      </c>
      <c r="AR33">
        <v>68.312625664590001</v>
      </c>
      <c r="AS33">
        <v>69.07865319067291</v>
      </c>
      <c r="AT33">
        <v>66.645573939247413</v>
      </c>
      <c r="AU33">
        <v>66.495557588925635</v>
      </c>
      <c r="AV33">
        <v>66.257808630475537</v>
      </c>
      <c r="AW33">
        <v>65.828529835473702</v>
      </c>
      <c r="AX33">
        <v>65.605548561937468</v>
      </c>
      <c r="AY33">
        <v>65.852408647161326</v>
      </c>
      <c r="AZ33">
        <v>65.269954338093996</v>
      </c>
      <c r="BA33">
        <v>64.88752152418266</v>
      </c>
      <c r="BB33">
        <v>64.31350619863511</v>
      </c>
      <c r="BC33">
        <v>64.777254991861781</v>
      </c>
      <c r="BD33">
        <v>65.079720471964634</v>
      </c>
      <c r="BE33">
        <v>63.135100554760406</v>
      </c>
      <c r="BF33">
        <v>60.862188106332624</v>
      </c>
      <c r="BG33">
        <v>59.194107324144696</v>
      </c>
      <c r="BH33">
        <v>58.07392014997977</v>
      </c>
      <c r="BI33">
        <v>56.93083636580144</v>
      </c>
      <c r="BJ33">
        <v>56.283559516611511</v>
      </c>
      <c r="BK33">
        <v>55.668073059099889</v>
      </c>
      <c r="BL33">
        <v>55.154057150929162</v>
      </c>
      <c r="BM33">
        <v>54.88974311384073</v>
      </c>
      <c r="BN33">
        <v>54.649369778576009</v>
      </c>
      <c r="BO33">
        <v>54.350505147985281</v>
      </c>
      <c r="BP33">
        <v>54.033981567713347</v>
      </c>
      <c r="BQ33">
        <v>53.732481798477323</v>
      </c>
      <c r="BR33">
        <v>53.373079904501878</v>
      </c>
      <c r="BS33">
        <v>53.23201107100224</v>
      </c>
      <c r="BT33">
        <v>52.650496898325798</v>
      </c>
      <c r="BU33">
        <v>52.801188809119758</v>
      </c>
      <c r="BV33">
        <v>53.783453310775919</v>
      </c>
      <c r="BW33">
        <v>54.86895963482948</v>
      </c>
      <c r="BX33">
        <v>56.210066843557136</v>
      </c>
      <c r="BY33">
        <v>58.765641249739801</v>
      </c>
      <c r="BZ33">
        <v>62.297725352557563</v>
      </c>
      <c r="CA33">
        <v>61.880724201964014</v>
      </c>
      <c r="CB33">
        <v>64.03037870157948</v>
      </c>
      <c r="CC33">
        <v>72.130373895878137</v>
      </c>
      <c r="CD33">
        <v>73.019911418789903</v>
      </c>
      <c r="CE33">
        <v>65.051656651665269</v>
      </c>
      <c r="CF33">
        <v>61.083614179883824</v>
      </c>
      <c r="CG33">
        <v>58.572925493417586</v>
      </c>
      <c r="CH33">
        <v>57.575219933568242</v>
      </c>
      <c r="CI33">
        <v>59.539496356804165</v>
      </c>
      <c r="CJ33">
        <v>60.633864485974179</v>
      </c>
      <c r="CK33">
        <v>61.385918972453801</v>
      </c>
      <c r="CL33">
        <v>64.328331985947926</v>
      </c>
      <c r="CM33">
        <v>66.956509706369147</v>
      </c>
      <c r="CN33">
        <v>68.440760121510763</v>
      </c>
      <c r="CO33">
        <v>70.174353373791575</v>
      </c>
      <c r="CP33">
        <v>70.837806291416797</v>
      </c>
      <c r="CQ33">
        <v>71.73307898861502</v>
      </c>
      <c r="CR33">
        <v>72.945059824951642</v>
      </c>
      <c r="CS33">
        <v>76.700309972175759</v>
      </c>
      <c r="CT33">
        <v>73.299616823118583</v>
      </c>
      <c r="CU33">
        <v>71.410883730195494</v>
      </c>
      <c r="CV33">
        <v>70.179406350660614</v>
      </c>
      <c r="CW33">
        <v>70.480634066362128</v>
      </c>
      <c r="CX33">
        <v>70.758433706732148</v>
      </c>
      <c r="CY33">
        <v>71.802901810521774</v>
      </c>
      <c r="CZ33">
        <v>71.967727418463994</v>
      </c>
      <c r="DA33">
        <v>73.371899843045412</v>
      </c>
      <c r="DB33">
        <v>74.011084745614724</v>
      </c>
      <c r="DC33">
        <v>74.377694362868894</v>
      </c>
      <c r="DD33">
        <v>73.657151642463404</v>
      </c>
      <c r="DE33">
        <v>71.816681335490401</v>
      </c>
      <c r="DF33">
        <v>70.2912887705548</v>
      </c>
      <c r="DG33">
        <v>70.352733257470902</v>
      </c>
      <c r="DH33">
        <v>70.739245014621204</v>
      </c>
      <c r="DI33">
        <v>69.431409359142208</v>
      </c>
      <c r="DJ33">
        <v>67.8658090335515</v>
      </c>
      <c r="DK33">
        <v>66.689358802552803</v>
      </c>
      <c r="DL33">
        <v>65.898156643240398</v>
      </c>
      <c r="DM33">
        <v>66.494077599369803</v>
      </c>
      <c r="DN33">
        <v>66.843156648123994</v>
      </c>
      <c r="DO33">
        <v>68.15802957650169</v>
      </c>
      <c r="DP33">
        <v>68.79448024703359</v>
      </c>
      <c r="DQ33">
        <v>70.331528254494103</v>
      </c>
      <c r="DR33">
        <v>71.507692189047503</v>
      </c>
      <c r="DS33">
        <v>73.3635564102714</v>
      </c>
      <c r="DT33">
        <v>74.610860018121102</v>
      </c>
      <c r="DU33">
        <v>76.326365759780003</v>
      </c>
      <c r="DV33">
        <v>77.163978861861594</v>
      </c>
      <c r="DW33">
        <v>81.719497846817802</v>
      </c>
      <c r="DX33">
        <v>82.202180903474101</v>
      </c>
      <c r="DY33">
        <v>80.821978899979101</v>
      </c>
    </row>
    <row r="34" spans="1:129" x14ac:dyDescent="0.25">
      <c r="A34" t="s">
        <v>275</v>
      </c>
      <c r="B34">
        <v>396.18524943546998</v>
      </c>
      <c r="C34">
        <v>88.506205309513902</v>
      </c>
      <c r="D34">
        <v>95.846470107383198</v>
      </c>
      <c r="E34">
        <v>103.11028498896729</v>
      </c>
      <c r="F34">
        <v>95.796498211648895</v>
      </c>
      <c r="G34">
        <v>94.883955328184499</v>
      </c>
      <c r="H34">
        <v>98.036489326627702</v>
      </c>
      <c r="I34">
        <v>90.377427964399999</v>
      </c>
      <c r="J34">
        <v>87.009115226772806</v>
      </c>
      <c r="K34">
        <v>84.159789113876585</v>
      </c>
      <c r="L34">
        <v>84.264589750661358</v>
      </c>
      <c r="M34">
        <v>80.990348857383012</v>
      </c>
      <c r="N34">
        <v>78.831181953636531</v>
      </c>
      <c r="O34">
        <v>78.996773895144386</v>
      </c>
      <c r="P34">
        <v>76.505848552646242</v>
      </c>
      <c r="Q34">
        <v>75.540038747593641</v>
      </c>
      <c r="R34">
        <v>75.840405660888777</v>
      </c>
      <c r="S34">
        <v>76.798851182865022</v>
      </c>
      <c r="T34">
        <v>76.9070287744469</v>
      </c>
      <c r="U34">
        <v>76.7598074465906</v>
      </c>
      <c r="V34">
        <v>76.24986301209259</v>
      </c>
      <c r="W34">
        <v>76.976705892706491</v>
      </c>
      <c r="X34">
        <v>76.628180740095118</v>
      </c>
      <c r="Y34">
        <v>76.845356397414946</v>
      </c>
      <c r="Z34">
        <v>76.814682619311881</v>
      </c>
      <c r="AA34">
        <v>77.500874457482709</v>
      </c>
      <c r="AB34">
        <v>77.329780117232431</v>
      </c>
      <c r="AC34">
        <v>77.364221445479046</v>
      </c>
      <c r="AD34">
        <v>78.399062935334982</v>
      </c>
      <c r="AE34">
        <v>78.491808315472312</v>
      </c>
      <c r="AF34">
        <v>78.125283717032659</v>
      </c>
      <c r="AG34">
        <v>79.4200185065055</v>
      </c>
      <c r="AH34">
        <v>78.78316590424285</v>
      </c>
      <c r="AI34">
        <v>78.246655705203253</v>
      </c>
      <c r="AJ34">
        <v>76.63932272607795</v>
      </c>
      <c r="AK34">
        <v>73.247427976712544</v>
      </c>
      <c r="AL34">
        <v>69.188734405691434</v>
      </c>
      <c r="AM34">
        <v>68.913438587053335</v>
      </c>
      <c r="AN34">
        <v>69.373570777889952</v>
      </c>
      <c r="AO34">
        <v>69.824977127651565</v>
      </c>
      <c r="AP34">
        <v>69.360320335792679</v>
      </c>
      <c r="AQ34">
        <v>68.728964642239788</v>
      </c>
      <c r="AR34">
        <v>68.662454183844005</v>
      </c>
      <c r="AS34">
        <v>68.828664445791006</v>
      </c>
      <c r="AT34">
        <v>69.310692977024615</v>
      </c>
      <c r="AU34">
        <v>69.772868949794031</v>
      </c>
      <c r="AV34">
        <v>70.218301902243141</v>
      </c>
      <c r="AW34">
        <v>70.425305374658407</v>
      </c>
      <c r="AX34">
        <v>70.218692455115772</v>
      </c>
      <c r="AY34">
        <v>69.459396927798522</v>
      </c>
      <c r="AZ34">
        <v>68.230870165247595</v>
      </c>
      <c r="BA34">
        <v>66.882404142825749</v>
      </c>
      <c r="BB34">
        <v>65.222915353917912</v>
      </c>
      <c r="BC34">
        <v>63.299657194695783</v>
      </c>
      <c r="BD34">
        <v>61.470862336496843</v>
      </c>
      <c r="BE34">
        <v>60.014475468043408</v>
      </c>
      <c r="BF34">
        <v>59.338118111705121</v>
      </c>
      <c r="BG34">
        <v>58.949019401034796</v>
      </c>
      <c r="BH34">
        <v>58.414339302619474</v>
      </c>
      <c r="BI34">
        <v>57.733427275285237</v>
      </c>
      <c r="BJ34">
        <v>56.916209783282817</v>
      </c>
      <c r="BK34">
        <v>56.055270270323192</v>
      </c>
      <c r="BL34">
        <v>55.402795010910054</v>
      </c>
      <c r="BM34">
        <v>54.767794555463333</v>
      </c>
      <c r="BN34">
        <v>54.204036458997706</v>
      </c>
      <c r="BO34">
        <v>54.246868596263283</v>
      </c>
      <c r="BP34">
        <v>54.335801686454246</v>
      </c>
      <c r="BQ34">
        <v>54.198406562691524</v>
      </c>
      <c r="BR34">
        <v>53.725235171203579</v>
      </c>
      <c r="BS34">
        <v>53.571558257121644</v>
      </c>
      <c r="BT34">
        <v>53.329585618221898</v>
      </c>
      <c r="BU34">
        <v>53.089531515715755</v>
      </c>
      <c r="BV34">
        <v>52.919349604767518</v>
      </c>
      <c r="BW34">
        <v>52.269175805980282</v>
      </c>
      <c r="BX34">
        <v>51.614026515590837</v>
      </c>
      <c r="BY34">
        <v>51.893787224435201</v>
      </c>
      <c r="BZ34">
        <v>52.622770747587865</v>
      </c>
      <c r="CA34">
        <v>52.058087190565914</v>
      </c>
      <c r="CB34">
        <v>51.579828154246876</v>
      </c>
      <c r="CC34">
        <v>51.88785817230724</v>
      </c>
      <c r="CD34">
        <v>52.3112425956921</v>
      </c>
      <c r="CE34">
        <v>52.016613620581161</v>
      </c>
      <c r="CF34">
        <v>51.703762328721822</v>
      </c>
      <c r="CG34">
        <v>52.128929234273485</v>
      </c>
      <c r="CH34">
        <v>53.230158972104945</v>
      </c>
      <c r="CI34">
        <v>54.663196998285258</v>
      </c>
      <c r="CJ34">
        <v>56.762319992498981</v>
      </c>
      <c r="CK34">
        <v>60.5063686073781</v>
      </c>
      <c r="CL34">
        <v>64.661555787310817</v>
      </c>
      <c r="CM34">
        <v>67.567469387287346</v>
      </c>
      <c r="CN34">
        <v>70.163044131967666</v>
      </c>
      <c r="CO34">
        <v>68.563247620417584</v>
      </c>
      <c r="CP34">
        <v>66.464274380598695</v>
      </c>
      <c r="CQ34">
        <v>64.966337452519312</v>
      </c>
      <c r="CR34">
        <v>63.803292741262041</v>
      </c>
      <c r="CS34">
        <v>63.34347647831396</v>
      </c>
      <c r="CT34">
        <v>62.591125156383775</v>
      </c>
      <c r="CU34">
        <v>62.116666343250898</v>
      </c>
      <c r="CV34">
        <v>62.148307623169217</v>
      </c>
      <c r="CW34">
        <v>61.988675122361336</v>
      </c>
      <c r="CX34">
        <v>62.382051443549351</v>
      </c>
      <c r="CY34">
        <v>62.662574920763873</v>
      </c>
      <c r="CZ34">
        <v>62.915347569857495</v>
      </c>
      <c r="DA34">
        <v>63.316257199503809</v>
      </c>
      <c r="DB34">
        <v>63.588653576863031</v>
      </c>
      <c r="DC34">
        <v>64.06985076276419</v>
      </c>
      <c r="DD34">
        <v>64.617075518003901</v>
      </c>
      <c r="DE34">
        <v>65.210140850566006</v>
      </c>
      <c r="DF34">
        <v>65.246761991454903</v>
      </c>
      <c r="DG34">
        <v>65.472066124965892</v>
      </c>
      <c r="DH34">
        <v>65.714814036714898</v>
      </c>
      <c r="DI34">
        <v>65.79658969516521</v>
      </c>
      <c r="DJ34">
        <v>65.68115285608971</v>
      </c>
      <c r="DK34">
        <v>65.30301344833029</v>
      </c>
      <c r="DL34">
        <v>65.185749550596697</v>
      </c>
      <c r="DM34">
        <v>65.472094735298498</v>
      </c>
      <c r="DN34">
        <v>65.868046398780194</v>
      </c>
      <c r="DO34">
        <v>67.123892896137789</v>
      </c>
      <c r="DP34">
        <v>67.879750744408909</v>
      </c>
      <c r="DQ34">
        <v>69.410619724965898</v>
      </c>
      <c r="DR34">
        <v>70.816135642059706</v>
      </c>
      <c r="DS34">
        <v>72.431113866012794</v>
      </c>
      <c r="DT34">
        <v>74.433183601401893</v>
      </c>
      <c r="DU34">
        <v>74.939440460233897</v>
      </c>
      <c r="DV34">
        <v>77.341299343781003</v>
      </c>
      <c r="DW34">
        <v>76.653343997630401</v>
      </c>
      <c r="DX34">
        <v>74.584153466937295</v>
      </c>
      <c r="DY34">
        <v>71.563382205983501</v>
      </c>
    </row>
    <row r="35" spans="1:129" x14ac:dyDescent="0.25">
      <c r="A35" t="s">
        <v>276</v>
      </c>
      <c r="B35">
        <v>408.65867224228299</v>
      </c>
      <c r="C35">
        <v>97.0819761616889</v>
      </c>
      <c r="D35">
        <v>91.794076461145806</v>
      </c>
      <c r="E35">
        <v>100.7398029424478</v>
      </c>
      <c r="F35">
        <v>100.8377638793113</v>
      </c>
      <c r="G35">
        <v>95.5633762823757</v>
      </c>
      <c r="H35">
        <v>102.8965404425833</v>
      </c>
      <c r="I35">
        <v>98.814267929275502</v>
      </c>
      <c r="J35">
        <v>95.926942975008302</v>
      </c>
      <c r="K35">
        <v>103.46781089837098</v>
      </c>
      <c r="L35">
        <v>95.498689980620355</v>
      </c>
      <c r="M35">
        <v>91.577910871196906</v>
      </c>
      <c r="N35">
        <v>86.856447191018233</v>
      </c>
      <c r="O35">
        <v>85.000220712844083</v>
      </c>
      <c r="P35">
        <v>81.199110907515831</v>
      </c>
      <c r="Q35">
        <v>80.755491882021545</v>
      </c>
      <c r="R35">
        <v>80.105749317554384</v>
      </c>
      <c r="S35">
        <v>79.748679936416522</v>
      </c>
      <c r="T35">
        <v>80.456241501490496</v>
      </c>
      <c r="U35">
        <v>80.482770568215599</v>
      </c>
      <c r="V35">
        <v>81.818655188927707</v>
      </c>
      <c r="W35">
        <v>81.607506484721597</v>
      </c>
      <c r="X35">
        <v>81.533776847893421</v>
      </c>
      <c r="Y35">
        <v>80.982343474865345</v>
      </c>
      <c r="Z35">
        <v>80.18199005698348</v>
      </c>
      <c r="AA35">
        <v>79.985820048074416</v>
      </c>
      <c r="AB35">
        <v>79.099970055138627</v>
      </c>
      <c r="AC35">
        <v>78.638546042325245</v>
      </c>
      <c r="AD35">
        <v>77.348532237243987</v>
      </c>
      <c r="AE35">
        <v>76.791090065965122</v>
      </c>
      <c r="AF35">
        <v>75.794540855658269</v>
      </c>
      <c r="AG35">
        <v>75.302053111822403</v>
      </c>
      <c r="AH35">
        <v>75.159123185786854</v>
      </c>
      <c r="AI35">
        <v>74.087890857259453</v>
      </c>
      <c r="AJ35">
        <v>73.917752945108646</v>
      </c>
      <c r="AK35">
        <v>73.494071399008746</v>
      </c>
      <c r="AL35">
        <v>72.268792137840336</v>
      </c>
      <c r="AM35">
        <v>69.672861206789037</v>
      </c>
      <c r="AN35">
        <v>69.169874373118844</v>
      </c>
      <c r="AO35">
        <v>69.369167432055562</v>
      </c>
      <c r="AP35">
        <v>69.076369619872366</v>
      </c>
      <c r="AQ35">
        <v>69.122775175890879</v>
      </c>
      <c r="AR35">
        <v>69.167367603261695</v>
      </c>
      <c r="AS35">
        <v>68.259195495835201</v>
      </c>
      <c r="AT35">
        <v>67.63323121174372</v>
      </c>
      <c r="AU35">
        <v>66.980547442881829</v>
      </c>
      <c r="AV35">
        <v>66.308765662630947</v>
      </c>
      <c r="AW35">
        <v>65.599298229275206</v>
      </c>
      <c r="AX35">
        <v>64.588488372439272</v>
      </c>
      <c r="AY35">
        <v>64.232249853885733</v>
      </c>
      <c r="AZ35">
        <v>63.590262845958989</v>
      </c>
      <c r="BA35">
        <v>63.259070376265754</v>
      </c>
      <c r="BB35">
        <v>63.051753731863421</v>
      </c>
      <c r="BC35">
        <v>63.554184424165882</v>
      </c>
      <c r="BD35">
        <v>64.721633469185846</v>
      </c>
      <c r="BE35">
        <v>65.466641693069008</v>
      </c>
      <c r="BF35">
        <v>63.976996786326723</v>
      </c>
      <c r="BG35">
        <v>61.539340917138496</v>
      </c>
      <c r="BH35">
        <v>60.064481647819974</v>
      </c>
      <c r="BI35">
        <v>59.058216961438042</v>
      </c>
      <c r="BJ35">
        <v>58.411685662046011</v>
      </c>
      <c r="BK35">
        <v>58.039950170560488</v>
      </c>
      <c r="BL35">
        <v>58.147003465087366</v>
      </c>
      <c r="BM35">
        <v>58.058879367496729</v>
      </c>
      <c r="BN35">
        <v>58.348269473094703</v>
      </c>
      <c r="BO35">
        <v>58.965452086278482</v>
      </c>
      <c r="BP35">
        <v>60.153964068788646</v>
      </c>
      <c r="BQ35">
        <v>61.235534727272423</v>
      </c>
      <c r="BR35">
        <v>61.882128047091179</v>
      </c>
      <c r="BS35">
        <v>62.499415838916342</v>
      </c>
      <c r="BT35">
        <v>62.825824977545395</v>
      </c>
      <c r="BU35">
        <v>62.141936306086357</v>
      </c>
      <c r="BV35">
        <v>61.30315332719502</v>
      </c>
      <c r="BW35">
        <v>60.238375331113076</v>
      </c>
      <c r="BX35">
        <v>59.906977632880441</v>
      </c>
      <c r="BY35">
        <v>61.307232335724898</v>
      </c>
      <c r="BZ35">
        <v>61.703956509903065</v>
      </c>
      <c r="CA35">
        <v>59.568362468527624</v>
      </c>
      <c r="CB35">
        <v>59.472636623142577</v>
      </c>
      <c r="CC35">
        <v>60.409382358036943</v>
      </c>
      <c r="CD35">
        <v>62.512163937060905</v>
      </c>
      <c r="CE35">
        <v>61.638998219158061</v>
      </c>
      <c r="CF35">
        <v>61.581892158517221</v>
      </c>
      <c r="CG35">
        <v>62.734288401021381</v>
      </c>
      <c r="CH35">
        <v>63.603054032962447</v>
      </c>
      <c r="CI35">
        <v>63.803811948996561</v>
      </c>
      <c r="CJ35">
        <v>63.918222516504983</v>
      </c>
      <c r="CK35">
        <v>71.826544821719509</v>
      </c>
      <c r="CL35">
        <v>83.217618452187324</v>
      </c>
      <c r="CM35">
        <v>76.499661986049745</v>
      </c>
      <c r="CN35">
        <v>72.934144147217268</v>
      </c>
      <c r="CO35">
        <v>73.548824743966478</v>
      </c>
      <c r="CP35">
        <v>73.221739816891301</v>
      </c>
      <c r="CQ35">
        <v>73.700269600091218</v>
      </c>
      <c r="CR35">
        <v>74.91277900756134</v>
      </c>
      <c r="CS35">
        <v>71.550933412855457</v>
      </c>
      <c r="CT35">
        <v>69.204676409671976</v>
      </c>
      <c r="CU35">
        <v>68.952716796655892</v>
      </c>
      <c r="CV35">
        <v>69.224606547806417</v>
      </c>
      <c r="CW35">
        <v>68.819725919837737</v>
      </c>
      <c r="CX35">
        <v>69.56142199805376</v>
      </c>
      <c r="CY35">
        <v>70.460366250818268</v>
      </c>
      <c r="CZ35">
        <v>69.870360740897894</v>
      </c>
      <c r="DA35">
        <v>70.418233738981513</v>
      </c>
      <c r="DB35">
        <v>70.75802304730243</v>
      </c>
      <c r="DC35">
        <v>70.940193365351703</v>
      </c>
      <c r="DD35">
        <v>72.023014110057801</v>
      </c>
      <c r="DE35">
        <v>71.595853102185899</v>
      </c>
      <c r="DF35">
        <v>71.509038348378795</v>
      </c>
      <c r="DG35">
        <v>71.498405470658199</v>
      </c>
      <c r="DH35">
        <v>70.6494305932099</v>
      </c>
      <c r="DI35">
        <v>70.060724106788896</v>
      </c>
      <c r="DJ35">
        <v>69.45721597318709</v>
      </c>
      <c r="DK35">
        <v>67.942332194527609</v>
      </c>
      <c r="DL35">
        <v>67.374903406097701</v>
      </c>
      <c r="DM35">
        <v>66.925009006686906</v>
      </c>
      <c r="DN35">
        <v>66.812844144112603</v>
      </c>
      <c r="DO35">
        <v>67.101274892815297</v>
      </c>
      <c r="DP35">
        <v>67.6491150921821</v>
      </c>
      <c r="DQ35">
        <v>69.197337622060701</v>
      </c>
      <c r="DR35">
        <v>70.570168293974305</v>
      </c>
      <c r="DS35">
        <v>72.157131040677001</v>
      </c>
      <c r="DT35">
        <v>73.791862321859</v>
      </c>
      <c r="DU35">
        <v>74.7445784171599</v>
      </c>
      <c r="DV35">
        <v>75.960122286928296</v>
      </c>
      <c r="DW35">
        <v>78.242589379455495</v>
      </c>
      <c r="DX35">
        <v>78.404956736371801</v>
      </c>
      <c r="DY35">
        <v>78.002965506189398</v>
      </c>
    </row>
    <row r="36" spans="1:129" x14ac:dyDescent="0.25">
      <c r="A36" t="s">
        <v>533</v>
      </c>
      <c r="B36">
        <v>397.80267163500997</v>
      </c>
      <c r="C36">
        <v>98.619547253485507</v>
      </c>
      <c r="D36">
        <v>101.37126120338399</v>
      </c>
      <c r="E36">
        <v>94.538670155615506</v>
      </c>
      <c r="F36">
        <v>91.982932521721807</v>
      </c>
      <c r="G36">
        <v>95.043216335493597</v>
      </c>
      <c r="H36">
        <v>90.086658490803202</v>
      </c>
      <c r="I36">
        <v>90.866486242736698</v>
      </c>
      <c r="J36">
        <v>86.629915001069705</v>
      </c>
      <c r="K36">
        <v>83.791106358625385</v>
      </c>
      <c r="L36">
        <v>85.232038123046152</v>
      </c>
      <c r="M36">
        <v>82.57523162194741</v>
      </c>
      <c r="N36">
        <v>82.493043241281441</v>
      </c>
      <c r="O36">
        <v>80.334325892824978</v>
      </c>
      <c r="P36">
        <v>79.844128548953435</v>
      </c>
      <c r="Q36">
        <v>79.626616544818546</v>
      </c>
      <c r="R36">
        <v>78.736553918849083</v>
      </c>
      <c r="S36">
        <v>80.65392305067833</v>
      </c>
      <c r="T36">
        <v>80.983228924064406</v>
      </c>
      <c r="U36">
        <v>80.553604984087997</v>
      </c>
      <c r="V36">
        <v>81.791375169776202</v>
      </c>
      <c r="W36">
        <v>81.202813934059193</v>
      </c>
      <c r="X36">
        <v>82.259331755186821</v>
      </c>
      <c r="Y36">
        <v>82.193862449429957</v>
      </c>
      <c r="Z36">
        <v>83.085597637434375</v>
      </c>
      <c r="AA36">
        <v>82.582250123095307</v>
      </c>
      <c r="AB36">
        <v>83.911551288740625</v>
      </c>
      <c r="AC36">
        <v>82.984941205118446</v>
      </c>
      <c r="AD36">
        <v>83.931510272895792</v>
      </c>
      <c r="AE36">
        <v>83.131904309674312</v>
      </c>
      <c r="AF36">
        <v>82.487294271747558</v>
      </c>
      <c r="AG36">
        <v>80.1991035140572</v>
      </c>
      <c r="AH36">
        <v>77.744665340603049</v>
      </c>
      <c r="AI36">
        <v>75.091768294924847</v>
      </c>
      <c r="AJ36">
        <v>72.590872531106143</v>
      </c>
      <c r="AK36">
        <v>70.079816783033635</v>
      </c>
      <c r="AL36">
        <v>68.049170406264835</v>
      </c>
      <c r="AM36">
        <v>66.81037170174973</v>
      </c>
      <c r="AN36">
        <v>66.985686565975953</v>
      </c>
      <c r="AO36">
        <v>67.416489916434557</v>
      </c>
      <c r="AP36">
        <v>67.125114307096879</v>
      </c>
      <c r="AQ36">
        <v>66.219411165027992</v>
      </c>
      <c r="AR36">
        <v>64.840806561809998</v>
      </c>
      <c r="AS36">
        <v>63.140585096865607</v>
      </c>
      <c r="AT36">
        <v>61.75446210782372</v>
      </c>
      <c r="AU36">
        <v>61.438658542536331</v>
      </c>
      <c r="AV36">
        <v>62.910866575915136</v>
      </c>
      <c r="AW36">
        <v>65.436617374520807</v>
      </c>
      <c r="AX36">
        <v>67.916072364528461</v>
      </c>
      <c r="AY36">
        <v>68.97922820510253</v>
      </c>
      <c r="AZ36">
        <v>68.066739207917692</v>
      </c>
      <c r="BA36">
        <v>66.289900898243459</v>
      </c>
      <c r="BB36">
        <v>64.754513557285719</v>
      </c>
      <c r="BC36">
        <v>62.92606646885978</v>
      </c>
      <c r="BD36">
        <v>61.720349938000446</v>
      </c>
      <c r="BE36">
        <v>60.581528464685803</v>
      </c>
      <c r="BF36">
        <v>59.833031494251422</v>
      </c>
      <c r="BG36">
        <v>59.153991338108</v>
      </c>
      <c r="BH36">
        <v>58.093564452805275</v>
      </c>
      <c r="BI36">
        <v>57.02019164636134</v>
      </c>
      <c r="BJ36">
        <v>56.100323729810114</v>
      </c>
      <c r="BK36">
        <v>55.10412003023179</v>
      </c>
      <c r="BL36">
        <v>54.204627871277253</v>
      </c>
      <c r="BM36">
        <v>53.381847235711533</v>
      </c>
      <c r="BN36">
        <v>52.513467222956209</v>
      </c>
      <c r="BO36">
        <v>51.82219892246718</v>
      </c>
      <c r="BP36">
        <v>51.275196568095147</v>
      </c>
      <c r="BQ36">
        <v>51.09081806417322</v>
      </c>
      <c r="BR36">
        <v>50.836852506271278</v>
      </c>
      <c r="BS36">
        <v>50.607753201314445</v>
      </c>
      <c r="BT36">
        <v>50.078872676565595</v>
      </c>
      <c r="BU36">
        <v>49.774108998355061</v>
      </c>
      <c r="BV36">
        <v>49.389119205064318</v>
      </c>
      <c r="BW36">
        <v>49.108969130659077</v>
      </c>
      <c r="BX36">
        <v>48.919857009454141</v>
      </c>
      <c r="BY36">
        <v>49.175351400492403</v>
      </c>
      <c r="BZ36">
        <v>50.173484192830863</v>
      </c>
      <c r="CA36">
        <v>51.033258072475221</v>
      </c>
      <c r="CB36">
        <v>50.833750735887577</v>
      </c>
      <c r="CC36">
        <v>50.828580571918543</v>
      </c>
      <c r="CD36">
        <v>51.4240429776574</v>
      </c>
      <c r="CE36">
        <v>52.385384001589756</v>
      </c>
      <c r="CF36">
        <v>52.100970705971818</v>
      </c>
      <c r="CG36">
        <v>51.668581232720079</v>
      </c>
      <c r="CH36">
        <v>51.973134447787146</v>
      </c>
      <c r="CI36">
        <v>52.785312757602163</v>
      </c>
      <c r="CJ36">
        <v>53.972799335900582</v>
      </c>
      <c r="CK36">
        <v>54.734793528599901</v>
      </c>
      <c r="CL36">
        <v>55.16823233741632</v>
      </c>
      <c r="CM36">
        <v>55.279622676581539</v>
      </c>
      <c r="CN36">
        <v>55.106509924425765</v>
      </c>
      <c r="CO36">
        <v>54.902572455103183</v>
      </c>
      <c r="CP36">
        <v>54.570402195841901</v>
      </c>
      <c r="CQ36">
        <v>54.167539233195718</v>
      </c>
      <c r="CR36">
        <v>53.485098103947038</v>
      </c>
      <c r="CS36">
        <v>53.943450216768561</v>
      </c>
      <c r="CT36">
        <v>54.361978457390578</v>
      </c>
      <c r="CU36">
        <v>54.808869274389195</v>
      </c>
      <c r="CV36">
        <v>54.877692119948719</v>
      </c>
      <c r="CW36">
        <v>55.002931541323932</v>
      </c>
      <c r="CX36">
        <v>55.129950572998652</v>
      </c>
      <c r="CY36">
        <v>55.207688746476471</v>
      </c>
      <c r="CZ36">
        <v>55.430798477647095</v>
      </c>
      <c r="DA36">
        <v>55.72163712200571</v>
      </c>
      <c r="DB36">
        <v>56.262307900652232</v>
      </c>
      <c r="DC36">
        <v>56.836560899259901</v>
      </c>
      <c r="DD36">
        <v>57.486182203489697</v>
      </c>
      <c r="DE36">
        <v>57.828953396031601</v>
      </c>
      <c r="DF36">
        <v>57.919076107215197</v>
      </c>
      <c r="DG36">
        <v>57.973368275567999</v>
      </c>
      <c r="DH36">
        <v>58.194848198292199</v>
      </c>
      <c r="DI36">
        <v>58.405438581621503</v>
      </c>
      <c r="DJ36">
        <v>58.807054975979099</v>
      </c>
      <c r="DK36">
        <v>59.054750273235399</v>
      </c>
      <c r="DL36">
        <v>59.513666260345801</v>
      </c>
      <c r="DM36">
        <v>60.001152684862603</v>
      </c>
      <c r="DN36">
        <v>60.247422647646196</v>
      </c>
      <c r="DO36">
        <v>60.443329816634801</v>
      </c>
      <c r="DP36">
        <v>60.657166076110101</v>
      </c>
      <c r="DQ36">
        <v>61.028518313294299</v>
      </c>
      <c r="DR36">
        <v>61.444789871723501</v>
      </c>
      <c r="DS36">
        <v>62.523079710992697</v>
      </c>
      <c r="DT36">
        <v>63.604031250773602</v>
      </c>
      <c r="DU36">
        <v>65.059424174237591</v>
      </c>
      <c r="DV36">
        <v>66.417080544931707</v>
      </c>
      <c r="DW36">
        <v>67.9704567651128</v>
      </c>
      <c r="DX36">
        <v>69.221428537132098</v>
      </c>
      <c r="DY36">
        <v>71.857890248119503</v>
      </c>
    </row>
    <row r="37" spans="1:129" x14ac:dyDescent="0.25">
      <c r="A37" t="s">
        <v>534</v>
      </c>
      <c r="B37">
        <v>407.814718646394</v>
      </c>
      <c r="C37">
        <v>99.673586660046695</v>
      </c>
      <c r="D37">
        <v>96.626168833940397</v>
      </c>
      <c r="E37">
        <v>104.17014043442521</v>
      </c>
      <c r="F37">
        <v>95.982782831132596</v>
      </c>
      <c r="G37">
        <v>90.521837416971394</v>
      </c>
      <c r="H37">
        <v>98.675237230752501</v>
      </c>
      <c r="I37">
        <v>98.581672298557393</v>
      </c>
      <c r="J37">
        <v>96.934526268110901</v>
      </c>
      <c r="K37">
        <v>99.343402035780286</v>
      </c>
      <c r="L37">
        <v>91.781052433483651</v>
      </c>
      <c r="M37">
        <v>91.515445606360004</v>
      </c>
      <c r="N37">
        <v>92.47140041061833</v>
      </c>
      <c r="O37">
        <v>89.324210032079378</v>
      </c>
      <c r="P37">
        <v>86.609051664102239</v>
      </c>
      <c r="Q37">
        <v>87.489252774715254</v>
      </c>
      <c r="R37">
        <v>90.741886049672985</v>
      </c>
      <c r="S37">
        <v>88.891613949724729</v>
      </c>
      <c r="T37">
        <v>87.485472224428804</v>
      </c>
      <c r="U37">
        <v>86.836161436274594</v>
      </c>
      <c r="V37">
        <v>87.3571750904038</v>
      </c>
      <c r="W37">
        <v>85.177585825276594</v>
      </c>
      <c r="X37">
        <v>85.063133556182521</v>
      </c>
      <c r="Y37">
        <v>82.920522758179757</v>
      </c>
      <c r="Z37">
        <v>81.664991164157968</v>
      </c>
      <c r="AA37">
        <v>80.400672839583606</v>
      </c>
      <c r="AB37">
        <v>78.883249910815238</v>
      </c>
      <c r="AC37">
        <v>77.640598888867146</v>
      </c>
      <c r="AD37">
        <v>76.817873003615489</v>
      </c>
      <c r="AE37">
        <v>75.400684575637527</v>
      </c>
      <c r="AF37">
        <v>74.160728661241762</v>
      </c>
      <c r="AG37">
        <v>72.835837032879098</v>
      </c>
      <c r="AH37">
        <v>71.038813889671047</v>
      </c>
      <c r="AI37">
        <v>69.439725954936051</v>
      </c>
      <c r="AJ37">
        <v>68.165553193461051</v>
      </c>
      <c r="AK37">
        <v>66.704666533487639</v>
      </c>
      <c r="AL37">
        <v>65.399770633163442</v>
      </c>
      <c r="AM37">
        <v>64.657435514763037</v>
      </c>
      <c r="AN37">
        <v>64.350000202794249</v>
      </c>
      <c r="AO37">
        <v>64.216991692803859</v>
      </c>
      <c r="AP37">
        <v>63.54473081030217</v>
      </c>
      <c r="AQ37">
        <v>62.933867192706884</v>
      </c>
      <c r="AR37">
        <v>62.441613381003194</v>
      </c>
      <c r="AS37">
        <v>62.320080614295108</v>
      </c>
      <c r="AT37">
        <v>62.492319193360622</v>
      </c>
      <c r="AU37">
        <v>63.227286824259934</v>
      </c>
      <c r="AV37">
        <v>63.717212128306137</v>
      </c>
      <c r="AW37">
        <v>64.023077381115897</v>
      </c>
      <c r="AX37">
        <v>63.797570533361764</v>
      </c>
      <c r="AY37">
        <v>62.910083591582222</v>
      </c>
      <c r="AZ37">
        <v>62.191175212873588</v>
      </c>
      <c r="BA37">
        <v>61.27311513354455</v>
      </c>
      <c r="BB37">
        <v>60.376422531907117</v>
      </c>
      <c r="BC37">
        <v>59.563570026193581</v>
      </c>
      <c r="BD37">
        <v>58.449716446434444</v>
      </c>
      <c r="BE37">
        <v>57.134287001731906</v>
      </c>
      <c r="BF37">
        <v>56.33160140643642</v>
      </c>
      <c r="BG37">
        <v>55.6997463102079</v>
      </c>
      <c r="BH37">
        <v>55.298077929563775</v>
      </c>
      <c r="BI37">
        <v>54.811266114592236</v>
      </c>
      <c r="BJ37">
        <v>54.573544291690617</v>
      </c>
      <c r="BK37">
        <v>54.332792021814988</v>
      </c>
      <c r="BL37">
        <v>54.221554719082064</v>
      </c>
      <c r="BM37">
        <v>54.243463739667732</v>
      </c>
      <c r="BN37">
        <v>54.219490738812205</v>
      </c>
      <c r="BO37">
        <v>54.442019402575781</v>
      </c>
      <c r="BP37">
        <v>54.537242944895645</v>
      </c>
      <c r="BQ37">
        <v>54.081286861118222</v>
      </c>
      <c r="BR37">
        <v>53.777596190240779</v>
      </c>
      <c r="BS37">
        <v>54.114236976735441</v>
      </c>
      <c r="BT37">
        <v>54.945687947123098</v>
      </c>
      <c r="BU37">
        <v>55.650216162344357</v>
      </c>
      <c r="BV37">
        <v>56.476221111358221</v>
      </c>
      <c r="BW37">
        <v>57.702593659588373</v>
      </c>
      <c r="BX37">
        <v>58.217121107171437</v>
      </c>
      <c r="BY37">
        <v>59.909333912688297</v>
      </c>
      <c r="BZ37">
        <v>62.668688510548066</v>
      </c>
      <c r="CA37">
        <v>60.975220557495419</v>
      </c>
      <c r="CB37">
        <v>59.624686469861381</v>
      </c>
      <c r="CC37">
        <v>61.468311811957442</v>
      </c>
      <c r="CD37">
        <v>65.824476999037401</v>
      </c>
      <c r="CE37">
        <v>59.536923084832459</v>
      </c>
      <c r="CF37">
        <v>55.905943269313518</v>
      </c>
      <c r="CG37">
        <v>55.21920344321628</v>
      </c>
      <c r="CH37">
        <v>56.649509577543448</v>
      </c>
      <c r="CI37">
        <v>60.721923655797163</v>
      </c>
      <c r="CJ37">
        <v>65.924832826210491</v>
      </c>
      <c r="CK37">
        <v>63.066251977266099</v>
      </c>
      <c r="CL37">
        <v>61.492731834797119</v>
      </c>
      <c r="CM37">
        <v>60.798501007955636</v>
      </c>
      <c r="CN37">
        <v>60.029570909736961</v>
      </c>
      <c r="CO37">
        <v>59.59307000669618</v>
      </c>
      <c r="CP37">
        <v>58.852874232479103</v>
      </c>
      <c r="CQ37">
        <v>58.489544690065017</v>
      </c>
      <c r="CR37">
        <v>59.105134069883839</v>
      </c>
      <c r="CS37">
        <v>60.958272959708161</v>
      </c>
      <c r="CT37">
        <v>60.749716602767975</v>
      </c>
      <c r="CU37">
        <v>59.953400894265798</v>
      </c>
      <c r="CV37">
        <v>59.162771891705617</v>
      </c>
      <c r="CW37">
        <v>58.758764138122736</v>
      </c>
      <c r="CX37">
        <v>58.803252166700553</v>
      </c>
      <c r="CY37">
        <v>58.972058045802171</v>
      </c>
      <c r="CZ37">
        <v>59.413902058210091</v>
      </c>
      <c r="DA37">
        <v>59.729697677053409</v>
      </c>
      <c r="DB37">
        <v>60.495205640652927</v>
      </c>
      <c r="DC37">
        <v>61.207919947944703</v>
      </c>
      <c r="DD37">
        <v>62.232264550851198</v>
      </c>
      <c r="DE37">
        <v>62.892268450291802</v>
      </c>
      <c r="DF37">
        <v>63.337619446287199</v>
      </c>
      <c r="DG37">
        <v>63.614362097857999</v>
      </c>
      <c r="DH37">
        <v>64.591330917584301</v>
      </c>
      <c r="DI37">
        <v>65.691278672380207</v>
      </c>
      <c r="DJ37">
        <v>66.590371462169699</v>
      </c>
      <c r="DK37">
        <v>67.767679259074697</v>
      </c>
      <c r="DL37">
        <v>68.702065089522307</v>
      </c>
      <c r="DM37">
        <v>69.730562820133301</v>
      </c>
      <c r="DN37">
        <v>70.057032155744096</v>
      </c>
      <c r="DO37">
        <v>69.491587065198104</v>
      </c>
      <c r="DP37">
        <v>69.609263071159702</v>
      </c>
      <c r="DQ37">
        <v>68.252562965592602</v>
      </c>
      <c r="DR37">
        <v>67.586126835635199</v>
      </c>
      <c r="DS37">
        <v>67.877403869840094</v>
      </c>
      <c r="DT37">
        <v>68.741120109713989</v>
      </c>
      <c r="DU37">
        <v>70.335776593141404</v>
      </c>
      <c r="DV37">
        <v>72.128758420528399</v>
      </c>
      <c r="DW37">
        <v>73.774284480002606</v>
      </c>
      <c r="DX37">
        <v>76.332678186634496</v>
      </c>
      <c r="DY37">
        <v>79.738775948055903</v>
      </c>
    </row>
    <row r="38" spans="1:129" x14ac:dyDescent="0.25">
      <c r="A38" t="s">
        <v>791</v>
      </c>
      <c r="B38">
        <v>385.53585160025699</v>
      </c>
      <c r="C38">
        <v>105.92484517012051</v>
      </c>
      <c r="D38">
        <v>91.676303767419498</v>
      </c>
      <c r="E38">
        <v>87.973617383105093</v>
      </c>
      <c r="F38">
        <v>104.1520417965135</v>
      </c>
      <c r="G38">
        <v>90.762385889427094</v>
      </c>
      <c r="H38">
        <v>96.595107220480699</v>
      </c>
      <c r="I38">
        <v>91.554673478699797</v>
      </c>
      <c r="J38">
        <v>91.184306422296999</v>
      </c>
      <c r="K38">
        <v>87.895750697535675</v>
      </c>
      <c r="L38">
        <v>87.605805228285448</v>
      </c>
      <c r="M38">
        <v>84.740681405210609</v>
      </c>
      <c r="N38">
        <v>83.267885850024129</v>
      </c>
      <c r="O38">
        <v>81.812734629138092</v>
      </c>
      <c r="P38">
        <v>79.282449780892932</v>
      </c>
      <c r="Q38">
        <v>78.319157362351447</v>
      </c>
      <c r="R38">
        <v>78.466971664789583</v>
      </c>
      <c r="S38">
        <v>79.305792335354624</v>
      </c>
      <c r="T38">
        <v>79.453214696280298</v>
      </c>
      <c r="U38">
        <v>79.135659947577693</v>
      </c>
      <c r="V38">
        <v>79.29126753464439</v>
      </c>
      <c r="W38">
        <v>78.956506373551406</v>
      </c>
      <c r="X38">
        <v>79.315379381938214</v>
      </c>
      <c r="Y38">
        <v>79.873954820248557</v>
      </c>
      <c r="Z38">
        <v>80.010383235984975</v>
      </c>
      <c r="AA38">
        <v>81.173099264714608</v>
      </c>
      <c r="AB38">
        <v>81.559323469558038</v>
      </c>
      <c r="AC38">
        <v>82.348318177969347</v>
      </c>
      <c r="AD38">
        <v>82.88882725491419</v>
      </c>
      <c r="AE38">
        <v>81.915249862522515</v>
      </c>
      <c r="AF38">
        <v>83.259246258017257</v>
      </c>
      <c r="AG38">
        <v>82.793156452603711</v>
      </c>
      <c r="AH38">
        <v>81.355533293766356</v>
      </c>
      <c r="AI38">
        <v>78.56335850823676</v>
      </c>
      <c r="AJ38">
        <v>76.220662854009746</v>
      </c>
      <c r="AK38">
        <v>73.705568108824735</v>
      </c>
      <c r="AL38">
        <v>72.621767304790637</v>
      </c>
      <c r="AM38">
        <v>71.743438774581634</v>
      </c>
      <c r="AN38">
        <v>67.271833949943442</v>
      </c>
      <c r="AO38">
        <v>64.437339979991563</v>
      </c>
      <c r="AP38">
        <v>64.173978314617472</v>
      </c>
      <c r="AQ38">
        <v>64.07338934084089</v>
      </c>
      <c r="AR38">
        <v>64.559992420801592</v>
      </c>
      <c r="AS38">
        <v>65.317516590925209</v>
      </c>
      <c r="AT38">
        <v>67.442117483415515</v>
      </c>
      <c r="AU38">
        <v>70.729876756863732</v>
      </c>
      <c r="AV38">
        <v>74.458458448136739</v>
      </c>
      <c r="AW38">
        <v>85.024201709836703</v>
      </c>
      <c r="AX38">
        <v>85.075838111408757</v>
      </c>
      <c r="AY38">
        <v>75.694241187529926</v>
      </c>
      <c r="AZ38">
        <v>70.344803554463994</v>
      </c>
      <c r="BA38">
        <v>66.937066564309546</v>
      </c>
      <c r="BB38">
        <v>64.535024639413422</v>
      </c>
      <c r="BC38">
        <v>62.396350415538585</v>
      </c>
      <c r="BD38">
        <v>60.286755098979846</v>
      </c>
      <c r="BE38">
        <v>58.440389172262009</v>
      </c>
      <c r="BF38">
        <v>56.96676092609362</v>
      </c>
      <c r="BG38">
        <v>55.620565851698593</v>
      </c>
      <c r="BH38">
        <v>54.500449783080668</v>
      </c>
      <c r="BI38">
        <v>53.314296270126938</v>
      </c>
      <c r="BJ38">
        <v>52.348249481361812</v>
      </c>
      <c r="BK38">
        <v>51.460300263626287</v>
      </c>
      <c r="BL38">
        <v>50.622058712222966</v>
      </c>
      <c r="BM38">
        <v>49.708719477611531</v>
      </c>
      <c r="BN38">
        <v>48.836937906724906</v>
      </c>
      <c r="BO38">
        <v>47.928883220734782</v>
      </c>
      <c r="BP38">
        <v>46.856867700090248</v>
      </c>
      <c r="BQ38">
        <v>45.795260627252127</v>
      </c>
      <c r="BR38">
        <v>44.845510207409482</v>
      </c>
      <c r="BS38">
        <v>44.331638281891244</v>
      </c>
      <c r="BT38">
        <v>44.486681244311399</v>
      </c>
      <c r="BU38">
        <v>45.061870109874455</v>
      </c>
      <c r="BV38">
        <v>46.076817634044318</v>
      </c>
      <c r="BW38">
        <v>47.272538467503082</v>
      </c>
      <c r="BX38">
        <v>48.477374509869037</v>
      </c>
      <c r="BY38">
        <v>50.6374695540093</v>
      </c>
      <c r="BZ38">
        <v>50.977817554384259</v>
      </c>
      <c r="CA38">
        <v>50.978824695755222</v>
      </c>
      <c r="CB38">
        <v>51.765736514280881</v>
      </c>
      <c r="CC38">
        <v>52.002691057711139</v>
      </c>
      <c r="CD38">
        <v>52.107190046225902</v>
      </c>
      <c r="CE38">
        <v>52.008616071196862</v>
      </c>
      <c r="CF38">
        <v>51.702004610086817</v>
      </c>
      <c r="CG38">
        <v>51.331088907424984</v>
      </c>
      <c r="CH38">
        <v>51.380092388943844</v>
      </c>
      <c r="CI38">
        <v>51.419066409224264</v>
      </c>
      <c r="CJ38">
        <v>52.108592044175381</v>
      </c>
      <c r="CK38">
        <v>53.131830886372597</v>
      </c>
      <c r="CL38">
        <v>53.809786827776222</v>
      </c>
      <c r="CM38">
        <v>54.326585336711545</v>
      </c>
      <c r="CN38">
        <v>54.835575654471057</v>
      </c>
      <c r="CO38">
        <v>55.069140266687981</v>
      </c>
      <c r="CP38">
        <v>55.2120188840358</v>
      </c>
      <c r="CQ38">
        <v>55.556091407190124</v>
      </c>
      <c r="CR38">
        <v>55.644721669619038</v>
      </c>
      <c r="CS38">
        <v>55.84513639706006</v>
      </c>
      <c r="CT38">
        <v>55.985367028477775</v>
      </c>
      <c r="CU38">
        <v>56.150028315324597</v>
      </c>
      <c r="CV38">
        <v>56.344786240846915</v>
      </c>
      <c r="CW38">
        <v>56.456144932264031</v>
      </c>
      <c r="CX38">
        <v>56.569604311823952</v>
      </c>
      <c r="CY38">
        <v>56.841862823955672</v>
      </c>
      <c r="CZ38">
        <v>57.166963206326095</v>
      </c>
      <c r="DA38">
        <v>57.351019823201014</v>
      </c>
      <c r="DB38">
        <v>57.566858140215928</v>
      </c>
      <c r="DC38">
        <v>57.908381651284799</v>
      </c>
      <c r="DD38">
        <v>58.160372195826099</v>
      </c>
      <c r="DE38">
        <v>58.624229741068199</v>
      </c>
      <c r="DF38">
        <v>58.639374046103498</v>
      </c>
      <c r="DG38">
        <v>59.000468551670103</v>
      </c>
      <c r="DH38">
        <v>59.2673500763633</v>
      </c>
      <c r="DI38">
        <v>59.649029511888799</v>
      </c>
      <c r="DJ38">
        <v>60.175138911180703</v>
      </c>
      <c r="DK38">
        <v>60.548137670995303</v>
      </c>
      <c r="DL38">
        <v>61.220646291761902</v>
      </c>
      <c r="DM38">
        <v>61.7787821321987</v>
      </c>
      <c r="DN38">
        <v>62.374724960453001</v>
      </c>
      <c r="DO38">
        <v>62.5657788796792</v>
      </c>
      <c r="DP38">
        <v>62.8659501112759</v>
      </c>
      <c r="DQ38">
        <v>62.8682767680314</v>
      </c>
      <c r="DR38">
        <v>63.280063143682497</v>
      </c>
      <c r="DS38">
        <v>63.597918036446799</v>
      </c>
      <c r="DT38">
        <v>63.888419869830003</v>
      </c>
      <c r="DU38">
        <v>65.000170562437404</v>
      </c>
      <c r="DV38">
        <v>65.89704075156979</v>
      </c>
      <c r="DW38">
        <v>67.076841647891101</v>
      </c>
      <c r="DX38">
        <v>68.12103383659209</v>
      </c>
      <c r="DY38">
        <v>70.836231973653895</v>
      </c>
    </row>
    <row r="39" spans="1:129" x14ac:dyDescent="0.25">
      <c r="A39" t="s">
        <v>792</v>
      </c>
      <c r="B39">
        <v>392.38678018170998</v>
      </c>
      <c r="C39">
        <v>93.626691910271603</v>
      </c>
      <c r="D39">
        <v>101.62962877732519</v>
      </c>
      <c r="E39">
        <v>98.763616384361498</v>
      </c>
      <c r="F39">
        <v>99.377932014127097</v>
      </c>
      <c r="G39">
        <v>111.43401487431601</v>
      </c>
      <c r="H39">
        <v>100.72410829000709</v>
      </c>
      <c r="I39">
        <v>98.260534816223398</v>
      </c>
      <c r="J39">
        <v>92.959836151896198</v>
      </c>
      <c r="K39">
        <v>100.06958092077838</v>
      </c>
      <c r="L39">
        <v>92.237831861889347</v>
      </c>
      <c r="M39">
        <v>93.966988173952515</v>
      </c>
      <c r="N39">
        <v>86.277195050487336</v>
      </c>
      <c r="O39">
        <v>90.11365559998778</v>
      </c>
      <c r="P39">
        <v>87.627604828301429</v>
      </c>
      <c r="Q39">
        <v>84.808038216055948</v>
      </c>
      <c r="R39">
        <v>86.923552613059982</v>
      </c>
      <c r="S39">
        <v>85.391679206801925</v>
      </c>
      <c r="T39">
        <v>85.819375370580801</v>
      </c>
      <c r="U39">
        <v>84.8093555582563</v>
      </c>
      <c r="V39">
        <v>83.535197397711997</v>
      </c>
      <c r="W39">
        <v>82.593809703135193</v>
      </c>
      <c r="X39">
        <v>81.807049558452718</v>
      </c>
      <c r="Y39">
        <v>80.672819925777347</v>
      </c>
      <c r="Z39">
        <v>79.514637758833473</v>
      </c>
      <c r="AA39">
        <v>77.793435081913103</v>
      </c>
      <c r="AB39">
        <v>77.49323065661784</v>
      </c>
      <c r="AC39">
        <v>76.303278386244344</v>
      </c>
      <c r="AD39">
        <v>75.070314360691086</v>
      </c>
      <c r="AE39">
        <v>74.624541646883216</v>
      </c>
      <c r="AF39">
        <v>73.478021541511765</v>
      </c>
      <c r="AG39">
        <v>72.515809540834496</v>
      </c>
      <c r="AH39">
        <v>71.233095095054352</v>
      </c>
      <c r="AI39">
        <v>69.88710264055635</v>
      </c>
      <c r="AJ39">
        <v>68.342053962312249</v>
      </c>
      <c r="AK39">
        <v>67.026566901913242</v>
      </c>
      <c r="AL39">
        <v>66.55312926854063</v>
      </c>
      <c r="AM39">
        <v>66.97305502956894</v>
      </c>
      <c r="AN39">
        <v>66.037237813648048</v>
      </c>
      <c r="AO39">
        <v>62.521953323003054</v>
      </c>
      <c r="AP39">
        <v>61.656461569883071</v>
      </c>
      <c r="AQ39">
        <v>61.368473733590783</v>
      </c>
      <c r="AR39">
        <v>61.526859034953596</v>
      </c>
      <c r="AS39">
        <v>62.00191394313061</v>
      </c>
      <c r="AT39">
        <v>62.695837195918124</v>
      </c>
      <c r="AU39">
        <v>63.540180521890534</v>
      </c>
      <c r="AV39">
        <v>63.726458337143036</v>
      </c>
      <c r="AW39">
        <v>63.2879813608332</v>
      </c>
      <c r="AX39">
        <v>62.549678550785359</v>
      </c>
      <c r="AY39">
        <v>62.018636522776831</v>
      </c>
      <c r="AZ39">
        <v>61.30897637369489</v>
      </c>
      <c r="BA39">
        <v>60.641621494072155</v>
      </c>
      <c r="BB39">
        <v>59.715670486884918</v>
      </c>
      <c r="BC39">
        <v>58.711200029234384</v>
      </c>
      <c r="BD39">
        <v>57.525860982579346</v>
      </c>
      <c r="BE39">
        <v>56.175714137813209</v>
      </c>
      <c r="BF39">
        <v>55.348486025363123</v>
      </c>
      <c r="BG39">
        <v>54.653769201280497</v>
      </c>
      <c r="BH39">
        <v>54.043597411750468</v>
      </c>
      <c r="BI39">
        <v>53.61697968091314</v>
      </c>
      <c r="BJ39">
        <v>53.131338364888016</v>
      </c>
      <c r="BK39">
        <v>53.011000311756291</v>
      </c>
      <c r="BL39">
        <v>52.778453901344662</v>
      </c>
      <c r="BM39">
        <v>52.553389031861933</v>
      </c>
      <c r="BN39">
        <v>52.479205121405805</v>
      </c>
      <c r="BO39">
        <v>52.366671105661084</v>
      </c>
      <c r="BP39">
        <v>52.233682410316447</v>
      </c>
      <c r="BQ39">
        <v>52.147935704368521</v>
      </c>
      <c r="BR39">
        <v>52.460182353502482</v>
      </c>
      <c r="BS39">
        <v>53.606859457599143</v>
      </c>
      <c r="BT39">
        <v>55.000208961045395</v>
      </c>
      <c r="BU39">
        <v>57.271985786319057</v>
      </c>
      <c r="BV39">
        <v>59.663245357189524</v>
      </c>
      <c r="BW39">
        <v>61.596614511653783</v>
      </c>
      <c r="BX39">
        <v>63.109972862156035</v>
      </c>
      <c r="BY39">
        <v>64.854780762842893</v>
      </c>
      <c r="BZ39">
        <v>61.370289343452662</v>
      </c>
      <c r="CA39">
        <v>62.371458803791526</v>
      </c>
      <c r="CB39">
        <v>64.175963976291186</v>
      </c>
      <c r="CC39">
        <v>64.168915144110045</v>
      </c>
      <c r="CD39">
        <v>62.536415399820903</v>
      </c>
      <c r="CE39">
        <v>61.214999571329059</v>
      </c>
      <c r="CF39">
        <v>59.693050845600624</v>
      </c>
      <c r="CG39">
        <v>58.336445334774282</v>
      </c>
      <c r="CH39">
        <v>57.534476850701346</v>
      </c>
      <c r="CI39">
        <v>57.000351763806762</v>
      </c>
      <c r="CJ39">
        <v>62.644081200424083</v>
      </c>
      <c r="CK39">
        <v>62.129709414378297</v>
      </c>
      <c r="CL39">
        <v>60.586484996591018</v>
      </c>
      <c r="CM39">
        <v>64.02067386193734</v>
      </c>
      <c r="CN39">
        <v>62.170510774603855</v>
      </c>
      <c r="CO39">
        <v>60.930257949385776</v>
      </c>
      <c r="CP39">
        <v>60.660528827574304</v>
      </c>
      <c r="CQ39">
        <v>60.844409243558921</v>
      </c>
      <c r="CR39">
        <v>61.753252817341838</v>
      </c>
      <c r="CS39">
        <v>62.239410567247155</v>
      </c>
      <c r="CT39">
        <v>61.22491463313348</v>
      </c>
      <c r="CU39">
        <v>61.214838763114599</v>
      </c>
      <c r="CV39">
        <v>61.470945939624016</v>
      </c>
      <c r="CW39">
        <v>62.247323277106133</v>
      </c>
      <c r="CX39">
        <v>62.791176759383553</v>
      </c>
      <c r="CY39">
        <v>63.043070926627472</v>
      </c>
      <c r="CZ39">
        <v>63.159235207080791</v>
      </c>
      <c r="DA39">
        <v>63.106577658481008</v>
      </c>
      <c r="DB39">
        <v>63.830052355052928</v>
      </c>
      <c r="DC39">
        <v>64.387595861942401</v>
      </c>
      <c r="DD39">
        <v>65.071381351645599</v>
      </c>
      <c r="DE39">
        <v>65.890101552149105</v>
      </c>
      <c r="DF39">
        <v>66.456499635495305</v>
      </c>
      <c r="DG39">
        <v>67.157918820212601</v>
      </c>
      <c r="DH39">
        <v>68.211319933840997</v>
      </c>
      <c r="DI39">
        <v>69.137565738836003</v>
      </c>
      <c r="DJ39">
        <v>70.2418508036357</v>
      </c>
      <c r="DK39">
        <v>71.706737707900203</v>
      </c>
      <c r="DL39">
        <v>73.485881125300807</v>
      </c>
      <c r="DM39">
        <v>75.277663111105099</v>
      </c>
      <c r="DN39">
        <v>78.279266701517599</v>
      </c>
      <c r="DO39">
        <v>80.846134463230499</v>
      </c>
      <c r="DP39">
        <v>84.300791987539895</v>
      </c>
      <c r="DQ39">
        <v>86.526092588111098</v>
      </c>
      <c r="DR39">
        <v>81.134561291333497</v>
      </c>
      <c r="DS39">
        <v>77.367597229678395</v>
      </c>
      <c r="DT39">
        <v>74.960417721061205</v>
      </c>
      <c r="DU39">
        <v>73.542736241806907</v>
      </c>
      <c r="DV39">
        <v>71.860251115453295</v>
      </c>
      <c r="DW39">
        <v>69.777803166509798</v>
      </c>
      <c r="DX39">
        <v>68.847905458710599</v>
      </c>
      <c r="DY39">
        <v>68.010824069313699</v>
      </c>
    </row>
    <row r="40" spans="1:129" x14ac:dyDescent="0.25">
      <c r="A40" t="s">
        <v>791</v>
      </c>
      <c r="B40">
        <v>394.19659856122797</v>
      </c>
      <c r="C40">
        <v>92.963359698674793</v>
      </c>
      <c r="D40">
        <v>92.556365958183406</v>
      </c>
      <c r="E40">
        <v>101.96129002159461</v>
      </c>
      <c r="F40">
        <v>88.2100662063892</v>
      </c>
      <c r="G40">
        <v>93.919647671945498</v>
      </c>
      <c r="H40">
        <v>91.684519761463307</v>
      </c>
      <c r="I40">
        <v>93.354930139323301</v>
      </c>
      <c r="J40">
        <v>91.748306077871902</v>
      </c>
      <c r="K40">
        <v>88.840588295879186</v>
      </c>
      <c r="L40">
        <v>88.274094356412348</v>
      </c>
      <c r="M40">
        <v>86.044016784429616</v>
      </c>
      <c r="N40">
        <v>81.271436218334543</v>
      </c>
      <c r="O40">
        <v>80.755188732530186</v>
      </c>
      <c r="P40">
        <v>78.779482892956636</v>
      </c>
      <c r="Q40">
        <v>78.268329287992444</v>
      </c>
      <c r="R40">
        <v>78.613063167381881</v>
      </c>
      <c r="S40">
        <v>78.569528944259218</v>
      </c>
      <c r="T40">
        <v>79.519749565844791</v>
      </c>
      <c r="U40">
        <v>78.015495035295203</v>
      </c>
      <c r="V40">
        <v>78.9340058436633</v>
      </c>
      <c r="W40">
        <v>79.695467824791507</v>
      </c>
      <c r="X40">
        <v>79.746718474555422</v>
      </c>
      <c r="Y40">
        <v>79.651758322905351</v>
      </c>
      <c r="Z40">
        <v>79.72561660615257</v>
      </c>
      <c r="AA40">
        <v>80.985790533515114</v>
      </c>
      <c r="AB40">
        <v>81.14280697046793</v>
      </c>
      <c r="AC40">
        <v>82.191320716621547</v>
      </c>
      <c r="AD40">
        <v>82.936491947922988</v>
      </c>
      <c r="AE40">
        <v>83.601250409853122</v>
      </c>
      <c r="AF40">
        <v>84.245635621554655</v>
      </c>
      <c r="AG40">
        <v>82.253497643632713</v>
      </c>
      <c r="AH40">
        <v>81.260898047468658</v>
      </c>
      <c r="AI40">
        <v>79.203159210367559</v>
      </c>
      <c r="AJ40">
        <v>75.688229991921645</v>
      </c>
      <c r="AK40">
        <v>73.839875529132144</v>
      </c>
      <c r="AL40">
        <v>72.743921687272348</v>
      </c>
      <c r="AM40">
        <v>71.730829097448535</v>
      </c>
      <c r="AN40">
        <v>67.819126259880747</v>
      </c>
      <c r="AO40">
        <v>64.702416305592564</v>
      </c>
      <c r="AP40">
        <v>64.469466031372278</v>
      </c>
      <c r="AQ40">
        <v>64.420287984603192</v>
      </c>
      <c r="AR40">
        <v>64.856653401983394</v>
      </c>
      <c r="AS40">
        <v>65.839097798638107</v>
      </c>
      <c r="AT40">
        <v>67.566886844746321</v>
      </c>
      <c r="AU40">
        <v>71.010472312058326</v>
      </c>
      <c r="AV40">
        <v>76.328856282825143</v>
      </c>
      <c r="AW40">
        <v>85.795642271128798</v>
      </c>
      <c r="AX40">
        <v>81.523461983974158</v>
      </c>
      <c r="AY40">
        <v>74.93663017144722</v>
      </c>
      <c r="AZ40">
        <v>69.908991450829689</v>
      </c>
      <c r="BA40">
        <v>66.722446516931655</v>
      </c>
      <c r="BB40">
        <v>64.208132905401911</v>
      </c>
      <c r="BC40">
        <v>61.949459501086679</v>
      </c>
      <c r="BD40">
        <v>60.030271481509743</v>
      </c>
      <c r="BE40">
        <v>58.319355375548604</v>
      </c>
      <c r="BF40">
        <v>56.730973376816124</v>
      </c>
      <c r="BG40">
        <v>55.494823710709696</v>
      </c>
      <c r="BH40">
        <v>54.240623230388472</v>
      </c>
      <c r="BI40">
        <v>53.165120742432038</v>
      </c>
      <c r="BJ40">
        <v>52.210666435169614</v>
      </c>
      <c r="BK40">
        <v>51.301981137861787</v>
      </c>
      <c r="BL40">
        <v>50.476033113952553</v>
      </c>
      <c r="BM40">
        <v>49.576951187135329</v>
      </c>
      <c r="BN40">
        <v>48.702762933059105</v>
      </c>
      <c r="BO40">
        <v>47.792337125130679</v>
      </c>
      <c r="BP40">
        <v>46.802749557168745</v>
      </c>
      <c r="BQ40">
        <v>45.688637731658325</v>
      </c>
      <c r="BR40">
        <v>44.761205288056978</v>
      </c>
      <c r="BS40">
        <v>44.252233071920443</v>
      </c>
      <c r="BT40">
        <v>44.354534163299398</v>
      </c>
      <c r="BU40">
        <v>44.843191209403855</v>
      </c>
      <c r="BV40">
        <v>45.837577038420122</v>
      </c>
      <c r="BW40">
        <v>47.031364710362382</v>
      </c>
      <c r="BX40">
        <v>48.245865022548436</v>
      </c>
      <c r="BY40">
        <v>50.451606375846197</v>
      </c>
      <c r="BZ40">
        <v>50.744475979636064</v>
      </c>
      <c r="CA40">
        <v>50.847778918926423</v>
      </c>
      <c r="CB40">
        <v>51.627485583021681</v>
      </c>
      <c r="CC40">
        <v>51.866772052874339</v>
      </c>
      <c r="CD40">
        <v>51.954036099043705</v>
      </c>
      <c r="CE40">
        <v>51.849245245906658</v>
      </c>
      <c r="CF40">
        <v>51.476090486502123</v>
      </c>
      <c r="CG40">
        <v>51.088415312822484</v>
      </c>
      <c r="CH40">
        <v>51.140005099152546</v>
      </c>
      <c r="CI40">
        <v>51.132853575565761</v>
      </c>
      <c r="CJ40">
        <v>51.778903332529481</v>
      </c>
      <c r="CK40">
        <v>52.753625547487296</v>
      </c>
      <c r="CL40">
        <v>53.518237968310821</v>
      </c>
      <c r="CM40">
        <v>53.981064257753346</v>
      </c>
      <c r="CN40">
        <v>54.462015376183459</v>
      </c>
      <c r="CO40">
        <v>54.748449920391778</v>
      </c>
      <c r="CP40">
        <v>54.963221553772101</v>
      </c>
      <c r="CQ40">
        <v>55.180891978189919</v>
      </c>
      <c r="CR40">
        <v>55.362002721252736</v>
      </c>
      <c r="CS40">
        <v>55.580248231436755</v>
      </c>
      <c r="CT40">
        <v>55.660391380321279</v>
      </c>
      <c r="CU40">
        <v>55.827358972361097</v>
      </c>
      <c r="CV40">
        <v>56.075933375433117</v>
      </c>
      <c r="CW40">
        <v>56.201800097518635</v>
      </c>
      <c r="CX40">
        <v>56.310926322035357</v>
      </c>
      <c r="CY40">
        <v>56.56983467839077</v>
      </c>
      <c r="CZ40">
        <v>56.787498246035589</v>
      </c>
      <c r="DA40">
        <v>57.033663657956907</v>
      </c>
      <c r="DB40">
        <v>57.317456239448433</v>
      </c>
      <c r="DC40">
        <v>57.669753039403702</v>
      </c>
      <c r="DD40">
        <v>57.929950863060398</v>
      </c>
      <c r="DE40">
        <v>58.1947908660525</v>
      </c>
      <c r="DF40">
        <v>58.374066764700402</v>
      </c>
      <c r="DG40">
        <v>58.717075099515398</v>
      </c>
      <c r="DH40">
        <v>59.125409573091197</v>
      </c>
      <c r="DI40">
        <v>59.510975493538403</v>
      </c>
      <c r="DJ40">
        <v>59.971331424035299</v>
      </c>
      <c r="DK40">
        <v>60.341103016746402</v>
      </c>
      <c r="DL40">
        <v>60.899431789532798</v>
      </c>
      <c r="DM40">
        <v>61.495144020707301</v>
      </c>
      <c r="DN40">
        <v>62.014358655358897</v>
      </c>
      <c r="DO40">
        <v>62.499198646397197</v>
      </c>
      <c r="DP40">
        <v>62.6754155171664</v>
      </c>
      <c r="DQ40">
        <v>62.617013946863999</v>
      </c>
      <c r="DR40">
        <v>63.003181090738799</v>
      </c>
      <c r="DS40">
        <v>63.396281622863597</v>
      </c>
      <c r="DT40">
        <v>63.875527036422497</v>
      </c>
      <c r="DU40">
        <v>64.474155505699898</v>
      </c>
      <c r="DV40">
        <v>65.441966922963204</v>
      </c>
      <c r="DW40">
        <v>66.578088591942503</v>
      </c>
      <c r="DX40">
        <v>68.123966476447606</v>
      </c>
      <c r="DY40">
        <v>71.114143109547598</v>
      </c>
    </row>
    <row r="41" spans="1:129" x14ac:dyDescent="0.25">
      <c r="A41" t="s">
        <v>792</v>
      </c>
      <c r="B41">
        <v>394.272384797467</v>
      </c>
      <c r="C41">
        <v>98.664713642952407</v>
      </c>
      <c r="D41">
        <v>91.847422205951204</v>
      </c>
      <c r="E41">
        <v>91.705763600784493</v>
      </c>
      <c r="F41">
        <v>90.624885310455895</v>
      </c>
      <c r="G41">
        <v>94.107506062478393</v>
      </c>
      <c r="H41">
        <v>98.270634738654806</v>
      </c>
      <c r="I41">
        <v>95.470517953775996</v>
      </c>
      <c r="J41">
        <v>108.0412886179854</v>
      </c>
      <c r="K41">
        <v>94.819588377440581</v>
      </c>
      <c r="L41">
        <v>91.965092273154752</v>
      </c>
      <c r="M41">
        <v>92.004231225392715</v>
      </c>
      <c r="N41">
        <v>87.676117759775636</v>
      </c>
      <c r="O41">
        <v>87.903759698110179</v>
      </c>
      <c r="P41">
        <v>88.606227955416031</v>
      </c>
      <c r="Q41">
        <v>88.983525463620353</v>
      </c>
      <c r="R41">
        <v>86.795513232685693</v>
      </c>
      <c r="S41">
        <v>86.758451629010324</v>
      </c>
      <c r="T41">
        <v>86.344321125918498</v>
      </c>
      <c r="U41">
        <v>86.100330970982199</v>
      </c>
      <c r="V41">
        <v>83.2045440399434</v>
      </c>
      <c r="W41">
        <v>83.080150721568202</v>
      </c>
      <c r="X41">
        <v>82.403342006256523</v>
      </c>
      <c r="Y41">
        <v>81.34154086748255</v>
      </c>
      <c r="Z41">
        <v>79.799142484427875</v>
      </c>
      <c r="AA41">
        <v>78.347209934571907</v>
      </c>
      <c r="AB41">
        <v>76.929673999644635</v>
      </c>
      <c r="AC41">
        <v>75.510705831968153</v>
      </c>
      <c r="AD41">
        <v>75.632471689824087</v>
      </c>
      <c r="AE41">
        <v>74.536927630863516</v>
      </c>
      <c r="AF41">
        <v>73.895346828657068</v>
      </c>
      <c r="AG41">
        <v>72.455109568349897</v>
      </c>
      <c r="AH41">
        <v>71.585105201872352</v>
      </c>
      <c r="AI41">
        <v>69.798743504923451</v>
      </c>
      <c r="AJ41">
        <v>68.243181026435948</v>
      </c>
      <c r="AK41">
        <v>67.243605717235837</v>
      </c>
      <c r="AL41">
        <v>66.665715810040737</v>
      </c>
      <c r="AM41">
        <v>66.869360169728239</v>
      </c>
      <c r="AN41">
        <v>65.963601926324145</v>
      </c>
      <c r="AO41">
        <v>62.684371115822259</v>
      </c>
      <c r="AP41">
        <v>61.667096821987172</v>
      </c>
      <c r="AQ41">
        <v>61.398023222159786</v>
      </c>
      <c r="AR41">
        <v>61.544736655821097</v>
      </c>
      <c r="AS41">
        <v>61.917959289842706</v>
      </c>
      <c r="AT41">
        <v>62.59037822417362</v>
      </c>
      <c r="AU41">
        <v>63.492423526764128</v>
      </c>
      <c r="AV41">
        <v>63.665376398100641</v>
      </c>
      <c r="AW41">
        <v>63.194178827976202</v>
      </c>
      <c r="AX41">
        <v>62.511373136086661</v>
      </c>
      <c r="AY41">
        <v>62.064642180709924</v>
      </c>
      <c r="AZ41">
        <v>61.289970359127892</v>
      </c>
      <c r="BA41">
        <v>60.546661121949356</v>
      </c>
      <c r="BB41">
        <v>59.604356444701118</v>
      </c>
      <c r="BC41">
        <v>58.754470461802981</v>
      </c>
      <c r="BD41">
        <v>57.417976612983246</v>
      </c>
      <c r="BE41">
        <v>56.167345587237307</v>
      </c>
      <c r="BF41">
        <v>55.28667329720902</v>
      </c>
      <c r="BG41">
        <v>54.616172229200295</v>
      </c>
      <c r="BH41">
        <v>53.973137985415768</v>
      </c>
      <c r="BI41">
        <v>53.491749446253841</v>
      </c>
      <c r="BJ41">
        <v>53.093152690470312</v>
      </c>
      <c r="BK41">
        <v>52.926579921958286</v>
      </c>
      <c r="BL41">
        <v>52.656565817809366</v>
      </c>
      <c r="BM41">
        <v>52.474059716484732</v>
      </c>
      <c r="BN41">
        <v>52.341017857169305</v>
      </c>
      <c r="BO41">
        <v>52.277719744055979</v>
      </c>
      <c r="BP41">
        <v>52.163358136991747</v>
      </c>
      <c r="BQ41">
        <v>51.990334074291425</v>
      </c>
      <c r="BR41">
        <v>52.311659505538181</v>
      </c>
      <c r="BS41">
        <v>53.50143074875804</v>
      </c>
      <c r="BT41">
        <v>54.765446285410796</v>
      </c>
      <c r="BU41">
        <v>56.903127170387656</v>
      </c>
      <c r="BV41">
        <v>59.566559067257224</v>
      </c>
      <c r="BW41">
        <v>61.378025550903473</v>
      </c>
      <c r="BX41">
        <v>63.315777676794639</v>
      </c>
      <c r="BY41">
        <v>64.61726645126609</v>
      </c>
      <c r="BZ41">
        <v>61.388390420835265</v>
      </c>
      <c r="CA41">
        <v>62.261275315544623</v>
      </c>
      <c r="CB41">
        <v>63.899575941431578</v>
      </c>
      <c r="CC41">
        <v>63.827152870973542</v>
      </c>
      <c r="CD41">
        <v>62.336476946512001</v>
      </c>
      <c r="CE41">
        <v>60.846475244475357</v>
      </c>
      <c r="CF41">
        <v>59.221486945784918</v>
      </c>
      <c r="CG41">
        <v>57.917068401204382</v>
      </c>
      <c r="CH41">
        <v>57.076174279659448</v>
      </c>
      <c r="CI41">
        <v>56.633634814800764</v>
      </c>
      <c r="CJ41">
        <v>62.121481577323081</v>
      </c>
      <c r="CK41">
        <v>61.510941361337096</v>
      </c>
      <c r="CL41">
        <v>60.283569706750917</v>
      </c>
      <c r="CM41">
        <v>63.384678449669337</v>
      </c>
      <c r="CN41">
        <v>61.70535309762586</v>
      </c>
      <c r="CO41">
        <v>60.690621890661077</v>
      </c>
      <c r="CP41">
        <v>60.214362901548803</v>
      </c>
      <c r="CQ41">
        <v>60.509930873292319</v>
      </c>
      <c r="CR41">
        <v>61.381675889972442</v>
      </c>
      <c r="CS41">
        <v>61.94512240362166</v>
      </c>
      <c r="CT41">
        <v>60.980345030440979</v>
      </c>
      <c r="CU41">
        <v>60.897264469415198</v>
      </c>
      <c r="CV41">
        <v>61.410379633009114</v>
      </c>
      <c r="CW41">
        <v>61.735512757659933</v>
      </c>
      <c r="CX41">
        <v>62.244261889723653</v>
      </c>
      <c r="CY41">
        <v>62.698602327801474</v>
      </c>
      <c r="CZ41">
        <v>62.742069067851595</v>
      </c>
      <c r="DA41">
        <v>62.738285646062408</v>
      </c>
      <c r="DB41">
        <v>63.493215203748932</v>
      </c>
      <c r="DC41">
        <v>63.925929073836599</v>
      </c>
      <c r="DD41">
        <v>64.679440454752807</v>
      </c>
      <c r="DE41">
        <v>65.245682959814999</v>
      </c>
      <c r="DF41">
        <v>65.894383309253598</v>
      </c>
      <c r="DG41">
        <v>66.797072043270191</v>
      </c>
      <c r="DH41">
        <v>67.574978088388491</v>
      </c>
      <c r="DI41">
        <v>68.612309178914899</v>
      </c>
      <c r="DJ41">
        <v>69.7358609964989</v>
      </c>
      <c r="DK41">
        <v>70.963052778596094</v>
      </c>
      <c r="DL41">
        <v>72.568891609799707</v>
      </c>
      <c r="DM41">
        <v>73.779455037207896</v>
      </c>
      <c r="DN41">
        <v>76.7329824761255</v>
      </c>
      <c r="DO41">
        <v>79.764448997456498</v>
      </c>
      <c r="DP41">
        <v>82.120108324212595</v>
      </c>
      <c r="DQ41">
        <v>88.004851021613007</v>
      </c>
      <c r="DR41">
        <v>83.510641304797204</v>
      </c>
      <c r="DS41">
        <v>78.142469488122103</v>
      </c>
      <c r="DT41">
        <v>74.402351057537999</v>
      </c>
      <c r="DU41">
        <v>73.743286903522602</v>
      </c>
      <c r="DV41">
        <v>71.955858312582194</v>
      </c>
      <c r="DW41">
        <v>69.96103949085051</v>
      </c>
      <c r="DX41">
        <v>68.550079681286206</v>
      </c>
      <c r="DY41">
        <v>67.785432843801004</v>
      </c>
    </row>
    <row r="42" spans="1:129" x14ac:dyDescent="0.25">
      <c r="A42" t="s">
        <v>1305</v>
      </c>
      <c r="B42">
        <v>387.989376509024</v>
      </c>
      <c r="C42">
        <v>88.776237325488694</v>
      </c>
      <c r="D42">
        <v>96.879596554789103</v>
      </c>
      <c r="E42">
        <v>101.86096472877129</v>
      </c>
      <c r="F42">
        <v>98.955163976656294</v>
      </c>
      <c r="G42">
        <v>91.288572232598597</v>
      </c>
      <c r="H42">
        <v>96.205449113001606</v>
      </c>
      <c r="I42">
        <v>87.537255628366793</v>
      </c>
      <c r="J42">
        <v>86.393152777889298</v>
      </c>
      <c r="K42">
        <v>85.071813661936275</v>
      </c>
      <c r="L42">
        <v>84.954630326725152</v>
      </c>
      <c r="M42">
        <v>82.649550848480203</v>
      </c>
      <c r="N42">
        <v>81.857860710323237</v>
      </c>
      <c r="O42">
        <v>79.665777516430083</v>
      </c>
      <c r="P42">
        <v>79.605053971419835</v>
      </c>
      <c r="Q42">
        <v>79.205888107878152</v>
      </c>
      <c r="R42">
        <v>80.246127391457094</v>
      </c>
      <c r="S42">
        <v>79.658804905802427</v>
      </c>
      <c r="T42">
        <v>80.412838253293998</v>
      </c>
      <c r="U42">
        <v>81.076517314750703</v>
      </c>
      <c r="V42">
        <v>82.497607607018296</v>
      </c>
      <c r="W42">
        <v>82.466826397384395</v>
      </c>
      <c r="X42">
        <v>82.752046651093423</v>
      </c>
      <c r="Y42">
        <v>83.892046412783358</v>
      </c>
      <c r="Z42">
        <v>85.477286703229268</v>
      </c>
      <c r="AA42">
        <v>88.043682659577513</v>
      </c>
      <c r="AB42">
        <v>90.799191327915736</v>
      </c>
      <c r="AC42">
        <v>92.130059948782346</v>
      </c>
      <c r="AD42">
        <v>96.051863628170793</v>
      </c>
      <c r="AE42">
        <v>89.039537218476013</v>
      </c>
      <c r="AF42">
        <v>82.514403067576666</v>
      </c>
      <c r="AG42">
        <v>81.156334575563903</v>
      </c>
      <c r="AH42">
        <v>79.453717994683757</v>
      </c>
      <c r="AI42">
        <v>80.226665854053252</v>
      </c>
      <c r="AJ42">
        <v>79.395644515909837</v>
      </c>
      <c r="AK42">
        <v>76.281587977751443</v>
      </c>
      <c r="AL42">
        <v>74.594728233565633</v>
      </c>
      <c r="AM42">
        <v>72.600295076775041</v>
      </c>
      <c r="AN42">
        <v>71.427260796282653</v>
      </c>
      <c r="AO42">
        <v>70.453916211466563</v>
      </c>
      <c r="AP42">
        <v>69.486338308634373</v>
      </c>
      <c r="AQ42">
        <v>68.603637959045685</v>
      </c>
      <c r="AR42">
        <v>68.001960254671786</v>
      </c>
      <c r="AS42">
        <v>68.605611775355598</v>
      </c>
      <c r="AT42">
        <v>70.824012000355722</v>
      </c>
      <c r="AU42">
        <v>74.529793151498936</v>
      </c>
      <c r="AV42">
        <v>81.381472178317736</v>
      </c>
      <c r="AW42">
        <v>87.344792961042401</v>
      </c>
      <c r="AX42">
        <v>78.454897706434963</v>
      </c>
      <c r="AY42">
        <v>73.290276136153821</v>
      </c>
      <c r="AZ42">
        <v>70.11467438496679</v>
      </c>
      <c r="BA42">
        <v>67.713671308200858</v>
      </c>
      <c r="BB42">
        <v>65.291739032032012</v>
      </c>
      <c r="BC42">
        <v>62.860175753989182</v>
      </c>
      <c r="BD42">
        <v>60.328785830433347</v>
      </c>
      <c r="BE42">
        <v>57.813306427601709</v>
      </c>
      <c r="BF42">
        <v>55.930756153895224</v>
      </c>
      <c r="BG42">
        <v>54.434949268280995</v>
      </c>
      <c r="BH42">
        <v>53.342860729061172</v>
      </c>
      <c r="BI42">
        <v>52.010688815734738</v>
      </c>
      <c r="BJ42">
        <v>50.893807774078617</v>
      </c>
      <c r="BK42">
        <v>50.072898754989787</v>
      </c>
      <c r="BL42">
        <v>49.461624998549766</v>
      </c>
      <c r="BM42">
        <v>49.365421538760629</v>
      </c>
      <c r="BN42">
        <v>49.381631501783403</v>
      </c>
      <c r="BO42">
        <v>49.329300650217583</v>
      </c>
      <c r="BP42">
        <v>49.126740324071051</v>
      </c>
      <c r="BQ42">
        <v>48.947433934178022</v>
      </c>
      <c r="BR42">
        <v>49.03675847227958</v>
      </c>
      <c r="BS42">
        <v>50.024595202611941</v>
      </c>
      <c r="BT42">
        <v>50.354989414760198</v>
      </c>
      <c r="BU42">
        <v>51.818537159495662</v>
      </c>
      <c r="BV42">
        <v>53.13037639935412</v>
      </c>
      <c r="BW42">
        <v>53.570666233582074</v>
      </c>
      <c r="BX42">
        <v>53.36807887911084</v>
      </c>
      <c r="BY42">
        <v>52.839476884308802</v>
      </c>
      <c r="BZ42">
        <v>53.883645642456059</v>
      </c>
      <c r="CA42">
        <v>54.194870269095617</v>
      </c>
      <c r="CB42">
        <v>53.61374421425878</v>
      </c>
      <c r="CC42">
        <v>52.989588235156141</v>
      </c>
      <c r="CD42">
        <v>52.646946031329705</v>
      </c>
      <c r="CE42">
        <v>52.503136335107861</v>
      </c>
      <c r="CF42">
        <v>52.803234331507319</v>
      </c>
      <c r="CG42">
        <v>53.579013054707481</v>
      </c>
      <c r="CH42">
        <v>53.227941717171348</v>
      </c>
      <c r="CI42">
        <v>52.644230952763159</v>
      </c>
      <c r="CJ42">
        <v>52.370435557824081</v>
      </c>
      <c r="CK42">
        <v>52.584443841007399</v>
      </c>
      <c r="CL42">
        <v>53.165577163614017</v>
      </c>
      <c r="CM42">
        <v>53.772799514478535</v>
      </c>
      <c r="CN42">
        <v>53.329454417796057</v>
      </c>
      <c r="CO42">
        <v>53.449875399401279</v>
      </c>
      <c r="CP42">
        <v>53.462310375260202</v>
      </c>
      <c r="CQ42">
        <v>53.58623885878972</v>
      </c>
      <c r="CR42">
        <v>53.681262653066639</v>
      </c>
      <c r="CS42">
        <v>53.94215187228216</v>
      </c>
      <c r="CT42">
        <v>54.134405319441179</v>
      </c>
      <c r="CU42">
        <v>54.422059589926199</v>
      </c>
      <c r="CV42">
        <v>54.708927177406515</v>
      </c>
      <c r="CW42">
        <v>55.028848867797436</v>
      </c>
      <c r="CX42">
        <v>55.366573670327156</v>
      </c>
      <c r="CY42">
        <v>55.731230249095574</v>
      </c>
      <c r="CZ42">
        <v>56.149170052965388</v>
      </c>
      <c r="DA42">
        <v>56.419884152549407</v>
      </c>
      <c r="DB42">
        <v>56.758669590501228</v>
      </c>
      <c r="DC42">
        <v>57.1351062610252</v>
      </c>
      <c r="DD42">
        <v>57.536469881257801</v>
      </c>
      <c r="DE42">
        <v>57.6660344900219</v>
      </c>
      <c r="DF42">
        <v>57.7398504390898</v>
      </c>
      <c r="DG42">
        <v>58.119785983292601</v>
      </c>
      <c r="DH42">
        <v>58.354650657992501</v>
      </c>
      <c r="DI42">
        <v>58.561637033190401</v>
      </c>
      <c r="DJ42">
        <v>58.715924953448898</v>
      </c>
      <c r="DK42">
        <v>59.206417327309097</v>
      </c>
      <c r="DL42">
        <v>59.447697509321202</v>
      </c>
      <c r="DM42">
        <v>59.756328385260097</v>
      </c>
      <c r="DN42">
        <v>60.183244310206703</v>
      </c>
      <c r="DO42">
        <v>60.655321380454197</v>
      </c>
      <c r="DP42">
        <v>61.1971265303997</v>
      </c>
      <c r="DQ42">
        <v>60.974677570699399</v>
      </c>
      <c r="DR42">
        <v>60.673648827953599</v>
      </c>
      <c r="DS42">
        <v>60.033690562440697</v>
      </c>
      <c r="DT42">
        <v>59.973910174826699</v>
      </c>
      <c r="DU42">
        <v>60.367443339890102</v>
      </c>
      <c r="DV42">
        <v>61.264657140222397</v>
      </c>
      <c r="DW42">
        <v>62.802889449406202</v>
      </c>
      <c r="DX42">
        <v>65.399382506717401</v>
      </c>
      <c r="DY42">
        <v>70.330052081714797</v>
      </c>
    </row>
    <row r="43" spans="1:129" x14ac:dyDescent="0.25">
      <c r="A43" t="s">
        <v>1306</v>
      </c>
      <c r="B43">
        <v>392.13849914762301</v>
      </c>
      <c r="C43">
        <v>87.476591755954502</v>
      </c>
      <c r="D43">
        <v>98.491338827747498</v>
      </c>
      <c r="E43">
        <v>101.653297828189</v>
      </c>
      <c r="F43">
        <v>100.2333445270076</v>
      </c>
      <c r="G43">
        <v>96.5355534301153</v>
      </c>
      <c r="H43">
        <v>104.0586954121043</v>
      </c>
      <c r="I43">
        <v>104.9517277957051</v>
      </c>
      <c r="J43">
        <v>99.973876688290801</v>
      </c>
      <c r="K43">
        <v>100.50023551014498</v>
      </c>
      <c r="L43">
        <v>95.768234924975658</v>
      </c>
      <c r="M43">
        <v>91.716275982949909</v>
      </c>
      <c r="N43">
        <v>95.813152098270038</v>
      </c>
      <c r="O43">
        <v>90.671189429152591</v>
      </c>
      <c r="P43">
        <v>95.170841369050535</v>
      </c>
      <c r="Q43">
        <v>95.742758237234455</v>
      </c>
      <c r="R43">
        <v>92.706739762656781</v>
      </c>
      <c r="S43">
        <v>92.45695950398563</v>
      </c>
      <c r="T43">
        <v>93.220812353766803</v>
      </c>
      <c r="U43">
        <v>92.623273919116897</v>
      </c>
      <c r="V43">
        <v>89.885149508017705</v>
      </c>
      <c r="W43">
        <v>87.330483609435404</v>
      </c>
      <c r="X43">
        <v>86.91643064491052</v>
      </c>
      <c r="Y43">
        <v>86.632818679460655</v>
      </c>
      <c r="Z43">
        <v>85.565315363982677</v>
      </c>
      <c r="AA43">
        <v>84.192928371418205</v>
      </c>
      <c r="AB43">
        <v>82.672769020093128</v>
      </c>
      <c r="AC43">
        <v>80.297918840508444</v>
      </c>
      <c r="AD43">
        <v>77.898839596661489</v>
      </c>
      <c r="AE43">
        <v>75.734832746505219</v>
      </c>
      <c r="AF43">
        <v>74.206708330626967</v>
      </c>
      <c r="AG43">
        <v>74.735031246050596</v>
      </c>
      <c r="AH43">
        <v>74.706540116221049</v>
      </c>
      <c r="AI43">
        <v>73.760252542559058</v>
      </c>
      <c r="AJ43">
        <v>72.331228768655052</v>
      </c>
      <c r="AK43">
        <v>70.501149414640437</v>
      </c>
      <c r="AL43">
        <v>68.759135136040641</v>
      </c>
      <c r="AM43">
        <v>67.096612007303733</v>
      </c>
      <c r="AN43">
        <v>65.979341884383942</v>
      </c>
      <c r="AO43">
        <v>65.163860755486965</v>
      </c>
      <c r="AP43">
        <v>65.182238827498878</v>
      </c>
      <c r="AQ43">
        <v>65.063633066799582</v>
      </c>
      <c r="AR43">
        <v>65.112485964246588</v>
      </c>
      <c r="AS43">
        <v>64.483678811208307</v>
      </c>
      <c r="AT43">
        <v>63.542461581501321</v>
      </c>
      <c r="AU43">
        <v>62.96330964158993</v>
      </c>
      <c r="AV43">
        <v>62.124423351769934</v>
      </c>
      <c r="AW43">
        <v>61.205831771076305</v>
      </c>
      <c r="AX43">
        <v>60.583689910910067</v>
      </c>
      <c r="AY43">
        <v>60.282030531844327</v>
      </c>
      <c r="AZ43">
        <v>59.723228190805585</v>
      </c>
      <c r="BA43">
        <v>59.446760617411357</v>
      </c>
      <c r="BB43">
        <v>59.444416807430017</v>
      </c>
      <c r="BC43">
        <v>59.828095545001581</v>
      </c>
      <c r="BD43">
        <v>59.761404823335241</v>
      </c>
      <c r="BE43">
        <v>59.022551443459307</v>
      </c>
      <c r="BF43">
        <v>58.665210215715518</v>
      </c>
      <c r="BG43">
        <v>57.400811316640294</v>
      </c>
      <c r="BH43">
        <v>56.159230180380774</v>
      </c>
      <c r="BI43">
        <v>54.544637788023138</v>
      </c>
      <c r="BJ43">
        <v>53.372758140609911</v>
      </c>
      <c r="BK43">
        <v>52.49110266283099</v>
      </c>
      <c r="BL43">
        <v>51.905371681912655</v>
      </c>
      <c r="BM43">
        <v>51.446116762683531</v>
      </c>
      <c r="BN43">
        <v>51.275403451871405</v>
      </c>
      <c r="BO43">
        <v>51.191282741312882</v>
      </c>
      <c r="BP43">
        <v>51.37326256373855</v>
      </c>
      <c r="BQ43">
        <v>51.656657699694122</v>
      </c>
      <c r="BR43">
        <v>52.591536151132182</v>
      </c>
      <c r="BS43">
        <v>54.314187229777744</v>
      </c>
      <c r="BT43">
        <v>55.563575163653894</v>
      </c>
      <c r="BU43">
        <v>58.071046461879156</v>
      </c>
      <c r="BV43">
        <v>60.070761653036321</v>
      </c>
      <c r="BW43">
        <v>63.326522167028983</v>
      </c>
      <c r="BX43">
        <v>67.154108940765838</v>
      </c>
      <c r="BY43">
        <v>71.605787612006793</v>
      </c>
      <c r="BZ43">
        <v>67.698983539895963</v>
      </c>
      <c r="CA43">
        <v>64.723472884564615</v>
      </c>
      <c r="CB43">
        <v>62.174600177429681</v>
      </c>
      <c r="CC43">
        <v>60.998726813902842</v>
      </c>
      <c r="CD43">
        <v>59.816453353501203</v>
      </c>
      <c r="CE43">
        <v>59.209533183645661</v>
      </c>
      <c r="CF43">
        <v>60.152342596144322</v>
      </c>
      <c r="CG43">
        <v>61.148542427418285</v>
      </c>
      <c r="CH43">
        <v>56.738568224134845</v>
      </c>
      <c r="CI43">
        <v>55.111755385986058</v>
      </c>
      <c r="CJ43">
        <v>54.543304371003579</v>
      </c>
      <c r="CK43">
        <v>54.975100897340397</v>
      </c>
      <c r="CL43">
        <v>57.175378143477019</v>
      </c>
      <c r="CM43">
        <v>59.087005781674137</v>
      </c>
      <c r="CN43">
        <v>56.25153306392626</v>
      </c>
      <c r="CO43">
        <v>56.37091746411518</v>
      </c>
      <c r="CP43">
        <v>56.689200862464702</v>
      </c>
      <c r="CQ43">
        <v>57.00752864049322</v>
      </c>
      <c r="CR43">
        <v>57.409044534467142</v>
      </c>
      <c r="CS43">
        <v>57.926776488457961</v>
      </c>
      <c r="CT43">
        <v>57.91177569553998</v>
      </c>
      <c r="CU43">
        <v>58.251960137287895</v>
      </c>
      <c r="CV43">
        <v>58.597046971354018</v>
      </c>
      <c r="CW43">
        <v>58.935582669510431</v>
      </c>
      <c r="CX43">
        <v>59.597824282695953</v>
      </c>
      <c r="CY43">
        <v>60.247483395392372</v>
      </c>
      <c r="CZ43">
        <v>60.884547419241393</v>
      </c>
      <c r="DA43">
        <v>61.285985444853011</v>
      </c>
      <c r="DB43">
        <v>61.40976546143893</v>
      </c>
      <c r="DC43">
        <v>61.622525785653202</v>
      </c>
      <c r="DD43">
        <v>61.762261404449298</v>
      </c>
      <c r="DE43">
        <v>61.686525749254599</v>
      </c>
      <c r="DF43">
        <v>61.308156080000003</v>
      </c>
      <c r="DG43">
        <v>61.352679943071898</v>
      </c>
      <c r="DH43">
        <v>60.951042821253097</v>
      </c>
      <c r="DI43">
        <v>60.940711748028299</v>
      </c>
      <c r="DJ43">
        <v>60.874948618597799</v>
      </c>
      <c r="DK43">
        <v>61.880372460725901</v>
      </c>
      <c r="DL43">
        <v>61.407980542261598</v>
      </c>
      <c r="DM43">
        <v>61.016348222175502</v>
      </c>
      <c r="DN43">
        <v>61.341246889342202</v>
      </c>
      <c r="DO43">
        <v>61.734850704781202</v>
      </c>
      <c r="DP43">
        <v>61.798022870160302</v>
      </c>
      <c r="DQ43">
        <v>61.151389957340399</v>
      </c>
      <c r="DR43">
        <v>60.601416116757697</v>
      </c>
      <c r="DS43">
        <v>60.420970051928499</v>
      </c>
      <c r="DT43">
        <v>61.176435840558597</v>
      </c>
      <c r="DU43">
        <v>62.085839109983198</v>
      </c>
      <c r="DV43">
        <v>63.132441457194602</v>
      </c>
      <c r="DW43">
        <v>63.766570920887702</v>
      </c>
      <c r="DX43">
        <v>65.255302360839806</v>
      </c>
      <c r="DY43">
        <v>66.802144231489308</v>
      </c>
    </row>
    <row r="44" spans="1:129" x14ac:dyDescent="0.25">
      <c r="A44" t="s">
        <v>1563</v>
      </c>
      <c r="B44">
        <v>410.86692191051702</v>
      </c>
      <c r="C44">
        <v>88.676254677330803</v>
      </c>
      <c r="D44">
        <v>91.980874990637204</v>
      </c>
      <c r="E44">
        <v>92.514408337652299</v>
      </c>
      <c r="F44">
        <v>79.140317768373905</v>
      </c>
      <c r="G44">
        <v>82.617243757010996</v>
      </c>
      <c r="H44">
        <v>83.240260021165795</v>
      </c>
      <c r="I44">
        <v>85.978440450611402</v>
      </c>
      <c r="J44">
        <v>86.352945390984303</v>
      </c>
      <c r="K44">
        <v>84.936871945417678</v>
      </c>
      <c r="L44">
        <v>82.983511617545659</v>
      </c>
      <c r="M44">
        <v>81.172311173114707</v>
      </c>
      <c r="N44">
        <v>81.389869113382531</v>
      </c>
      <c r="O44">
        <v>78.077396362737886</v>
      </c>
      <c r="P44">
        <v>76.700979403823737</v>
      </c>
      <c r="Q44">
        <v>75.81495457191815</v>
      </c>
      <c r="R44">
        <v>76.35474858423828</v>
      </c>
      <c r="S44">
        <v>76.626667110550514</v>
      </c>
      <c r="T44">
        <v>77.74090678041361</v>
      </c>
      <c r="U44">
        <v>77.303483699106806</v>
      </c>
      <c r="V44">
        <v>78.206187155325409</v>
      </c>
      <c r="W44">
        <v>79.042133073505099</v>
      </c>
      <c r="X44">
        <v>79.823429303532819</v>
      </c>
      <c r="Y44">
        <v>80.667071692088655</v>
      </c>
      <c r="Z44">
        <v>82.469344028288276</v>
      </c>
      <c r="AA44">
        <v>82.600365153869205</v>
      </c>
      <c r="AB44">
        <v>83.303733380938226</v>
      </c>
      <c r="AC44">
        <v>83.117060740358042</v>
      </c>
      <c r="AD44">
        <v>84.25444515883818</v>
      </c>
      <c r="AE44">
        <v>87.060247720427014</v>
      </c>
      <c r="AF44">
        <v>80.817179887720158</v>
      </c>
      <c r="AG44">
        <v>76.416132573079096</v>
      </c>
      <c r="AH44">
        <v>75.62169074852045</v>
      </c>
      <c r="AI44">
        <v>74.786054943510351</v>
      </c>
      <c r="AJ44">
        <v>73.145182051032151</v>
      </c>
      <c r="AK44">
        <v>71.365066801118843</v>
      </c>
      <c r="AL44">
        <v>69.758526092837542</v>
      </c>
      <c r="AM44">
        <v>68.089769989768243</v>
      </c>
      <c r="AN44">
        <v>66.619969872720148</v>
      </c>
      <c r="AO44">
        <v>65.415311275086566</v>
      </c>
      <c r="AP44">
        <v>64.425164683661677</v>
      </c>
      <c r="AQ44">
        <v>64.016690696685586</v>
      </c>
      <c r="AR44">
        <v>63.979873444420797</v>
      </c>
      <c r="AS44">
        <v>63.99199040409561</v>
      </c>
      <c r="AT44">
        <v>64.506444470812113</v>
      </c>
      <c r="AU44">
        <v>64.826268809445423</v>
      </c>
      <c r="AV44">
        <v>64.444865971308147</v>
      </c>
      <c r="AW44">
        <v>63.98803245218231</v>
      </c>
      <c r="AX44">
        <v>64.339570866798269</v>
      </c>
      <c r="AY44">
        <v>64.734903158948924</v>
      </c>
      <c r="AZ44">
        <v>66.054908108186495</v>
      </c>
      <c r="BA44">
        <v>68.665594190412946</v>
      </c>
      <c r="BB44">
        <v>71.887647279031412</v>
      </c>
      <c r="BC44">
        <v>73.195180358552079</v>
      </c>
      <c r="BD44">
        <v>68.04445232437584</v>
      </c>
      <c r="BE44">
        <v>63.660715719912808</v>
      </c>
      <c r="BF44">
        <v>61.00259840398482</v>
      </c>
      <c r="BG44">
        <v>59.169711203746296</v>
      </c>
      <c r="BH44">
        <v>57.606742171401471</v>
      </c>
      <c r="BI44">
        <v>56.222998147362638</v>
      </c>
      <c r="BJ44">
        <v>54.722805919927715</v>
      </c>
      <c r="BK44">
        <v>53.394502960491188</v>
      </c>
      <c r="BL44">
        <v>52.148677815252555</v>
      </c>
      <c r="BM44">
        <v>50.988439778218634</v>
      </c>
      <c r="BN44">
        <v>49.797703222994805</v>
      </c>
      <c r="BO44">
        <v>48.93076757203238</v>
      </c>
      <c r="BP44">
        <v>47.93014103839095</v>
      </c>
      <c r="BQ44">
        <v>46.593341563817226</v>
      </c>
      <c r="BR44">
        <v>45.304679568734379</v>
      </c>
      <c r="BS44">
        <v>44.865924165105042</v>
      </c>
      <c r="BT44">
        <v>44.956718978420696</v>
      </c>
      <c r="BU44">
        <v>45.076165431011759</v>
      </c>
      <c r="BV44">
        <v>45.56610714300912</v>
      </c>
      <c r="BW44">
        <v>46.415239285081682</v>
      </c>
      <c r="BX44">
        <v>47.476534121484335</v>
      </c>
      <c r="BY44">
        <v>48.855324117535702</v>
      </c>
      <c r="BZ44">
        <v>50.038259982237165</v>
      </c>
      <c r="CA44">
        <v>50.545997554599225</v>
      </c>
      <c r="CB44">
        <v>51.421812762786281</v>
      </c>
      <c r="CC44">
        <v>52.250062055868241</v>
      </c>
      <c r="CD44">
        <v>52.712385326294104</v>
      </c>
      <c r="CE44">
        <v>53.128656987187355</v>
      </c>
      <c r="CF44">
        <v>53.666206081774924</v>
      </c>
      <c r="CG44">
        <v>54.563733211201985</v>
      </c>
      <c r="CH44">
        <v>55.915948752011644</v>
      </c>
      <c r="CI44">
        <v>56.880099819500863</v>
      </c>
      <c r="CJ44">
        <v>56.911454534724584</v>
      </c>
      <c r="CK44">
        <v>56.623004896174699</v>
      </c>
      <c r="CL44">
        <v>56.325186074558715</v>
      </c>
      <c r="CM44">
        <v>56.008042550783045</v>
      </c>
      <c r="CN44">
        <v>55.543415809933464</v>
      </c>
      <c r="CO44">
        <v>55.309259638724086</v>
      </c>
      <c r="CP44">
        <v>55.003434341151504</v>
      </c>
      <c r="CQ44">
        <v>54.845497507788721</v>
      </c>
      <c r="CR44">
        <v>54.633852726159141</v>
      </c>
      <c r="CS44">
        <v>54.729295227648862</v>
      </c>
      <c r="CT44">
        <v>54.831373864632575</v>
      </c>
      <c r="CU44">
        <v>55.058607536114394</v>
      </c>
      <c r="CV44">
        <v>55.244276250313717</v>
      </c>
      <c r="CW44">
        <v>55.337074047808436</v>
      </c>
      <c r="CX44">
        <v>55.635728239579151</v>
      </c>
      <c r="CY44">
        <v>56.025068342288371</v>
      </c>
      <c r="CZ44">
        <v>56.28841311086029</v>
      </c>
      <c r="DA44">
        <v>56.573169003927312</v>
      </c>
      <c r="DB44">
        <v>57.00452495316113</v>
      </c>
      <c r="DC44">
        <v>57.343293814913103</v>
      </c>
      <c r="DD44">
        <v>57.711403379279602</v>
      </c>
      <c r="DE44">
        <v>58.071805684165099</v>
      </c>
      <c r="DF44">
        <v>58.312296981783803</v>
      </c>
      <c r="DG44">
        <v>58.240592254959502</v>
      </c>
      <c r="DH44">
        <v>58.436905072521299</v>
      </c>
      <c r="DI44">
        <v>58.570642704783701</v>
      </c>
      <c r="DJ44">
        <v>58.5993313693697</v>
      </c>
      <c r="DK44">
        <v>58.809801162613397</v>
      </c>
      <c r="DL44">
        <v>59.2444809931701</v>
      </c>
      <c r="DM44">
        <v>59.1598291077608</v>
      </c>
      <c r="DN44">
        <v>59.069422024865801</v>
      </c>
      <c r="DO44">
        <v>59.203410645865503</v>
      </c>
      <c r="DP44">
        <v>59.082664998728099</v>
      </c>
      <c r="DQ44">
        <v>58.983161598554702</v>
      </c>
      <c r="DR44">
        <v>58.966840355848298</v>
      </c>
      <c r="DS44">
        <v>59.224172692314099</v>
      </c>
      <c r="DT44">
        <v>60.120643862321501</v>
      </c>
      <c r="DU44">
        <v>61.424750027150203</v>
      </c>
      <c r="DV44">
        <v>62.830263617403503</v>
      </c>
      <c r="DW44">
        <v>65.0671655396376</v>
      </c>
      <c r="DX44">
        <v>67.775079284165301</v>
      </c>
      <c r="DY44">
        <v>71.348564922667194</v>
      </c>
    </row>
    <row r="45" spans="1:129" x14ac:dyDescent="0.25">
      <c r="A45" t="s">
        <v>1564</v>
      </c>
      <c r="B45">
        <v>391.24056616987201</v>
      </c>
      <c r="C45">
        <v>108.9649919969344</v>
      </c>
      <c r="D45">
        <v>91.885580910890198</v>
      </c>
      <c r="E45">
        <v>94.688577962523098</v>
      </c>
      <c r="F45">
        <v>96.181159481597604</v>
      </c>
      <c r="G45">
        <v>101.6296269207633</v>
      </c>
      <c r="H45">
        <v>99.758135237938106</v>
      </c>
      <c r="I45">
        <v>99.339356692509597</v>
      </c>
      <c r="J45">
        <v>92.272838191901798</v>
      </c>
      <c r="K45">
        <v>94.448736302629783</v>
      </c>
      <c r="L45">
        <v>89.769114539284047</v>
      </c>
      <c r="M45">
        <v>83.305999492213203</v>
      </c>
      <c r="N45">
        <v>81.667205219068535</v>
      </c>
      <c r="O45">
        <v>81.423587202304191</v>
      </c>
      <c r="P45">
        <v>83.244712417698736</v>
      </c>
      <c r="Q45">
        <v>81.927009379321348</v>
      </c>
      <c r="R45">
        <v>83.887533855160783</v>
      </c>
      <c r="S45">
        <v>84.561366463758418</v>
      </c>
      <c r="T45">
        <v>85.855221267445998</v>
      </c>
      <c r="U45">
        <v>87.912250945386006</v>
      </c>
      <c r="V45">
        <v>88.868068349750402</v>
      </c>
      <c r="W45">
        <v>90.318412944709095</v>
      </c>
      <c r="X45">
        <v>90.449359735463915</v>
      </c>
      <c r="Y45">
        <v>96.22401559360965</v>
      </c>
      <c r="Z45">
        <v>100.46516557070927</v>
      </c>
      <c r="AA45">
        <v>98.21436261120391</v>
      </c>
      <c r="AB45">
        <v>93.647860025679933</v>
      </c>
      <c r="AC45">
        <v>93.450662144981749</v>
      </c>
      <c r="AD45">
        <v>89.236882492184591</v>
      </c>
      <c r="AE45">
        <v>87.535761017500818</v>
      </c>
      <c r="AF45">
        <v>79.315662353987165</v>
      </c>
      <c r="AG45">
        <v>77.198311992597809</v>
      </c>
      <c r="AH45">
        <v>75.910176964267748</v>
      </c>
      <c r="AI45">
        <v>74.795640885412951</v>
      </c>
      <c r="AJ45">
        <v>72.811343204760846</v>
      </c>
      <c r="AK45">
        <v>71.214858875121735</v>
      </c>
      <c r="AL45">
        <v>69.517664128337145</v>
      </c>
      <c r="AM45">
        <v>67.799406266933232</v>
      </c>
      <c r="AN45">
        <v>65.937350595660149</v>
      </c>
      <c r="AO45">
        <v>63.993209632672958</v>
      </c>
      <c r="AP45">
        <v>62.744486599570472</v>
      </c>
      <c r="AQ45">
        <v>61.435968482941583</v>
      </c>
      <c r="AR45">
        <v>60.795774718197293</v>
      </c>
      <c r="AS45">
        <v>59.875476510188911</v>
      </c>
      <c r="AT45">
        <v>59.406662939761922</v>
      </c>
      <c r="AU45">
        <v>59.007802264868332</v>
      </c>
      <c r="AV45">
        <v>58.439784720453041</v>
      </c>
      <c r="AW45">
        <v>57.94104896467951</v>
      </c>
      <c r="AX45">
        <v>57.74044685587856</v>
      </c>
      <c r="AY45">
        <v>57.574600501773332</v>
      </c>
      <c r="AZ45">
        <v>57.285736622009495</v>
      </c>
      <c r="BA45">
        <v>57.092487520782754</v>
      </c>
      <c r="BB45">
        <v>56.700951029989518</v>
      </c>
      <c r="BC45">
        <v>56.634839728547078</v>
      </c>
      <c r="BD45">
        <v>56.181605762968843</v>
      </c>
      <c r="BE45">
        <v>55.988075054150904</v>
      </c>
      <c r="BF45">
        <v>56.172625043985619</v>
      </c>
      <c r="BG45">
        <v>56.250708357884797</v>
      </c>
      <c r="BH45">
        <v>56.034794903669173</v>
      </c>
      <c r="BI45">
        <v>55.423912009957142</v>
      </c>
      <c r="BJ45">
        <v>54.899378827967311</v>
      </c>
      <c r="BK45">
        <v>54.458925918650188</v>
      </c>
      <c r="BL45">
        <v>54.486019367474967</v>
      </c>
      <c r="BM45">
        <v>54.003869203005529</v>
      </c>
      <c r="BN45">
        <v>53.965695044797208</v>
      </c>
      <c r="BO45">
        <v>54.301788298397177</v>
      </c>
      <c r="BP45">
        <v>53.485810578573847</v>
      </c>
      <c r="BQ45">
        <v>52.105315080949225</v>
      </c>
      <c r="BR45">
        <v>50.698159957617982</v>
      </c>
      <c r="BS45">
        <v>49.918235537230139</v>
      </c>
      <c r="BT45">
        <v>50.121238267575094</v>
      </c>
      <c r="BU45">
        <v>50.63617514619186</v>
      </c>
      <c r="BV45">
        <v>51.447312961002822</v>
      </c>
      <c r="BW45">
        <v>53.013515469830182</v>
      </c>
      <c r="BX45">
        <v>55.194695542106537</v>
      </c>
      <c r="BY45">
        <v>58.119571028845101</v>
      </c>
      <c r="BZ45">
        <v>60.849556726822961</v>
      </c>
      <c r="CA45">
        <v>61.745221793426225</v>
      </c>
      <c r="CB45">
        <v>68.115916445354983</v>
      </c>
      <c r="CC45">
        <v>75.151420994828754</v>
      </c>
      <c r="CD45">
        <v>66.583307118985203</v>
      </c>
      <c r="CE45">
        <v>61.929908169587655</v>
      </c>
      <c r="CF45">
        <v>58.810474678189223</v>
      </c>
      <c r="CG45">
        <v>56.896218558681582</v>
      </c>
      <c r="CH45">
        <v>57.795722093169744</v>
      </c>
      <c r="CI45">
        <v>64.64353797786697</v>
      </c>
      <c r="CJ45">
        <v>77.836624278495393</v>
      </c>
      <c r="CK45">
        <v>72.473353010328111</v>
      </c>
      <c r="CL45">
        <v>68.090709625531716</v>
      </c>
      <c r="CM45">
        <v>65.450722462208645</v>
      </c>
      <c r="CN45">
        <v>62.977083133890261</v>
      </c>
      <c r="CO45">
        <v>61.198490610312774</v>
      </c>
      <c r="CP45">
        <v>59.758666338462405</v>
      </c>
      <c r="CQ45">
        <v>58.878440803045322</v>
      </c>
      <c r="CR45">
        <v>58.578020214773638</v>
      </c>
      <c r="CS45">
        <v>59.946408353666456</v>
      </c>
      <c r="CT45">
        <v>59.615349637113276</v>
      </c>
      <c r="CU45">
        <v>58.975732662809399</v>
      </c>
      <c r="CV45">
        <v>58.348933845072914</v>
      </c>
      <c r="CW45">
        <v>57.964325322406538</v>
      </c>
      <c r="CX45">
        <v>57.965018834655652</v>
      </c>
      <c r="CY45">
        <v>58.34509501645617</v>
      </c>
      <c r="CZ45">
        <v>59.03128287344029</v>
      </c>
      <c r="DA45">
        <v>59.664684666986609</v>
      </c>
      <c r="DB45">
        <v>60.611021072533731</v>
      </c>
      <c r="DC45">
        <v>61.224071169837998</v>
      </c>
      <c r="DD45">
        <v>62.099285944335001</v>
      </c>
      <c r="DE45">
        <v>62.2446342974064</v>
      </c>
      <c r="DF45">
        <v>62.743242059944599</v>
      </c>
      <c r="DG45">
        <v>62.748454434348702</v>
      </c>
      <c r="DH45">
        <v>62.633728977756597</v>
      </c>
      <c r="DI45">
        <v>62.562825757782903</v>
      </c>
      <c r="DJ45">
        <v>62.597292789058997</v>
      </c>
      <c r="DK45">
        <v>63.212542793549297</v>
      </c>
      <c r="DL45">
        <v>63.244959278447602</v>
      </c>
      <c r="DM45">
        <v>62.599626684120203</v>
      </c>
      <c r="DN45">
        <v>62.079076826324801</v>
      </c>
      <c r="DO45">
        <v>61.950316991266398</v>
      </c>
      <c r="DP45">
        <v>61.8845955710702</v>
      </c>
      <c r="DQ45">
        <v>61.290838946047003</v>
      </c>
      <c r="DR45">
        <v>60.756768089683497</v>
      </c>
      <c r="DS45">
        <v>60.704171538265498</v>
      </c>
      <c r="DT45">
        <v>61.270429845738597</v>
      </c>
      <c r="DU45">
        <v>61.908932223053903</v>
      </c>
      <c r="DV45">
        <v>62.760224715405499</v>
      </c>
      <c r="DW45">
        <v>63.625214573400498</v>
      </c>
      <c r="DX45">
        <v>64.953354746537897</v>
      </c>
      <c r="DY45">
        <v>65.604601798945396</v>
      </c>
    </row>
    <row r="46" spans="1:129" x14ac:dyDescent="0.25">
      <c r="A46" t="s">
        <v>1821</v>
      </c>
      <c r="B46">
        <v>383.75244852635899</v>
      </c>
      <c r="C46">
        <v>96.691794295738305</v>
      </c>
      <c r="D46">
        <v>105.9781827848368</v>
      </c>
      <c r="E46">
        <v>87.671497608949494</v>
      </c>
      <c r="F46">
        <v>90.556534567872603</v>
      </c>
      <c r="G46">
        <v>91.384056577499805</v>
      </c>
      <c r="H46">
        <v>87.455767694662299</v>
      </c>
      <c r="I46">
        <v>88.552833510752706</v>
      </c>
      <c r="J46">
        <v>88.163828721466899</v>
      </c>
      <c r="K46">
        <v>83.256317899597576</v>
      </c>
      <c r="L46">
        <v>83.922987577590348</v>
      </c>
      <c r="M46">
        <v>81.305748982786113</v>
      </c>
      <c r="N46">
        <v>79.004179368623838</v>
      </c>
      <c r="O46">
        <v>77.743289903837891</v>
      </c>
      <c r="P46">
        <v>76.111024912043831</v>
      </c>
      <c r="Q46">
        <v>76.053874987444246</v>
      </c>
      <c r="R46">
        <v>76.43392764099508</v>
      </c>
      <c r="S46">
        <v>76.439690292144022</v>
      </c>
      <c r="T46">
        <v>77.2181431274727</v>
      </c>
      <c r="U46">
        <v>77.029796771950203</v>
      </c>
      <c r="V46">
        <v>77.089603155175411</v>
      </c>
      <c r="W46">
        <v>76.998808184047192</v>
      </c>
      <c r="X46">
        <v>77.008039230769313</v>
      </c>
      <c r="Y46">
        <v>77.551910324387748</v>
      </c>
      <c r="Z46">
        <v>78.331956123132272</v>
      </c>
      <c r="AA46">
        <v>78.379679488888613</v>
      </c>
      <c r="AB46">
        <v>78.192543749815229</v>
      </c>
      <c r="AC46">
        <v>79.475318845815849</v>
      </c>
      <c r="AD46">
        <v>79.583332867117292</v>
      </c>
      <c r="AE46">
        <v>80.244527085102519</v>
      </c>
      <c r="AF46">
        <v>80.109061782685458</v>
      </c>
      <c r="AG46">
        <v>80.106402071136301</v>
      </c>
      <c r="AH46">
        <v>77.956489299868551</v>
      </c>
      <c r="AI46">
        <v>78.950437070205453</v>
      </c>
      <c r="AJ46">
        <v>77.455017621445748</v>
      </c>
      <c r="AK46">
        <v>78.821471345260846</v>
      </c>
      <c r="AL46">
        <v>78.56624101842354</v>
      </c>
      <c r="AM46">
        <v>77.606838334224136</v>
      </c>
      <c r="AN46">
        <v>81.113435711645948</v>
      </c>
      <c r="AO46">
        <v>92.561987829752866</v>
      </c>
      <c r="AP46">
        <v>73.43574373337087</v>
      </c>
      <c r="AQ46">
        <v>68.869265924052385</v>
      </c>
      <c r="AR46">
        <v>67.615608515110694</v>
      </c>
      <c r="AS46">
        <v>67.402834254409711</v>
      </c>
      <c r="AT46">
        <v>67.674073313198718</v>
      </c>
      <c r="AU46">
        <v>68.098628313577336</v>
      </c>
      <c r="AV46">
        <v>68.132723193113748</v>
      </c>
      <c r="AW46">
        <v>67.464265350823396</v>
      </c>
      <c r="AX46">
        <v>66.445092859103866</v>
      </c>
      <c r="AY46">
        <v>65.078585714228524</v>
      </c>
      <c r="AZ46">
        <v>63.792674938776685</v>
      </c>
      <c r="BA46">
        <v>62.005897251722757</v>
      </c>
      <c r="BB46">
        <v>60.14057972965562</v>
      </c>
      <c r="BC46">
        <v>58.722659659923679</v>
      </c>
      <c r="BD46">
        <v>57.425800467339847</v>
      </c>
      <c r="BE46">
        <v>56.379651071128308</v>
      </c>
      <c r="BF46">
        <v>55.952050415500324</v>
      </c>
      <c r="BG46">
        <v>55.449696944747998</v>
      </c>
      <c r="BH46">
        <v>54.96153934164807</v>
      </c>
      <c r="BI46">
        <v>54.394735031196639</v>
      </c>
      <c r="BJ46">
        <v>53.759937348550416</v>
      </c>
      <c r="BK46">
        <v>53.141593065694991</v>
      </c>
      <c r="BL46">
        <v>52.489265359846854</v>
      </c>
      <c r="BM46">
        <v>51.900090417701733</v>
      </c>
      <c r="BN46">
        <v>51.249823341649005</v>
      </c>
      <c r="BO46">
        <v>50.877388231652183</v>
      </c>
      <c r="BP46">
        <v>50.547001662847052</v>
      </c>
      <c r="BQ46">
        <v>50.090461680395727</v>
      </c>
      <c r="BR46">
        <v>49.653435129952179</v>
      </c>
      <c r="BS46">
        <v>49.465434009684444</v>
      </c>
      <c r="BT46">
        <v>49.623666587491194</v>
      </c>
      <c r="BU46">
        <v>49.23651737635096</v>
      </c>
      <c r="BV46">
        <v>48.972192850553121</v>
      </c>
      <c r="BW46">
        <v>49.18169193899098</v>
      </c>
      <c r="BX46">
        <v>49.939656541086336</v>
      </c>
      <c r="BY46">
        <v>51.652302196718303</v>
      </c>
      <c r="BZ46">
        <v>50.391273274727659</v>
      </c>
      <c r="CA46">
        <v>50.811843162382516</v>
      </c>
      <c r="CB46">
        <v>51.752359071045682</v>
      </c>
      <c r="CC46">
        <v>52.120740251066842</v>
      </c>
      <c r="CD46">
        <v>52.388946443801402</v>
      </c>
      <c r="CE46">
        <v>51.806899718103459</v>
      </c>
      <c r="CF46">
        <v>51.522637683028023</v>
      </c>
      <c r="CG46">
        <v>51.985333490319583</v>
      </c>
      <c r="CH46">
        <v>53.263318018935145</v>
      </c>
      <c r="CI46">
        <v>54.924065471943862</v>
      </c>
      <c r="CJ46">
        <v>57.603158467705278</v>
      </c>
      <c r="CK46">
        <v>60.767071624633303</v>
      </c>
      <c r="CL46">
        <v>62.155123643310816</v>
      </c>
      <c r="CM46">
        <v>62.180935928942034</v>
      </c>
      <c r="CN46">
        <v>61.527764238025753</v>
      </c>
      <c r="CO46">
        <v>60.229511709457284</v>
      </c>
      <c r="CP46">
        <v>59.449891089511205</v>
      </c>
      <c r="CQ46">
        <v>59.23909015666532</v>
      </c>
      <c r="CR46">
        <v>58.951906329252942</v>
      </c>
      <c r="CS46">
        <v>59.18396260343966</v>
      </c>
      <c r="CT46">
        <v>59.03807405012428</v>
      </c>
      <c r="CU46">
        <v>59.276837869491295</v>
      </c>
      <c r="CV46">
        <v>59.477108573671913</v>
      </c>
      <c r="CW46">
        <v>59.808660741598537</v>
      </c>
      <c r="CX46">
        <v>60.211584413238455</v>
      </c>
      <c r="CY46">
        <v>60.492503381434176</v>
      </c>
      <c r="CZ46">
        <v>61.150080998622393</v>
      </c>
      <c r="DA46">
        <v>61.501052926707409</v>
      </c>
      <c r="DB46">
        <v>61.938725881407528</v>
      </c>
      <c r="DC46">
        <v>62.1550193732499</v>
      </c>
      <c r="DD46">
        <v>62.620598558350103</v>
      </c>
      <c r="DE46">
        <v>62.886596773036104</v>
      </c>
      <c r="DF46">
        <v>62.9789434826193</v>
      </c>
      <c r="DG46">
        <v>63.023601904156997</v>
      </c>
      <c r="DH46">
        <v>63.417327882531403</v>
      </c>
      <c r="DI46">
        <v>63.121291689512098</v>
      </c>
      <c r="DJ46">
        <v>62.355751442798798</v>
      </c>
      <c r="DK46">
        <v>62.284344172245497</v>
      </c>
      <c r="DL46">
        <v>62.943116742991798</v>
      </c>
      <c r="DM46">
        <v>64.506033618505001</v>
      </c>
      <c r="DN46">
        <v>65.622497893899208</v>
      </c>
      <c r="DO46">
        <v>66.0450443120248</v>
      </c>
      <c r="DP46">
        <v>66.516162697077803</v>
      </c>
      <c r="DQ46">
        <v>66.078681540771896</v>
      </c>
      <c r="DR46">
        <v>65.433222725392909</v>
      </c>
      <c r="DS46">
        <v>64.701860304924395</v>
      </c>
      <c r="DT46">
        <v>65.109836084883</v>
      </c>
      <c r="DU46">
        <v>65.008409886288902</v>
      </c>
      <c r="DV46">
        <v>65.631704454010702</v>
      </c>
      <c r="DW46">
        <v>66.2678879006654</v>
      </c>
      <c r="DX46">
        <v>67.974480116616093</v>
      </c>
      <c r="DY46">
        <v>70.709916956008101</v>
      </c>
    </row>
    <row r="47" spans="1:129" x14ac:dyDescent="0.25">
      <c r="A47" t="s">
        <v>1822</v>
      </c>
      <c r="B47">
        <v>383.35846309201401</v>
      </c>
      <c r="C47">
        <v>90.439416321403201</v>
      </c>
      <c r="D47">
        <v>112.9068523422257</v>
      </c>
      <c r="E47">
        <v>97.363957310161098</v>
      </c>
      <c r="F47">
        <v>90.984653539185103</v>
      </c>
      <c r="G47">
        <v>96.130269458734901</v>
      </c>
      <c r="H47">
        <v>98.0917747280008</v>
      </c>
      <c r="I47">
        <v>90.378643162582605</v>
      </c>
      <c r="J47">
        <v>84.386862133583904</v>
      </c>
      <c r="K47">
        <v>86.616855387323085</v>
      </c>
      <c r="L47">
        <v>89.002080757714353</v>
      </c>
      <c r="M47">
        <v>98.656107539679908</v>
      </c>
      <c r="N47">
        <v>92.498615885585437</v>
      </c>
      <c r="O47">
        <v>87.930551302457786</v>
      </c>
      <c r="P47">
        <v>88.726174064898728</v>
      </c>
      <c r="Q47">
        <v>88.334883978729451</v>
      </c>
      <c r="R47">
        <v>93.12786284696449</v>
      </c>
      <c r="S47">
        <v>93.820488585758724</v>
      </c>
      <c r="T47">
        <v>98.182594062176307</v>
      </c>
      <c r="U47">
        <v>103.86482286469329</v>
      </c>
      <c r="V47">
        <v>105.2774347242469</v>
      </c>
      <c r="W47">
        <v>97.234269932029704</v>
      </c>
      <c r="X47">
        <v>98.475810921552721</v>
      </c>
      <c r="Y47">
        <v>98.447837567068959</v>
      </c>
      <c r="Z47">
        <v>93.272671527749679</v>
      </c>
      <c r="AA47">
        <v>89.842941252323016</v>
      </c>
      <c r="AB47">
        <v>88.484794562902238</v>
      </c>
      <c r="AC47">
        <v>85.391771946955743</v>
      </c>
      <c r="AD47">
        <v>83.588200791720482</v>
      </c>
      <c r="AE47">
        <v>81.75172643502232</v>
      </c>
      <c r="AF47">
        <v>79.587301576579563</v>
      </c>
      <c r="AG47">
        <v>79.281135082564504</v>
      </c>
      <c r="AH47">
        <v>77.608571545026649</v>
      </c>
      <c r="AI47">
        <v>75.711591530155658</v>
      </c>
      <c r="AJ47">
        <v>73.72942092066404</v>
      </c>
      <c r="AK47">
        <v>71.344775850475443</v>
      </c>
      <c r="AL47">
        <v>70.07509778474423</v>
      </c>
      <c r="AM47">
        <v>68.213549014454642</v>
      </c>
      <c r="AN47">
        <v>66.187810348382442</v>
      </c>
      <c r="AO47">
        <v>66.146148312700163</v>
      </c>
      <c r="AP47">
        <v>66.859018581928169</v>
      </c>
      <c r="AQ47">
        <v>67.281901728265893</v>
      </c>
      <c r="AR47">
        <v>66.817057186974196</v>
      </c>
      <c r="AS47">
        <v>65.98415083784181</v>
      </c>
      <c r="AT47">
        <v>65.529077283817216</v>
      </c>
      <c r="AU47">
        <v>64.754658363309332</v>
      </c>
      <c r="AV47">
        <v>64.182812647835945</v>
      </c>
      <c r="AW47">
        <v>63.28315407273081</v>
      </c>
      <c r="AX47">
        <v>62.400203791767268</v>
      </c>
      <c r="AY47">
        <v>61.390336995985834</v>
      </c>
      <c r="AZ47">
        <v>60.410113592917085</v>
      </c>
      <c r="BA47">
        <v>59.356441362673451</v>
      </c>
      <c r="BB47">
        <v>58.429311238117222</v>
      </c>
      <c r="BC47">
        <v>57.80672702207918</v>
      </c>
      <c r="BD47">
        <v>58.017655264568646</v>
      </c>
      <c r="BE47">
        <v>58.294947851101909</v>
      </c>
      <c r="BF47">
        <v>58.116095094165622</v>
      </c>
      <c r="BG47">
        <v>57.015562753598694</v>
      </c>
      <c r="BH47">
        <v>55.60027395580547</v>
      </c>
      <c r="BI47">
        <v>54.425740814818639</v>
      </c>
      <c r="BJ47">
        <v>53.263360627084914</v>
      </c>
      <c r="BK47">
        <v>52.182306334911885</v>
      </c>
      <c r="BL47">
        <v>51.170388696811358</v>
      </c>
      <c r="BM47">
        <v>50.340457737462231</v>
      </c>
      <c r="BN47">
        <v>49.583930417734507</v>
      </c>
      <c r="BO47">
        <v>49.119425499617478</v>
      </c>
      <c r="BP47">
        <v>48.742249368740652</v>
      </c>
      <c r="BQ47">
        <v>48.320813543105821</v>
      </c>
      <c r="BR47">
        <v>48.049186306167982</v>
      </c>
      <c r="BS47">
        <v>48.156794214422142</v>
      </c>
      <c r="BT47">
        <v>48.671631662875996</v>
      </c>
      <c r="BU47">
        <v>48.256045191346161</v>
      </c>
      <c r="BV47">
        <v>48.36495349537492</v>
      </c>
      <c r="BW47">
        <v>48.833766828155774</v>
      </c>
      <c r="BX47">
        <v>49.93871566404934</v>
      </c>
      <c r="BY47">
        <v>53.261154996530003</v>
      </c>
      <c r="BZ47">
        <v>53.215542828003862</v>
      </c>
      <c r="CA47">
        <v>53.430361231394926</v>
      </c>
      <c r="CB47">
        <v>56.509749816101483</v>
      </c>
      <c r="CC47">
        <v>57.393143331581641</v>
      </c>
      <c r="CD47">
        <v>62.132343802770507</v>
      </c>
      <c r="CE47">
        <v>60.953769669630361</v>
      </c>
      <c r="CF47">
        <v>58.621012892535724</v>
      </c>
      <c r="CG47">
        <v>57.266750387141585</v>
      </c>
      <c r="CH47">
        <v>56.739077118177946</v>
      </c>
      <c r="CI47">
        <v>56.21356407448836</v>
      </c>
      <c r="CJ47">
        <v>56.699500698782678</v>
      </c>
      <c r="CK47">
        <v>60.673806477539202</v>
      </c>
      <c r="CL47">
        <v>62.85369692793612</v>
      </c>
      <c r="CM47">
        <v>62.582049723776137</v>
      </c>
      <c r="CN47">
        <v>65.297182595517356</v>
      </c>
      <c r="CO47">
        <v>70.111740551832284</v>
      </c>
      <c r="CP47">
        <v>74.4354915719519</v>
      </c>
      <c r="CQ47">
        <v>78.233038933127119</v>
      </c>
      <c r="CR47">
        <v>82.205313089682946</v>
      </c>
      <c r="CS47">
        <v>72.415432513705852</v>
      </c>
      <c r="CT47">
        <v>68.828503865589667</v>
      </c>
      <c r="CU47">
        <v>67.830768723544395</v>
      </c>
      <c r="CV47">
        <v>67.226125266815117</v>
      </c>
      <c r="CW47">
        <v>66.887423564490632</v>
      </c>
      <c r="CX47">
        <v>66.731877539602351</v>
      </c>
      <c r="CY47">
        <v>66.566153600284778</v>
      </c>
      <c r="CZ47">
        <v>67.10010609626049</v>
      </c>
      <c r="DA47">
        <v>66.981998136131011</v>
      </c>
      <c r="DB47">
        <v>66.400246453611928</v>
      </c>
      <c r="DC47">
        <v>65.113665072889802</v>
      </c>
      <c r="DD47">
        <v>64.033428306795599</v>
      </c>
      <c r="DE47">
        <v>63.602559861477502</v>
      </c>
      <c r="DF47">
        <v>63.5369158007409</v>
      </c>
      <c r="DG47">
        <v>64.020540371625202</v>
      </c>
      <c r="DH47">
        <v>64.267983837611808</v>
      </c>
      <c r="DI47">
        <v>64.343968574705201</v>
      </c>
      <c r="DJ47">
        <v>63.380240826653299</v>
      </c>
      <c r="DK47">
        <v>63.085061683103199</v>
      </c>
      <c r="DL47">
        <v>63.594710219543202</v>
      </c>
      <c r="DM47">
        <v>64.456657748011793</v>
      </c>
      <c r="DN47">
        <v>65.5403777629883</v>
      </c>
      <c r="DO47">
        <v>66.773213798011</v>
      </c>
      <c r="DP47">
        <v>69.046861431835595</v>
      </c>
      <c r="DQ47">
        <v>71.2878707730614</v>
      </c>
      <c r="DR47">
        <v>72.854622037333399</v>
      </c>
      <c r="DS47">
        <v>71.523799990126605</v>
      </c>
      <c r="DT47">
        <v>70.542377418397294</v>
      </c>
      <c r="DU47">
        <v>68.884828220350002</v>
      </c>
      <c r="DV47">
        <v>68.376564144291393</v>
      </c>
      <c r="DW47">
        <v>67.98708416755801</v>
      </c>
      <c r="DX47">
        <v>67.459458579887496</v>
      </c>
      <c r="DY47">
        <v>66.628595382801905</v>
      </c>
    </row>
    <row r="48" spans="1:129" x14ac:dyDescent="0.25">
      <c r="A48" t="s">
        <v>2079</v>
      </c>
      <c r="B48">
        <v>399.63359837484398</v>
      </c>
      <c r="C48">
        <v>101.33275479425249</v>
      </c>
      <c r="D48">
        <v>98.011570872870493</v>
      </c>
      <c r="E48">
        <v>98.955993968271898</v>
      </c>
      <c r="F48">
        <v>87.090085099474095</v>
      </c>
      <c r="G48">
        <v>85.7287740493732</v>
      </c>
      <c r="H48">
        <v>84.139908337927693</v>
      </c>
      <c r="I48">
        <v>84.369456467965804</v>
      </c>
      <c r="J48">
        <v>83.144223990685504</v>
      </c>
      <c r="K48">
        <v>81.748640380896987</v>
      </c>
      <c r="L48">
        <v>81.486668404456751</v>
      </c>
      <c r="M48">
        <v>80.343670668649111</v>
      </c>
      <c r="N48">
        <v>79.039277974927131</v>
      </c>
      <c r="O48">
        <v>76.68646821062319</v>
      </c>
      <c r="P48">
        <v>75.981105694047741</v>
      </c>
      <c r="Q48">
        <v>75.286434083732146</v>
      </c>
      <c r="R48">
        <v>75.877437929048384</v>
      </c>
      <c r="S48">
        <v>76.391617327886024</v>
      </c>
      <c r="T48">
        <v>76.926827850064697</v>
      </c>
      <c r="U48">
        <v>77.19441703270499</v>
      </c>
      <c r="V48">
        <v>77.380174384630493</v>
      </c>
      <c r="W48">
        <v>78.272711172255896</v>
      </c>
      <c r="X48">
        <v>77.673022799951113</v>
      </c>
      <c r="Y48">
        <v>78.487506816098147</v>
      </c>
      <c r="Z48">
        <v>78.023677865111082</v>
      </c>
      <c r="AA48">
        <v>78.774964008142405</v>
      </c>
      <c r="AB48">
        <v>78.609531288142534</v>
      </c>
      <c r="AC48">
        <v>78.865771285060944</v>
      </c>
      <c r="AD48">
        <v>79.667213242685193</v>
      </c>
      <c r="AE48">
        <v>80.649073633246417</v>
      </c>
      <c r="AF48">
        <v>81.046426784263261</v>
      </c>
      <c r="AG48">
        <v>81.629199394651508</v>
      </c>
      <c r="AH48">
        <v>81.574031499725052</v>
      </c>
      <c r="AI48">
        <v>82.506795754771559</v>
      </c>
      <c r="AJ48">
        <v>82.355543899294048</v>
      </c>
      <c r="AK48">
        <v>82.126781598899441</v>
      </c>
      <c r="AL48">
        <v>81.263018558861035</v>
      </c>
      <c r="AM48">
        <v>79.684953155467227</v>
      </c>
      <c r="AN48">
        <v>77.222615111085247</v>
      </c>
      <c r="AO48">
        <v>76.375182558396659</v>
      </c>
      <c r="AP48">
        <v>77.446441742958683</v>
      </c>
      <c r="AQ48">
        <v>91.965025625794595</v>
      </c>
      <c r="AR48">
        <v>82.068223010580283</v>
      </c>
      <c r="AS48">
        <v>75.134119093071803</v>
      </c>
      <c r="AT48">
        <v>73.819409132123113</v>
      </c>
      <c r="AU48">
        <v>74.872260334847525</v>
      </c>
      <c r="AV48">
        <v>77.748842734525738</v>
      </c>
      <c r="AW48">
        <v>82.384341804950495</v>
      </c>
      <c r="AX48">
        <v>87.957022066352167</v>
      </c>
      <c r="AY48">
        <v>79.842220325005826</v>
      </c>
      <c r="AZ48">
        <v>73.044517073534493</v>
      </c>
      <c r="BA48">
        <v>69.002476894192455</v>
      </c>
      <c r="BB48">
        <v>65.681561751692513</v>
      </c>
      <c r="BC48">
        <v>63.895002791531283</v>
      </c>
      <c r="BD48">
        <v>62.453056099131345</v>
      </c>
      <c r="BE48">
        <v>61.450149133337305</v>
      </c>
      <c r="BF48">
        <v>60.893361033808524</v>
      </c>
      <c r="BG48">
        <v>60.138617482481699</v>
      </c>
      <c r="BH48">
        <v>58.894063542887373</v>
      </c>
      <c r="BI48">
        <v>57.339030263014436</v>
      </c>
      <c r="BJ48">
        <v>55.838140251453915</v>
      </c>
      <c r="BK48">
        <v>54.589915586947292</v>
      </c>
      <c r="BL48">
        <v>53.471967434678461</v>
      </c>
      <c r="BM48">
        <v>52.43193580042773</v>
      </c>
      <c r="BN48">
        <v>51.528920748379605</v>
      </c>
      <c r="BO48">
        <v>51.063162873928277</v>
      </c>
      <c r="BP48">
        <v>50.729361283244145</v>
      </c>
      <c r="BQ48">
        <v>50.661022496038626</v>
      </c>
      <c r="BR48">
        <v>50.522031290826177</v>
      </c>
      <c r="BS48">
        <v>50.909970943336944</v>
      </c>
      <c r="BT48">
        <v>51.517900683845696</v>
      </c>
      <c r="BU48">
        <v>51.728315180816956</v>
      </c>
      <c r="BV48">
        <v>51.979164395325817</v>
      </c>
      <c r="BW48">
        <v>52.438449144374673</v>
      </c>
      <c r="BX48">
        <v>52.991666312092839</v>
      </c>
      <c r="BY48">
        <v>53.571440401997997</v>
      </c>
      <c r="BZ48">
        <v>54.143746342184862</v>
      </c>
      <c r="CA48">
        <v>54.391836308165423</v>
      </c>
      <c r="CB48">
        <v>54.780110941249276</v>
      </c>
      <c r="CC48">
        <v>55.505050282415141</v>
      </c>
      <c r="CD48">
        <v>56.033986307957306</v>
      </c>
      <c r="CE48">
        <v>56.554659145642958</v>
      </c>
      <c r="CF48">
        <v>56.98552292134562</v>
      </c>
      <c r="CG48">
        <v>57.583280872521982</v>
      </c>
      <c r="CH48">
        <v>58.247560346255547</v>
      </c>
      <c r="CI48">
        <v>58.954095371515962</v>
      </c>
      <c r="CJ48">
        <v>60.689844677242078</v>
      </c>
      <c r="CK48">
        <v>63.106636420845696</v>
      </c>
      <c r="CL48">
        <v>65.260192099182916</v>
      </c>
      <c r="CM48">
        <v>65.252966515775043</v>
      </c>
      <c r="CN48">
        <v>64.392751124265956</v>
      </c>
      <c r="CO48">
        <v>63.558249690346884</v>
      </c>
      <c r="CP48">
        <v>62.568022996712799</v>
      </c>
      <c r="CQ48">
        <v>61.912508670963419</v>
      </c>
      <c r="CR48">
        <v>61.270044587615942</v>
      </c>
      <c r="CS48">
        <v>60.730419214197056</v>
      </c>
      <c r="CT48">
        <v>61.125336083254979</v>
      </c>
      <c r="CU48">
        <v>61.339431832311995</v>
      </c>
      <c r="CV48">
        <v>61.115089892885713</v>
      </c>
      <c r="CW48">
        <v>61.136247259769235</v>
      </c>
      <c r="CX48">
        <v>61.233570235648656</v>
      </c>
      <c r="CY48">
        <v>61.518753248599573</v>
      </c>
      <c r="CZ48">
        <v>61.800594431577792</v>
      </c>
      <c r="DA48">
        <v>61.999543045925712</v>
      </c>
      <c r="DB48">
        <v>62.152211541097728</v>
      </c>
      <c r="DC48">
        <v>62.489950492254302</v>
      </c>
      <c r="DD48">
        <v>62.833471606024801</v>
      </c>
      <c r="DE48">
        <v>62.713761984477301</v>
      </c>
      <c r="DF48">
        <v>62.605250907258899</v>
      </c>
      <c r="DG48">
        <v>62.747141157690997</v>
      </c>
      <c r="DH48">
        <v>63.3939834729102</v>
      </c>
      <c r="DI48">
        <v>64.065055573900793</v>
      </c>
      <c r="DJ48">
        <v>65.24340292219631</v>
      </c>
      <c r="DK48">
        <v>66.509552002025302</v>
      </c>
      <c r="DL48">
        <v>68.671139716722791</v>
      </c>
      <c r="DM48">
        <v>72.326353354397099</v>
      </c>
      <c r="DN48">
        <v>76.754424106372397</v>
      </c>
      <c r="DO48">
        <v>73.9220207684873</v>
      </c>
      <c r="DP48">
        <v>67.784662828345702</v>
      </c>
      <c r="DQ48">
        <v>64.978022239187595</v>
      </c>
      <c r="DR48">
        <v>63.729584601139301</v>
      </c>
      <c r="DS48">
        <v>63.694614674555602</v>
      </c>
      <c r="DT48">
        <v>64.487622279468397</v>
      </c>
      <c r="DU48">
        <v>65.622487931650497</v>
      </c>
      <c r="DV48">
        <v>67.166193761388001</v>
      </c>
      <c r="DW48">
        <v>69.4674024679843</v>
      </c>
      <c r="DX48">
        <v>72.347920399326796</v>
      </c>
      <c r="DY48">
        <v>78.097518382539505</v>
      </c>
    </row>
    <row r="49" spans="1:129" x14ac:dyDescent="0.25">
      <c r="A49" t="s">
        <v>2080</v>
      </c>
      <c r="B49">
        <v>391.52249206526</v>
      </c>
      <c r="C49">
        <v>96.028693290162394</v>
      </c>
      <c r="D49">
        <v>91.602324155405</v>
      </c>
      <c r="E49">
        <v>99.923541191329804</v>
      </c>
      <c r="F49">
        <v>96.3034393354597</v>
      </c>
      <c r="G49">
        <v>100.2421048857948</v>
      </c>
      <c r="H49">
        <v>97.341122947608895</v>
      </c>
      <c r="I49">
        <v>94.211106045791496</v>
      </c>
      <c r="J49">
        <v>88.907104802703302</v>
      </c>
      <c r="K49">
        <v>88.018093303724882</v>
      </c>
      <c r="L49">
        <v>85.705474643285356</v>
      </c>
      <c r="M49">
        <v>82.271844207059004</v>
      </c>
      <c r="N49">
        <v>81.498104190522739</v>
      </c>
      <c r="O49">
        <v>80.643178335883491</v>
      </c>
      <c r="P49">
        <v>79.654018000400228</v>
      </c>
      <c r="Q49">
        <v>80.900107298232143</v>
      </c>
      <c r="R49">
        <v>81.810354509281993</v>
      </c>
      <c r="S49">
        <v>85.035480181620429</v>
      </c>
      <c r="T49">
        <v>88.8002172704835</v>
      </c>
      <c r="U49">
        <v>87.102690986084994</v>
      </c>
      <c r="V49">
        <v>86.827642672217905</v>
      </c>
      <c r="W49">
        <v>85.238271949366293</v>
      </c>
      <c r="X49">
        <v>84.555254890227019</v>
      </c>
      <c r="Y49">
        <v>83.625732356511946</v>
      </c>
      <c r="Z49">
        <v>82.412319631188169</v>
      </c>
      <c r="AA49">
        <v>82.51469294465241</v>
      </c>
      <c r="AB49">
        <v>82.126941025752828</v>
      </c>
      <c r="AC49">
        <v>80.435486665557349</v>
      </c>
      <c r="AD49">
        <v>77.864408521495093</v>
      </c>
      <c r="AE49">
        <v>76.528603675573223</v>
      </c>
      <c r="AF49">
        <v>74.520625222050867</v>
      </c>
      <c r="AG49">
        <v>73.634525310300106</v>
      </c>
      <c r="AH49">
        <v>71.954261379534856</v>
      </c>
      <c r="AI49">
        <v>70.544541196484047</v>
      </c>
      <c r="AJ49">
        <v>69.16850981303304</v>
      </c>
      <c r="AK49">
        <v>67.359329840035841</v>
      </c>
      <c r="AL49">
        <v>65.437322156583136</v>
      </c>
      <c r="AM49">
        <v>63.324467139213432</v>
      </c>
      <c r="AN49">
        <v>60.986347137870453</v>
      </c>
      <c r="AO49">
        <v>59.110779170464554</v>
      </c>
      <c r="AP49">
        <v>57.950125098380568</v>
      </c>
      <c r="AQ49">
        <v>57.957215555630782</v>
      </c>
      <c r="AR49">
        <v>58.787295005809199</v>
      </c>
      <c r="AS49">
        <v>59.385208425198208</v>
      </c>
      <c r="AT49">
        <v>59.60642553638472</v>
      </c>
      <c r="AU49">
        <v>59.499785696946532</v>
      </c>
      <c r="AV49">
        <v>59.226269479779035</v>
      </c>
      <c r="AW49">
        <v>58.839869439295001</v>
      </c>
      <c r="AX49">
        <v>58.499677629166371</v>
      </c>
      <c r="AY49">
        <v>57.901087712155729</v>
      </c>
      <c r="AZ49">
        <v>57.666551846091195</v>
      </c>
      <c r="BA49">
        <v>57.47726477651176</v>
      </c>
      <c r="BB49">
        <v>57.273265269672621</v>
      </c>
      <c r="BC49">
        <v>56.658936190289481</v>
      </c>
      <c r="BD49">
        <v>55.804892046512542</v>
      </c>
      <c r="BE49">
        <v>54.50120587544091</v>
      </c>
      <c r="BF49">
        <v>53.351558969449023</v>
      </c>
      <c r="BG49">
        <v>52.154140157938095</v>
      </c>
      <c r="BH49">
        <v>50.95823380298517</v>
      </c>
      <c r="BI49">
        <v>49.716141254046441</v>
      </c>
      <c r="BJ49">
        <v>48.683667797507717</v>
      </c>
      <c r="BK49">
        <v>47.874319716126088</v>
      </c>
      <c r="BL49">
        <v>47.100124841624663</v>
      </c>
      <c r="BM49">
        <v>46.384751416385733</v>
      </c>
      <c r="BN49">
        <v>45.773845765280605</v>
      </c>
      <c r="BO49">
        <v>45.45336173467738</v>
      </c>
      <c r="BP49">
        <v>45.565466789527349</v>
      </c>
      <c r="BQ49">
        <v>46.111118785945024</v>
      </c>
      <c r="BR49">
        <v>46.795386888178278</v>
      </c>
      <c r="BS49">
        <v>47.939150840552244</v>
      </c>
      <c r="BT49">
        <v>48.771862732455098</v>
      </c>
      <c r="BU49">
        <v>50.08585317847146</v>
      </c>
      <c r="BV49">
        <v>51.13136233814442</v>
      </c>
      <c r="BW49">
        <v>52.243386506332286</v>
      </c>
      <c r="BX49">
        <v>53.696773721009841</v>
      </c>
      <c r="BY49">
        <v>56.1572684876596</v>
      </c>
      <c r="BZ49">
        <v>58.581527448000863</v>
      </c>
      <c r="CA49">
        <v>58.749630575867215</v>
      </c>
      <c r="CB49">
        <v>59.916424364279877</v>
      </c>
      <c r="CC49">
        <v>60.478154310331242</v>
      </c>
      <c r="CD49">
        <v>58.153332117411104</v>
      </c>
      <c r="CE49">
        <v>55.962819948301259</v>
      </c>
      <c r="CF49">
        <v>54.176862952737324</v>
      </c>
      <c r="CG49">
        <v>52.994690746749782</v>
      </c>
      <c r="CH49">
        <v>52.516779460961047</v>
      </c>
      <c r="CI49">
        <v>52.377094683071761</v>
      </c>
      <c r="CJ49">
        <v>53.012777756775378</v>
      </c>
      <c r="CK49">
        <v>54.090514749738297</v>
      </c>
      <c r="CL49">
        <v>56.07896336450942</v>
      </c>
      <c r="CM49">
        <v>58.305668774169547</v>
      </c>
      <c r="CN49">
        <v>61.108133386784857</v>
      </c>
      <c r="CO49">
        <v>63.783111536469875</v>
      </c>
      <c r="CP49">
        <v>66.709278772973704</v>
      </c>
      <c r="CQ49">
        <v>70.890486157992527</v>
      </c>
      <c r="CR49">
        <v>75.382160389406039</v>
      </c>
      <c r="CS49">
        <v>74.453945545246654</v>
      </c>
      <c r="CT49">
        <v>72.705585502396374</v>
      </c>
      <c r="CU49">
        <v>75.528019887861802</v>
      </c>
      <c r="CV49">
        <v>76.91825923045721</v>
      </c>
      <c r="CW49">
        <v>73.976559068260229</v>
      </c>
      <c r="CX49">
        <v>73.28897598779335</v>
      </c>
      <c r="CY49">
        <v>71.886718526264474</v>
      </c>
      <c r="CZ49">
        <v>71.564533919911085</v>
      </c>
      <c r="DA49">
        <v>70.576847546808111</v>
      </c>
      <c r="DB49">
        <v>70.389048557007726</v>
      </c>
      <c r="DC49">
        <v>69.126118009173808</v>
      </c>
      <c r="DD49">
        <v>68.985276195140401</v>
      </c>
      <c r="DE49">
        <v>67.892946461447508</v>
      </c>
      <c r="DF49">
        <v>67.258121213945799</v>
      </c>
      <c r="DG49">
        <v>66.707305781423401</v>
      </c>
      <c r="DH49">
        <v>66.723742060668997</v>
      </c>
      <c r="DI49">
        <v>65.917406529708998</v>
      </c>
      <c r="DJ49">
        <v>65.659878635625006</v>
      </c>
      <c r="DK49">
        <v>65.438073325366304</v>
      </c>
      <c r="DL49">
        <v>65.070377037220908</v>
      </c>
      <c r="DM49">
        <v>65.4429503642599</v>
      </c>
      <c r="DN49">
        <v>65.924784265197502</v>
      </c>
      <c r="DO49">
        <v>67.060964398833192</v>
      </c>
      <c r="DP49">
        <v>69.243978245483305</v>
      </c>
      <c r="DQ49">
        <v>74.228351351328399</v>
      </c>
      <c r="DR49">
        <v>78.1330866930398</v>
      </c>
      <c r="DS49">
        <v>77.725916454818105</v>
      </c>
      <c r="DT49">
        <v>75.167112120916997</v>
      </c>
      <c r="DU49">
        <v>74.6350213124052</v>
      </c>
      <c r="DV49">
        <v>73.561488742961998</v>
      </c>
      <c r="DW49">
        <v>72.363422719307806</v>
      </c>
      <c r="DX49">
        <v>72.479422525987005</v>
      </c>
      <c r="DY49">
        <v>73.1033603368125</v>
      </c>
    </row>
    <row r="50" spans="1:129" x14ac:dyDescent="0.25">
      <c r="A50" t="s">
        <v>2337</v>
      </c>
      <c r="B50">
        <v>390.43633573332897</v>
      </c>
      <c r="C50">
        <v>87.5196951198336</v>
      </c>
      <c r="D50">
        <v>99.024638843384693</v>
      </c>
      <c r="E50">
        <v>89.524261409573199</v>
      </c>
      <c r="F50">
        <v>87.515737889021096</v>
      </c>
      <c r="G50">
        <v>93.107776437946001</v>
      </c>
      <c r="H50">
        <v>95.523005562331605</v>
      </c>
      <c r="I50">
        <v>89.377583580409507</v>
      </c>
      <c r="J50">
        <v>89.335190871599806</v>
      </c>
      <c r="K50">
        <v>84.650659673987874</v>
      </c>
      <c r="L50">
        <v>83.966237436195257</v>
      </c>
      <c r="M50">
        <v>80.527552483191414</v>
      </c>
      <c r="N50">
        <v>80.381944967769641</v>
      </c>
      <c r="O50">
        <v>78.270522019083188</v>
      </c>
      <c r="P50">
        <v>77.939547176635628</v>
      </c>
      <c r="Q50">
        <v>78.174106953731254</v>
      </c>
      <c r="R50">
        <v>78.828307689518383</v>
      </c>
      <c r="S50">
        <v>79.594989909258629</v>
      </c>
      <c r="T50">
        <v>80.2825354914211</v>
      </c>
      <c r="U50">
        <v>80.358234215239605</v>
      </c>
      <c r="V50">
        <v>81.268736189407406</v>
      </c>
      <c r="W50">
        <v>81.2366441662775</v>
      </c>
      <c r="X50">
        <v>81.360824957008916</v>
      </c>
      <c r="Y50">
        <v>82.050102246036957</v>
      </c>
      <c r="Z50">
        <v>82.814809139156978</v>
      </c>
      <c r="AA50">
        <v>85.524973144312412</v>
      </c>
      <c r="AB50">
        <v>86.490777078011334</v>
      </c>
      <c r="AC50">
        <v>88.522691118514246</v>
      </c>
      <c r="AD50">
        <v>93.315830380671088</v>
      </c>
      <c r="AE50">
        <v>95.150266788759211</v>
      </c>
      <c r="AF50">
        <v>96.280815042284161</v>
      </c>
      <c r="AG50">
        <v>96.83502702805221</v>
      </c>
      <c r="AH50">
        <v>89.083116638708958</v>
      </c>
      <c r="AI50">
        <v>86.284223285247961</v>
      </c>
      <c r="AJ50">
        <v>81.058927517828749</v>
      </c>
      <c r="AK50">
        <v>77.338016975103443</v>
      </c>
      <c r="AL50">
        <v>73.984138873933944</v>
      </c>
      <c r="AM50">
        <v>70.529236500162838</v>
      </c>
      <c r="AN50">
        <v>66.84405860294595</v>
      </c>
      <c r="AO50">
        <v>63.60614289117256</v>
      </c>
      <c r="AP50">
        <v>63.093918648573769</v>
      </c>
      <c r="AQ50">
        <v>64.891146215925374</v>
      </c>
      <c r="AR50">
        <v>67.396266511361006</v>
      </c>
      <c r="AS50">
        <v>69.694739079482503</v>
      </c>
      <c r="AT50">
        <v>71.718380209714311</v>
      </c>
      <c r="AU50">
        <v>71.869761998230729</v>
      </c>
      <c r="AV50">
        <v>72.463607557458346</v>
      </c>
      <c r="AW50">
        <v>72.749674102239098</v>
      </c>
      <c r="AX50">
        <v>74.25864217406486</v>
      </c>
      <c r="AY50">
        <v>76.43975887364293</v>
      </c>
      <c r="AZ50">
        <v>75.456897666969382</v>
      </c>
      <c r="BA50">
        <v>72.141998567539346</v>
      </c>
      <c r="BB50">
        <v>68.728723735655109</v>
      </c>
      <c r="BC50">
        <v>65.083803809828382</v>
      </c>
      <c r="BD50">
        <v>62.323612295669641</v>
      </c>
      <c r="BE50">
        <v>59.613548245499707</v>
      </c>
      <c r="BF50">
        <v>57.709357664611019</v>
      </c>
      <c r="BG50">
        <v>56.099834182976295</v>
      </c>
      <c r="BH50">
        <v>54.797621764499169</v>
      </c>
      <c r="BI50">
        <v>53.522792006594742</v>
      </c>
      <c r="BJ50">
        <v>52.441045589487615</v>
      </c>
      <c r="BK50">
        <v>51.380601281476487</v>
      </c>
      <c r="BL50">
        <v>50.699673095652756</v>
      </c>
      <c r="BM50">
        <v>49.998512470590732</v>
      </c>
      <c r="BN50">
        <v>49.490455064262406</v>
      </c>
      <c r="BO50">
        <v>49.106151395068579</v>
      </c>
      <c r="BP50">
        <v>48.785264740917448</v>
      </c>
      <c r="BQ50">
        <v>48.381390508221024</v>
      </c>
      <c r="BR50">
        <v>48.231813914303082</v>
      </c>
      <c r="BS50">
        <v>48.345969306208545</v>
      </c>
      <c r="BT50">
        <v>48.281260948620599</v>
      </c>
      <c r="BU50">
        <v>47.981138719916459</v>
      </c>
      <c r="BV50">
        <v>47.580855626699318</v>
      </c>
      <c r="BW50">
        <v>47.387192068640573</v>
      </c>
      <c r="BX50">
        <v>47.536851636391539</v>
      </c>
      <c r="BY50">
        <v>48.117536031888299</v>
      </c>
      <c r="BZ50">
        <v>47.185829518586765</v>
      </c>
      <c r="CA50">
        <v>47.525303594297014</v>
      </c>
      <c r="CB50">
        <v>47.965057753151982</v>
      </c>
      <c r="CC50">
        <v>48.65444964398074</v>
      </c>
      <c r="CD50">
        <v>48.892052657612801</v>
      </c>
      <c r="CE50">
        <v>49.140094492154056</v>
      </c>
      <c r="CF50">
        <v>49.592732441868321</v>
      </c>
      <c r="CG50">
        <v>50.543237836087485</v>
      </c>
      <c r="CH50">
        <v>52.174681531790448</v>
      </c>
      <c r="CI50">
        <v>53.992193593518863</v>
      </c>
      <c r="CJ50">
        <v>56.50155276814678</v>
      </c>
      <c r="CK50">
        <v>58.030615665588101</v>
      </c>
      <c r="CL50">
        <v>58.06758883854652</v>
      </c>
      <c r="CM50">
        <v>58.420936455491344</v>
      </c>
      <c r="CN50">
        <v>58.134583300189263</v>
      </c>
      <c r="CO50">
        <v>57.181186720859472</v>
      </c>
      <c r="CP50">
        <v>56.793554287740605</v>
      </c>
      <c r="CQ50">
        <v>56.525545566652418</v>
      </c>
      <c r="CR50">
        <v>56.521560330112642</v>
      </c>
      <c r="CS50">
        <v>56.64705626555066</v>
      </c>
      <c r="CT50">
        <v>56.653581949218676</v>
      </c>
      <c r="CU50">
        <v>57.045284728861496</v>
      </c>
      <c r="CV50">
        <v>57.218208462287016</v>
      </c>
      <c r="CW50">
        <v>57.605103872409131</v>
      </c>
      <c r="CX50">
        <v>57.825014387646057</v>
      </c>
      <c r="CY50">
        <v>57.929461479301871</v>
      </c>
      <c r="CZ50">
        <v>58.107484450022895</v>
      </c>
      <c r="DA50">
        <v>58.087763529373511</v>
      </c>
      <c r="DB50">
        <v>58.329376322890226</v>
      </c>
      <c r="DC50">
        <v>58.709564597678899</v>
      </c>
      <c r="DD50">
        <v>59.225735034005503</v>
      </c>
      <c r="DE50">
        <v>59.590312137757699</v>
      </c>
      <c r="DF50">
        <v>60.145143314037497</v>
      </c>
      <c r="DG50">
        <v>60.565650432096902</v>
      </c>
      <c r="DH50">
        <v>61.329587479761599</v>
      </c>
      <c r="DI50">
        <v>61.663510179046902</v>
      </c>
      <c r="DJ50">
        <v>62.043546000938903</v>
      </c>
      <c r="DK50">
        <v>62.254058685174101</v>
      </c>
      <c r="DL50">
        <v>62.5669656733157</v>
      </c>
      <c r="DM50">
        <v>62.704083410345199</v>
      </c>
      <c r="DN50">
        <v>62.840027650116802</v>
      </c>
      <c r="DO50">
        <v>62.692423535174399</v>
      </c>
      <c r="DP50">
        <v>62.791543569172298</v>
      </c>
      <c r="DQ50">
        <v>63.73197940256</v>
      </c>
      <c r="DR50">
        <v>65.4936225438951</v>
      </c>
      <c r="DS50">
        <v>65.893503175425195</v>
      </c>
      <c r="DT50">
        <v>63.431912716941603</v>
      </c>
      <c r="DU50">
        <v>61.201283895712599</v>
      </c>
      <c r="DV50">
        <v>59.007423761336703</v>
      </c>
      <c r="DW50">
        <v>58.100353191922899</v>
      </c>
      <c r="DX50">
        <v>58.6374936876879</v>
      </c>
      <c r="DY50">
        <v>60.732385505044</v>
      </c>
    </row>
    <row r="51" spans="1:129" x14ac:dyDescent="0.25">
      <c r="A51" t="s">
        <v>2338</v>
      </c>
      <c r="B51">
        <v>386.03887619067598</v>
      </c>
      <c r="C51">
        <v>91.975189051313293</v>
      </c>
      <c r="D51">
        <v>90.019842578456107</v>
      </c>
      <c r="E51">
        <v>106.6164802872853</v>
      </c>
      <c r="F51">
        <v>98.570734916579895</v>
      </c>
      <c r="G51">
        <v>101.4618106358518</v>
      </c>
      <c r="H51">
        <v>92.377370580434004</v>
      </c>
      <c r="I51">
        <v>91.533196919726706</v>
      </c>
      <c r="J51">
        <v>87.109427887088401</v>
      </c>
      <c r="K51">
        <v>107.43725266133887</v>
      </c>
      <c r="L51">
        <v>92.993206864176457</v>
      </c>
      <c r="M51">
        <v>92.084715243106714</v>
      </c>
      <c r="N51">
        <v>93.095720947659842</v>
      </c>
      <c r="O51">
        <v>91.389452870879381</v>
      </c>
      <c r="P51">
        <v>84.514394042659632</v>
      </c>
      <c r="Q51">
        <v>81.113390523677751</v>
      </c>
      <c r="R51">
        <v>80.450062503895182</v>
      </c>
      <c r="S51">
        <v>79.920854159955425</v>
      </c>
      <c r="T51">
        <v>80.152219574466002</v>
      </c>
      <c r="U51">
        <v>80.0537903549763</v>
      </c>
      <c r="V51">
        <v>78.439661038326904</v>
      </c>
      <c r="W51">
        <v>78.166353477565195</v>
      </c>
      <c r="X51">
        <v>78.431992076829616</v>
      </c>
      <c r="Y51">
        <v>77.767366228229747</v>
      </c>
      <c r="Z51">
        <v>76.545227736526684</v>
      </c>
      <c r="AA51">
        <v>76.275858534132311</v>
      </c>
      <c r="AB51">
        <v>75.069582528054141</v>
      </c>
      <c r="AC51">
        <v>74.146332392579751</v>
      </c>
      <c r="AD51">
        <v>72.92488859141119</v>
      </c>
      <c r="AE51">
        <v>72.356991596337522</v>
      </c>
      <c r="AF51">
        <v>71.311316519887669</v>
      </c>
      <c r="AG51">
        <v>70.159400052453108</v>
      </c>
      <c r="AH51">
        <v>69.569596894235758</v>
      </c>
      <c r="AI51">
        <v>68.232210917476053</v>
      </c>
      <c r="AJ51">
        <v>66.790361437148547</v>
      </c>
      <c r="AK51">
        <v>65.432970881993043</v>
      </c>
      <c r="AL51">
        <v>64.109389399209135</v>
      </c>
      <c r="AM51">
        <v>62.772848533281035</v>
      </c>
      <c r="AN51">
        <v>62.028616374663642</v>
      </c>
      <c r="AO51">
        <v>62.020529491420355</v>
      </c>
      <c r="AP51">
        <v>60.972440251261169</v>
      </c>
      <c r="AQ51">
        <v>59.575982602586585</v>
      </c>
      <c r="AR51">
        <v>58.736987823248093</v>
      </c>
      <c r="AS51">
        <v>58.242278025848108</v>
      </c>
      <c r="AT51">
        <v>58.23517878559732</v>
      </c>
      <c r="AU51">
        <v>58.410498876394627</v>
      </c>
      <c r="AV51">
        <v>58.471837251600036</v>
      </c>
      <c r="AW51">
        <v>58.261013396106307</v>
      </c>
      <c r="AX51">
        <v>57.899144024948768</v>
      </c>
      <c r="AY51">
        <v>57.529658932540627</v>
      </c>
      <c r="AZ51">
        <v>56.840930210172587</v>
      </c>
      <c r="BA51">
        <v>56.24159733490346</v>
      </c>
      <c r="BB51">
        <v>55.517198795011417</v>
      </c>
      <c r="BC51">
        <v>55.116374594496278</v>
      </c>
      <c r="BD51">
        <v>54.793268711540442</v>
      </c>
      <c r="BE51">
        <v>54.696765455223506</v>
      </c>
      <c r="BF51">
        <v>54.538495651871621</v>
      </c>
      <c r="BG51">
        <v>54.108073103326795</v>
      </c>
      <c r="BH51">
        <v>53.466610578074174</v>
      </c>
      <c r="BI51">
        <v>52.729168946827841</v>
      </c>
      <c r="BJ51">
        <v>52.101346428662517</v>
      </c>
      <c r="BK51">
        <v>51.810560891996985</v>
      </c>
      <c r="BL51">
        <v>51.635891956679458</v>
      </c>
      <c r="BM51">
        <v>51.373029786438032</v>
      </c>
      <c r="BN51">
        <v>50.912179764409807</v>
      </c>
      <c r="BO51">
        <v>50.618625655932782</v>
      </c>
      <c r="BP51">
        <v>50.414186685512746</v>
      </c>
      <c r="BQ51">
        <v>50.502413965482823</v>
      </c>
      <c r="BR51">
        <v>51.24104007887108</v>
      </c>
      <c r="BS51">
        <v>52.518987333474044</v>
      </c>
      <c r="BT51">
        <v>52.967231407771393</v>
      </c>
      <c r="BU51">
        <v>53.485072397932058</v>
      </c>
      <c r="BV51">
        <v>54.007650670063519</v>
      </c>
      <c r="BW51">
        <v>54.89432400183918</v>
      </c>
      <c r="BX51">
        <v>56.729835928569038</v>
      </c>
      <c r="BY51">
        <v>58.233904001974402</v>
      </c>
      <c r="BZ51">
        <v>54.734099101452763</v>
      </c>
      <c r="CA51">
        <v>56.817678833512218</v>
      </c>
      <c r="CB51">
        <v>57.396706581989278</v>
      </c>
      <c r="CC51">
        <v>60.818138625204242</v>
      </c>
      <c r="CD51">
        <v>59.834096040515405</v>
      </c>
      <c r="CE51">
        <v>59.30901665444766</v>
      </c>
      <c r="CF51">
        <v>59.291475508942824</v>
      </c>
      <c r="CG51">
        <v>59.775658674616686</v>
      </c>
      <c r="CH51">
        <v>60.616380787957247</v>
      </c>
      <c r="CI51">
        <v>61.372426008254159</v>
      </c>
      <c r="CJ51">
        <v>66.18384803537748</v>
      </c>
      <c r="CK51">
        <v>79.372281669392706</v>
      </c>
      <c r="CL51">
        <v>77.79866314990683</v>
      </c>
      <c r="CM51">
        <v>77.464284245821247</v>
      </c>
      <c r="CN51">
        <v>68.558965391092158</v>
      </c>
      <c r="CO51">
        <v>66.587897491012583</v>
      </c>
      <c r="CP51">
        <v>65.8750632231678</v>
      </c>
      <c r="CQ51">
        <v>66.181346823438219</v>
      </c>
      <c r="CR51">
        <v>67.382409166093439</v>
      </c>
      <c r="CS51">
        <v>66.417032108018361</v>
      </c>
      <c r="CT51">
        <v>65.267504791234771</v>
      </c>
      <c r="CU51">
        <v>65.557529617088889</v>
      </c>
      <c r="CV51">
        <v>65.374745609632924</v>
      </c>
      <c r="CW51">
        <v>65.549463259211137</v>
      </c>
      <c r="CX51">
        <v>65.465250054712044</v>
      </c>
      <c r="CY51">
        <v>65.358820869036975</v>
      </c>
      <c r="CZ51">
        <v>65.24662704136999</v>
      </c>
      <c r="DA51">
        <v>65.240801789720919</v>
      </c>
      <c r="DB51">
        <v>65.25130862054634</v>
      </c>
      <c r="DC51">
        <v>65.306560792397107</v>
      </c>
      <c r="DD51">
        <v>65.506757935876607</v>
      </c>
      <c r="DE51">
        <v>65.004730050725797</v>
      </c>
      <c r="DF51">
        <v>65.147468090371206</v>
      </c>
      <c r="DG51">
        <v>65.143111067165393</v>
      </c>
      <c r="DH51">
        <v>65.918743653236191</v>
      </c>
      <c r="DI51">
        <v>66.905650435583993</v>
      </c>
      <c r="DJ51">
        <v>68.083048234151704</v>
      </c>
      <c r="DK51">
        <v>69.318528634838302</v>
      </c>
      <c r="DL51">
        <v>69.430280126955608</v>
      </c>
      <c r="DM51">
        <v>69.383938446002105</v>
      </c>
      <c r="DN51">
        <v>68.621310003233603</v>
      </c>
      <c r="DO51">
        <v>67.634175164616408</v>
      </c>
      <c r="DP51">
        <v>67.253966231032393</v>
      </c>
      <c r="DQ51">
        <v>67.140742631689506</v>
      </c>
      <c r="DR51">
        <v>69.710070121012393</v>
      </c>
      <c r="DS51">
        <v>76.4087284469514</v>
      </c>
      <c r="DT51">
        <v>72.7139403945514</v>
      </c>
      <c r="DU51">
        <v>66.707151872383491</v>
      </c>
      <c r="DV51">
        <v>62.601535110196203</v>
      </c>
      <c r="DW51">
        <v>60.0590258663741</v>
      </c>
      <c r="DX51">
        <v>58.450287211975997</v>
      </c>
      <c r="DY51">
        <v>57.669333640775903</v>
      </c>
    </row>
    <row r="52" spans="1:129" x14ac:dyDescent="0.25">
      <c r="A52" t="s">
        <v>2595</v>
      </c>
      <c r="B52">
        <v>380.82485105438201</v>
      </c>
      <c r="C52">
        <v>95.482621139440695</v>
      </c>
      <c r="D52">
        <v>99.715731728495996</v>
      </c>
      <c r="E52">
        <v>94.386921302477404</v>
      </c>
      <c r="F52">
        <v>80.492629926277004</v>
      </c>
      <c r="G52">
        <v>83.355729629517199</v>
      </c>
      <c r="H52">
        <v>83.927729657594</v>
      </c>
      <c r="I52">
        <v>86.884304678253798</v>
      </c>
      <c r="J52">
        <v>88.452338719816694</v>
      </c>
      <c r="K52">
        <v>84.686691153897982</v>
      </c>
      <c r="L52">
        <v>84.855016813518048</v>
      </c>
      <c r="M52">
        <v>83.125151320823804</v>
      </c>
      <c r="N52">
        <v>81.717949541312038</v>
      </c>
      <c r="O52">
        <v>80.466916573230989</v>
      </c>
      <c r="P52">
        <v>80.871127879454633</v>
      </c>
      <c r="Q52">
        <v>83.365497696898245</v>
      </c>
      <c r="R52">
        <v>82.200459792440981</v>
      </c>
      <c r="S52">
        <v>78.932266678548018</v>
      </c>
      <c r="T52">
        <v>80.214225166308296</v>
      </c>
      <c r="U52">
        <v>79.753370524227705</v>
      </c>
      <c r="V52">
        <v>81.763261453507099</v>
      </c>
      <c r="W52">
        <v>82.001130023697101</v>
      </c>
      <c r="X52">
        <v>82.423694352966109</v>
      </c>
      <c r="Y52">
        <v>84.417707498563246</v>
      </c>
      <c r="Z52">
        <v>87.492734244249277</v>
      </c>
      <c r="AA52">
        <v>88.36089833139981</v>
      </c>
      <c r="AB52">
        <v>91.298858494107236</v>
      </c>
      <c r="AC52">
        <v>94.260599865322746</v>
      </c>
      <c r="AD52">
        <v>96.162794237337891</v>
      </c>
      <c r="AE52">
        <v>94.229239906736424</v>
      </c>
      <c r="AF52">
        <v>90.22292422380356</v>
      </c>
      <c r="AG52">
        <v>88.044309889723209</v>
      </c>
      <c r="AH52">
        <v>87.12290251312676</v>
      </c>
      <c r="AI52">
        <v>87.054973852706055</v>
      </c>
      <c r="AJ52">
        <v>81.736939311339043</v>
      </c>
      <c r="AK52">
        <v>79.18297940400754</v>
      </c>
      <c r="AL52">
        <v>74.644323395226635</v>
      </c>
      <c r="AM52">
        <v>71.247634025939135</v>
      </c>
      <c r="AN52">
        <v>68.100115871257842</v>
      </c>
      <c r="AO52">
        <v>65.483933547205865</v>
      </c>
      <c r="AP52">
        <v>63.270296511586871</v>
      </c>
      <c r="AQ52">
        <v>60.791594096292584</v>
      </c>
      <c r="AR52">
        <v>59.917230988636398</v>
      </c>
      <c r="AS52">
        <v>60.049591699991211</v>
      </c>
      <c r="AT52">
        <v>60.997668620455421</v>
      </c>
      <c r="AU52">
        <v>63.145554030952937</v>
      </c>
      <c r="AV52">
        <v>66.491225014400342</v>
      </c>
      <c r="AW52">
        <v>71.562190387954004</v>
      </c>
      <c r="AX52">
        <v>80.208753327198366</v>
      </c>
      <c r="AY52">
        <v>80.321347362894826</v>
      </c>
      <c r="AZ52">
        <v>73.073384653741485</v>
      </c>
      <c r="BA52">
        <v>69.177844448707248</v>
      </c>
      <c r="BB52">
        <v>65.761571795099314</v>
      </c>
      <c r="BC52">
        <v>62.976661396789183</v>
      </c>
      <c r="BD52">
        <v>61.073780746441741</v>
      </c>
      <c r="BE52">
        <v>59.174427217113909</v>
      </c>
      <c r="BF52">
        <v>57.623586603649024</v>
      </c>
      <c r="BG52">
        <v>56.158975169436694</v>
      </c>
      <c r="BH52">
        <v>54.867439958079473</v>
      </c>
      <c r="BI52">
        <v>53.75132829557154</v>
      </c>
      <c r="BJ52">
        <v>52.668369565581614</v>
      </c>
      <c r="BK52">
        <v>51.843335762948989</v>
      </c>
      <c r="BL52">
        <v>51.121697498686757</v>
      </c>
      <c r="BM52">
        <v>50.093552485882732</v>
      </c>
      <c r="BN52">
        <v>49.116010975404109</v>
      </c>
      <c r="BO52">
        <v>48.289306798661379</v>
      </c>
      <c r="BP52">
        <v>47.771475776133549</v>
      </c>
      <c r="BQ52">
        <v>47.039673653481621</v>
      </c>
      <c r="BR52">
        <v>46.298120200745579</v>
      </c>
      <c r="BS52">
        <v>46.100278404572144</v>
      </c>
      <c r="BT52">
        <v>46.3888811910359</v>
      </c>
      <c r="BU52">
        <v>47.106291279954156</v>
      </c>
      <c r="BV52">
        <v>48.172521967053122</v>
      </c>
      <c r="BW52">
        <v>49.369786074789474</v>
      </c>
      <c r="BX52">
        <v>50.367794809876735</v>
      </c>
      <c r="BY52">
        <v>51.354671262446999</v>
      </c>
      <c r="BZ52">
        <v>52.045852279127963</v>
      </c>
      <c r="CA52">
        <v>52.246264837590914</v>
      </c>
      <c r="CB52">
        <v>51.54926998219468</v>
      </c>
      <c r="CC52">
        <v>52.328026471257239</v>
      </c>
      <c r="CD52">
        <v>53.299696265645103</v>
      </c>
      <c r="CE52">
        <v>54.391534393803859</v>
      </c>
      <c r="CF52">
        <v>55.771991345321624</v>
      </c>
      <c r="CG52">
        <v>57.72448696228728</v>
      </c>
      <c r="CH52">
        <v>59.897335912513142</v>
      </c>
      <c r="CI52">
        <v>60.674843201718161</v>
      </c>
      <c r="CJ52">
        <v>60.263630358413579</v>
      </c>
      <c r="CK52">
        <v>63.857218781560498</v>
      </c>
      <c r="CL52">
        <v>63.384767769571418</v>
      </c>
      <c r="CM52">
        <v>61.416221924566742</v>
      </c>
      <c r="CN52">
        <v>62.393571238751761</v>
      </c>
      <c r="CO52">
        <v>60.460309296972085</v>
      </c>
      <c r="CP52">
        <v>59.887676804816202</v>
      </c>
      <c r="CQ52">
        <v>59.782585755014523</v>
      </c>
      <c r="CR52">
        <v>58.736173109328739</v>
      </c>
      <c r="CS52">
        <v>57.426173372624461</v>
      </c>
      <c r="CT52">
        <v>56.147743325243177</v>
      </c>
      <c r="CU52">
        <v>55.567567445301798</v>
      </c>
      <c r="CV52">
        <v>55.417806732098214</v>
      </c>
      <c r="CW52">
        <v>55.506967725907835</v>
      </c>
      <c r="CX52">
        <v>55.600911052881855</v>
      </c>
      <c r="CY52">
        <v>56.038612310769075</v>
      </c>
      <c r="CZ52">
        <v>56.377251050392388</v>
      </c>
      <c r="DA52">
        <v>56.712402071556809</v>
      </c>
      <c r="DB52">
        <v>57.095887051598332</v>
      </c>
      <c r="DC52">
        <v>57.572375374023103</v>
      </c>
      <c r="DD52">
        <v>57.8991487486092</v>
      </c>
      <c r="DE52">
        <v>58.463008648684301</v>
      </c>
      <c r="DF52">
        <v>58.650316042098197</v>
      </c>
      <c r="DG52">
        <v>58.922778513935398</v>
      </c>
      <c r="DH52">
        <v>59.240059128799999</v>
      </c>
      <c r="DI52">
        <v>59.6213649464664</v>
      </c>
      <c r="DJ52">
        <v>59.723108116147003</v>
      </c>
      <c r="DK52">
        <v>59.925829733158203</v>
      </c>
      <c r="DL52">
        <v>59.812564156255497</v>
      </c>
      <c r="DM52">
        <v>59.974642938757</v>
      </c>
      <c r="DN52">
        <v>59.7899934642952</v>
      </c>
      <c r="DO52">
        <v>60.012926896563997</v>
      </c>
      <c r="DP52">
        <v>60.447151631204001</v>
      </c>
      <c r="DQ52">
        <v>61.833053851314801</v>
      </c>
      <c r="DR52">
        <v>64.600425535422204</v>
      </c>
      <c r="DS52">
        <v>67.224481694263602</v>
      </c>
      <c r="DT52">
        <v>68.186547614656206</v>
      </c>
      <c r="DU52">
        <v>67.170806181290203</v>
      </c>
      <c r="DV52">
        <v>65.604295557015604</v>
      </c>
      <c r="DW52">
        <v>64.905562629701393</v>
      </c>
      <c r="DX52">
        <v>65.627020378288393</v>
      </c>
      <c r="DY52">
        <v>67.898279419420106</v>
      </c>
    </row>
    <row r="53" spans="1:129" x14ac:dyDescent="0.25">
      <c r="A53" t="s">
        <v>2596</v>
      </c>
      <c r="B53">
        <v>398.825722083958</v>
      </c>
      <c r="C53">
        <v>91.922466322361402</v>
      </c>
      <c r="D53">
        <v>92.971426690119998</v>
      </c>
      <c r="E53">
        <v>86.839711804409305</v>
      </c>
      <c r="F53">
        <v>98.385343208031898</v>
      </c>
      <c r="G53">
        <v>91.093747733293299</v>
      </c>
      <c r="H53">
        <v>92.084574762594201</v>
      </c>
      <c r="I53">
        <v>96.803679166515394</v>
      </c>
      <c r="J53">
        <v>89.019060226062706</v>
      </c>
      <c r="K53">
        <v>86.411418858619683</v>
      </c>
      <c r="L53">
        <v>83.99391215368145</v>
      </c>
      <c r="M53">
        <v>85.343954757246806</v>
      </c>
      <c r="N53">
        <v>85.405886196546135</v>
      </c>
      <c r="O53">
        <v>90.258140203623384</v>
      </c>
      <c r="P53">
        <v>86.780454798253032</v>
      </c>
      <c r="Q53">
        <v>79.589085356665649</v>
      </c>
      <c r="R53">
        <v>78.518877540825386</v>
      </c>
      <c r="S53">
        <v>81.109968123930727</v>
      </c>
      <c r="T53">
        <v>82.343119295965295</v>
      </c>
      <c r="U53">
        <v>81.693221114520497</v>
      </c>
      <c r="V53">
        <v>81.801755921410205</v>
      </c>
      <c r="W53">
        <v>81.187354471922703</v>
      </c>
      <c r="X53">
        <v>81.566520839111021</v>
      </c>
      <c r="Y53">
        <v>80.301071664093456</v>
      </c>
      <c r="Z53">
        <v>80.051498264429469</v>
      </c>
      <c r="AA53">
        <v>78.72513548738101</v>
      </c>
      <c r="AB53">
        <v>77.136392345236629</v>
      </c>
      <c r="AC53">
        <v>75.90377881434604</v>
      </c>
      <c r="AD53">
        <v>74.519363336434083</v>
      </c>
      <c r="AE53">
        <v>73.950400577978314</v>
      </c>
      <c r="AF53">
        <v>72.810242159987766</v>
      </c>
      <c r="AG53">
        <v>71.570614267304109</v>
      </c>
      <c r="AH53">
        <v>70.168407719591457</v>
      </c>
      <c r="AI53">
        <v>69.167177966473957</v>
      </c>
      <c r="AJ53">
        <v>67.76619873938435</v>
      </c>
      <c r="AK53">
        <v>66.130692122078543</v>
      </c>
      <c r="AL53">
        <v>64.515422801420641</v>
      </c>
      <c r="AM53">
        <v>62.717253283135634</v>
      </c>
      <c r="AN53">
        <v>61.390656118009247</v>
      </c>
      <c r="AO53">
        <v>60.201495476270054</v>
      </c>
      <c r="AP53">
        <v>59.489280719894467</v>
      </c>
      <c r="AQ53">
        <v>58.450613718380779</v>
      </c>
      <c r="AR53">
        <v>56.556041472596199</v>
      </c>
      <c r="AS53">
        <v>55.182012072544211</v>
      </c>
      <c r="AT53">
        <v>54.856857166204421</v>
      </c>
      <c r="AU53">
        <v>55.478275157551636</v>
      </c>
      <c r="AV53">
        <v>56.381229777730439</v>
      </c>
      <c r="AW53">
        <v>57.273265745821007</v>
      </c>
      <c r="AX53">
        <v>57.972715338350866</v>
      </c>
      <c r="AY53">
        <v>58.367646989338226</v>
      </c>
      <c r="AZ53">
        <v>58.359242304617695</v>
      </c>
      <c r="BA53">
        <v>57.987591155318157</v>
      </c>
      <c r="BB53">
        <v>57.496781942889122</v>
      </c>
      <c r="BC53">
        <v>56.870311308049779</v>
      </c>
      <c r="BD53">
        <v>55.843683330412141</v>
      </c>
      <c r="BE53">
        <v>54.639530213739604</v>
      </c>
      <c r="BF53">
        <v>53.818597083570019</v>
      </c>
      <c r="BG53">
        <v>53.043011452119899</v>
      </c>
      <c r="BH53">
        <v>52.45099946733297</v>
      </c>
      <c r="BI53">
        <v>51.83920698459994</v>
      </c>
      <c r="BJ53">
        <v>51.487009462392415</v>
      </c>
      <c r="BK53">
        <v>51.311666352845286</v>
      </c>
      <c r="BL53">
        <v>51.163219326350458</v>
      </c>
      <c r="BM53">
        <v>50.920454716175328</v>
      </c>
      <c r="BN53">
        <v>50.830355853340407</v>
      </c>
      <c r="BO53">
        <v>51.148155842922783</v>
      </c>
      <c r="BP53">
        <v>52.04199839079655</v>
      </c>
      <c r="BQ53">
        <v>52.419373811814623</v>
      </c>
      <c r="BR53">
        <v>52.165857151892581</v>
      </c>
      <c r="BS53">
        <v>52.554598079386643</v>
      </c>
      <c r="BT53">
        <v>53.456958232102295</v>
      </c>
      <c r="BU53">
        <v>54.78818435572866</v>
      </c>
      <c r="BV53">
        <v>55.967657358699519</v>
      </c>
      <c r="BW53">
        <v>56.941114778756273</v>
      </c>
      <c r="BX53">
        <v>57.824172703028538</v>
      </c>
      <c r="BY53">
        <v>57.276924870045903</v>
      </c>
      <c r="BZ53">
        <v>56.320134593276165</v>
      </c>
      <c r="CA53">
        <v>55.244872847912816</v>
      </c>
      <c r="CB53">
        <v>56.824814074395881</v>
      </c>
      <c r="CC53">
        <v>57.749818545327344</v>
      </c>
      <c r="CD53">
        <v>58.580222343653205</v>
      </c>
      <c r="CE53">
        <v>59.085704122797559</v>
      </c>
      <c r="CF53">
        <v>60.027085153514619</v>
      </c>
      <c r="CG53">
        <v>61.564737985363983</v>
      </c>
      <c r="CH53">
        <v>63.855687329465546</v>
      </c>
      <c r="CI53">
        <v>65.390097583313462</v>
      </c>
      <c r="CJ53">
        <v>64.274343913113782</v>
      </c>
      <c r="CK53">
        <v>68.110097272391101</v>
      </c>
      <c r="CL53">
        <v>70.257785065283628</v>
      </c>
      <c r="CM53">
        <v>70.104756097440742</v>
      </c>
      <c r="CN53">
        <v>69.542496423709963</v>
      </c>
      <c r="CO53">
        <v>65.701164229649081</v>
      </c>
      <c r="CP53">
        <v>65.4393524058531</v>
      </c>
      <c r="CQ53">
        <v>66.258929476122717</v>
      </c>
      <c r="CR53">
        <v>67.517382730150331</v>
      </c>
      <c r="CS53">
        <v>69.847610861131358</v>
      </c>
      <c r="CT53">
        <v>72.450137559456081</v>
      </c>
      <c r="CU53">
        <v>74.685626425227994</v>
      </c>
      <c r="CV53">
        <v>69.74232956614162</v>
      </c>
      <c r="CW53">
        <v>66.666246082260727</v>
      </c>
      <c r="CX53">
        <v>65.431939282883548</v>
      </c>
      <c r="CY53">
        <v>64.987805089924777</v>
      </c>
      <c r="CZ53">
        <v>64.976225073630388</v>
      </c>
      <c r="DA53">
        <v>65.100663246911409</v>
      </c>
      <c r="DB53">
        <v>65.441413812567333</v>
      </c>
      <c r="DC53">
        <v>65.594490384614303</v>
      </c>
      <c r="DD53">
        <v>65.597323267269601</v>
      </c>
      <c r="DE53">
        <v>66.074808632265302</v>
      </c>
      <c r="DF53">
        <v>66.501378086051204</v>
      </c>
      <c r="DG53">
        <v>67.388485153197507</v>
      </c>
      <c r="DH53">
        <v>67.912116715757207</v>
      </c>
      <c r="DI53">
        <v>68.875078138117004</v>
      </c>
      <c r="DJ53">
        <v>69.733384290995403</v>
      </c>
      <c r="DK53">
        <v>70.809664397600102</v>
      </c>
      <c r="DL53">
        <v>72.157411643762998</v>
      </c>
      <c r="DM53">
        <v>72.274301402641399</v>
      </c>
      <c r="DN53">
        <v>73.562363161427996</v>
      </c>
      <c r="DO53">
        <v>74.7739857882857</v>
      </c>
      <c r="DP53">
        <v>73.871690053314495</v>
      </c>
      <c r="DQ53">
        <v>71.952710445521802</v>
      </c>
      <c r="DR53">
        <v>71.120467489264897</v>
      </c>
      <c r="DS53">
        <v>73.159250811844203</v>
      </c>
      <c r="DT53">
        <v>73.199072216628394</v>
      </c>
      <c r="DU53">
        <v>71.329028279173897</v>
      </c>
      <c r="DV53">
        <v>69.174436534889196</v>
      </c>
      <c r="DW53">
        <v>67.467675417933606</v>
      </c>
      <c r="DX53">
        <v>65.769251759182708</v>
      </c>
      <c r="DY53">
        <v>65.726710662833909</v>
      </c>
    </row>
    <row r="54" spans="1:129" x14ac:dyDescent="0.25">
      <c r="A54" t="s">
        <v>2853</v>
      </c>
      <c r="B54">
        <v>390.56369910895199</v>
      </c>
      <c r="C54">
        <v>106.0748368650648</v>
      </c>
      <c r="D54">
        <v>95.805873789686004</v>
      </c>
      <c r="E54">
        <v>87.081020952658605</v>
      </c>
      <c r="F54">
        <v>88.1047562295538</v>
      </c>
      <c r="G54">
        <v>89.819593570847204</v>
      </c>
      <c r="H54">
        <v>88.957934598292994</v>
      </c>
      <c r="I54">
        <v>87.902016269339398</v>
      </c>
      <c r="J54">
        <v>88.559258354965095</v>
      </c>
      <c r="K54">
        <v>85.794311753416082</v>
      </c>
      <c r="L54">
        <v>84.373549311869951</v>
      </c>
      <c r="M54">
        <v>80.364038608103314</v>
      </c>
      <c r="N54">
        <v>78.793529229480342</v>
      </c>
      <c r="O54">
        <v>78.05033765128718</v>
      </c>
      <c r="P54">
        <v>76.854215885220441</v>
      </c>
      <c r="Q54">
        <v>76.942387035359246</v>
      </c>
      <c r="R54">
        <v>77.274458754444879</v>
      </c>
      <c r="S54">
        <v>78.652798753420214</v>
      </c>
      <c r="T54">
        <v>79.148584543846297</v>
      </c>
      <c r="U54">
        <v>78.725798355114108</v>
      </c>
      <c r="V54">
        <v>79.12445225434999</v>
      </c>
      <c r="W54">
        <v>79.520044500109805</v>
      </c>
      <c r="X54">
        <v>80.196068796450916</v>
      </c>
      <c r="Y54">
        <v>79.936183820566555</v>
      </c>
      <c r="Z54">
        <v>79.275939502636675</v>
      </c>
      <c r="AA54">
        <v>79.990927140900311</v>
      </c>
      <c r="AB54">
        <v>78.997052091550728</v>
      </c>
      <c r="AC54">
        <v>80.221734107096239</v>
      </c>
      <c r="AD54">
        <v>80.669452574394086</v>
      </c>
      <c r="AE54">
        <v>79.794164824993217</v>
      </c>
      <c r="AF54">
        <v>80.053237113668857</v>
      </c>
      <c r="AG54">
        <v>80.104513820155304</v>
      </c>
      <c r="AH54">
        <v>79.461973401943354</v>
      </c>
      <c r="AI54">
        <v>77.474656569157759</v>
      </c>
      <c r="AJ54">
        <v>75.251982622075346</v>
      </c>
      <c r="AK54">
        <v>71.871636879364743</v>
      </c>
      <c r="AL54">
        <v>67.98276694773503</v>
      </c>
      <c r="AM54">
        <v>64.81543945437663</v>
      </c>
      <c r="AN54">
        <v>65.378126406083354</v>
      </c>
      <c r="AO54">
        <v>68.603439259634555</v>
      </c>
      <c r="AP54">
        <v>70.781495077959775</v>
      </c>
      <c r="AQ54">
        <v>72.550664807266784</v>
      </c>
      <c r="AR54">
        <v>73.872139865625698</v>
      </c>
      <c r="AS54">
        <v>74.743175909000698</v>
      </c>
      <c r="AT54">
        <v>75.288667812569713</v>
      </c>
      <c r="AU54">
        <v>75.24775382301182</v>
      </c>
      <c r="AV54">
        <v>74.685611093276947</v>
      </c>
      <c r="AW54">
        <v>72.832361392871803</v>
      </c>
      <c r="AX54">
        <v>71.273137285456968</v>
      </c>
      <c r="AY54">
        <v>69.591551201189631</v>
      </c>
      <c r="AZ54">
        <v>68.13311963465479</v>
      </c>
      <c r="BA54">
        <v>66.331949940601348</v>
      </c>
      <c r="BB54">
        <v>64.777134766026521</v>
      </c>
      <c r="BC54">
        <v>63.254696014478881</v>
      </c>
      <c r="BD54">
        <v>62.041116271270447</v>
      </c>
      <c r="BE54">
        <v>60.731134505824208</v>
      </c>
      <c r="BF54">
        <v>59.754427527826522</v>
      </c>
      <c r="BG54">
        <v>59.102285390855798</v>
      </c>
      <c r="BH54">
        <v>58.495956288522372</v>
      </c>
      <c r="BI54">
        <v>57.359241306974639</v>
      </c>
      <c r="BJ54">
        <v>56.941934120741017</v>
      </c>
      <c r="BK54">
        <v>56.475211182673291</v>
      </c>
      <c r="BL54">
        <v>56.070133708962459</v>
      </c>
      <c r="BM54">
        <v>55.705426973907329</v>
      </c>
      <c r="BN54">
        <v>55.339580311754808</v>
      </c>
      <c r="BO54">
        <v>54.897498389304879</v>
      </c>
      <c r="BP54">
        <v>54.433131663333349</v>
      </c>
      <c r="BQ54">
        <v>53.730843118661525</v>
      </c>
      <c r="BR54">
        <v>53.249913905767876</v>
      </c>
      <c r="BS54">
        <v>53.015178697236841</v>
      </c>
      <c r="BT54">
        <v>52.801936302766798</v>
      </c>
      <c r="BU54">
        <v>52.522898187913562</v>
      </c>
      <c r="BV54">
        <v>52.164794656317923</v>
      </c>
      <c r="BW54">
        <v>51.732147353109283</v>
      </c>
      <c r="BX54">
        <v>51.41204715179024</v>
      </c>
      <c r="BY54">
        <v>52.111792204751197</v>
      </c>
      <c r="BZ54">
        <v>51.602678498119161</v>
      </c>
      <c r="CA54">
        <v>50.920140188211818</v>
      </c>
      <c r="CB54">
        <v>52.606582506018079</v>
      </c>
      <c r="CC54">
        <v>52.702454539021943</v>
      </c>
      <c r="CD54">
        <v>53.378374083946106</v>
      </c>
      <c r="CE54">
        <v>52.649696734411862</v>
      </c>
      <c r="CF54">
        <v>52.563625661843723</v>
      </c>
      <c r="CG54">
        <v>53.160523591976983</v>
      </c>
      <c r="CH54">
        <v>54.013043155250145</v>
      </c>
      <c r="CI54">
        <v>54.66096109279426</v>
      </c>
      <c r="CJ54">
        <v>56.483990637880979</v>
      </c>
      <c r="CK54">
        <v>59.048132680884102</v>
      </c>
      <c r="CL54">
        <v>58.630707492389419</v>
      </c>
      <c r="CM54">
        <v>58.81851023348004</v>
      </c>
      <c r="CN54">
        <v>59.503784061796054</v>
      </c>
      <c r="CO54">
        <v>59.329420442807972</v>
      </c>
      <c r="CP54">
        <v>59.421608996579501</v>
      </c>
      <c r="CQ54">
        <v>59.653441879324319</v>
      </c>
      <c r="CR54">
        <v>59.638308029517241</v>
      </c>
      <c r="CS54">
        <v>59.815357565300857</v>
      </c>
      <c r="CT54">
        <v>59.751461116798978</v>
      </c>
      <c r="CU54">
        <v>60.100122538972094</v>
      </c>
      <c r="CV54">
        <v>60.254159869859613</v>
      </c>
      <c r="CW54">
        <v>60.575547972701237</v>
      </c>
      <c r="CX54">
        <v>60.943360917174957</v>
      </c>
      <c r="CY54">
        <v>61.189871148144974</v>
      </c>
      <c r="CZ54">
        <v>61.790638196056292</v>
      </c>
      <c r="DA54">
        <v>61.816621709720209</v>
      </c>
      <c r="DB54">
        <v>62.311486591242129</v>
      </c>
      <c r="DC54">
        <v>62.3940522340679</v>
      </c>
      <c r="DD54">
        <v>62.6991580407418</v>
      </c>
      <c r="DE54">
        <v>62.899230968264099</v>
      </c>
      <c r="DF54">
        <v>62.761312102936998</v>
      </c>
      <c r="DG54">
        <v>63.012119658739898</v>
      </c>
      <c r="DH54">
        <v>62.918435292355802</v>
      </c>
      <c r="DI54">
        <v>63.199942585113</v>
      </c>
      <c r="DJ54">
        <v>63.770786354119302</v>
      </c>
      <c r="DK54">
        <v>64.861297842216004</v>
      </c>
      <c r="DL54">
        <v>65.663857841615794</v>
      </c>
      <c r="DM54">
        <v>67.2859449171535</v>
      </c>
      <c r="DN54">
        <v>68.347217747304001</v>
      </c>
      <c r="DO54">
        <v>69.413625176015799</v>
      </c>
      <c r="DP54">
        <v>68.937723620365205</v>
      </c>
      <c r="DQ54">
        <v>68.623260641189006</v>
      </c>
      <c r="DR54">
        <v>67.357739287432793</v>
      </c>
      <c r="DS54">
        <v>65.590195471384305</v>
      </c>
      <c r="DT54">
        <v>65.255733040366295</v>
      </c>
      <c r="DU54">
        <v>66.419430235481997</v>
      </c>
      <c r="DV54">
        <v>67.364339467829097</v>
      </c>
      <c r="DW54">
        <v>66.068718050764801</v>
      </c>
      <c r="DX54">
        <v>65.473608854352108</v>
      </c>
      <c r="DY54">
        <v>65.120863806286394</v>
      </c>
    </row>
    <row r="55" spans="1:129" x14ac:dyDescent="0.25">
      <c r="A55" t="s">
        <v>2854</v>
      </c>
      <c r="B55">
        <v>394.28084645389703</v>
      </c>
      <c r="C55">
        <v>98.871342234354998</v>
      </c>
      <c r="D55">
        <v>105.6947525482927</v>
      </c>
      <c r="E55">
        <v>98.202572346697593</v>
      </c>
      <c r="F55">
        <v>92.430350099630701</v>
      </c>
      <c r="G55">
        <v>109.08481832750201</v>
      </c>
      <c r="H55">
        <v>108.14790950096391</v>
      </c>
      <c r="I55">
        <v>99.304558054881795</v>
      </c>
      <c r="J55">
        <v>92.604471692364299</v>
      </c>
      <c r="K55">
        <v>87.360723515298687</v>
      </c>
      <c r="L55">
        <v>96.161646761151559</v>
      </c>
      <c r="M55">
        <v>110.29400076690811</v>
      </c>
      <c r="N55">
        <v>98.370269810621636</v>
      </c>
      <c r="O55">
        <v>92.072684729192289</v>
      </c>
      <c r="P55">
        <v>85.85525763116604</v>
      </c>
      <c r="Q55">
        <v>83.769820601708844</v>
      </c>
      <c r="R55">
        <v>84.080399467010992</v>
      </c>
      <c r="S55">
        <v>81.695345404344422</v>
      </c>
      <c r="T55">
        <v>82.079602435030196</v>
      </c>
      <c r="U55">
        <v>81.495895812077293</v>
      </c>
      <c r="V55">
        <v>81.008391076614799</v>
      </c>
      <c r="W55">
        <v>79.982928099700501</v>
      </c>
      <c r="X55">
        <v>79.477167080960626</v>
      </c>
      <c r="Y55">
        <v>79.887241203146559</v>
      </c>
      <c r="Z55">
        <v>78.833627422831483</v>
      </c>
      <c r="AA55">
        <v>78.143486719833604</v>
      </c>
      <c r="AB55">
        <v>76.708501831768032</v>
      </c>
      <c r="AC55">
        <v>76.22882385024424</v>
      </c>
      <c r="AD55">
        <v>75.632826470204179</v>
      </c>
      <c r="AE55">
        <v>74.704971385204928</v>
      </c>
      <c r="AF55">
        <v>73.967795667766865</v>
      </c>
      <c r="AG55">
        <v>73.685204205039298</v>
      </c>
      <c r="AH55">
        <v>73.189621961166949</v>
      </c>
      <c r="AI55">
        <v>72.204638328205647</v>
      </c>
      <c r="AJ55">
        <v>71.381673084695151</v>
      </c>
      <c r="AK55">
        <v>70.320180304283738</v>
      </c>
      <c r="AL55">
        <v>69.578784436666638</v>
      </c>
      <c r="AM55">
        <v>70.555950958033435</v>
      </c>
      <c r="AN55">
        <v>69.173946395899648</v>
      </c>
      <c r="AO55">
        <v>67.390103783333558</v>
      </c>
      <c r="AP55">
        <v>65.84680464294027</v>
      </c>
      <c r="AQ55">
        <v>65.012745081476581</v>
      </c>
      <c r="AR55">
        <v>64.560342221757892</v>
      </c>
      <c r="AS55">
        <v>64.183346597289798</v>
      </c>
      <c r="AT55">
        <v>64.28874777915432</v>
      </c>
      <c r="AU55">
        <v>64.032516846907129</v>
      </c>
      <c r="AV55">
        <v>63.496618288383935</v>
      </c>
      <c r="AW55">
        <v>62.806541364338401</v>
      </c>
      <c r="AX55">
        <v>62.087225097014965</v>
      </c>
      <c r="AY55">
        <v>61.364019267163329</v>
      </c>
      <c r="AZ55">
        <v>60.405329182214288</v>
      </c>
      <c r="BA55">
        <v>59.452507664905951</v>
      </c>
      <c r="BB55">
        <v>59.066318358212818</v>
      </c>
      <c r="BC55">
        <v>58.453053834944882</v>
      </c>
      <c r="BD55">
        <v>57.840552573695142</v>
      </c>
      <c r="BE55">
        <v>57.008163207739607</v>
      </c>
      <c r="BF55">
        <v>56.610576872867021</v>
      </c>
      <c r="BG55">
        <v>56.570731372477596</v>
      </c>
      <c r="BH55">
        <v>55.812293197899869</v>
      </c>
      <c r="BI55">
        <v>55.455617393767241</v>
      </c>
      <c r="BJ55">
        <v>55.702626254922315</v>
      </c>
      <c r="BK55">
        <v>55.625084058445886</v>
      </c>
      <c r="BL55">
        <v>55.76862715745176</v>
      </c>
      <c r="BM55">
        <v>55.621884248149129</v>
      </c>
      <c r="BN55">
        <v>55.346072203363008</v>
      </c>
      <c r="BO55">
        <v>55.286079421935078</v>
      </c>
      <c r="BP55">
        <v>55.230414852076152</v>
      </c>
      <c r="BQ55">
        <v>55.134954450042223</v>
      </c>
      <c r="BR55">
        <v>55.012160020419977</v>
      </c>
      <c r="BS55">
        <v>55.121033086104639</v>
      </c>
      <c r="BT55">
        <v>55.754743184666793</v>
      </c>
      <c r="BU55">
        <v>55.473766124279756</v>
      </c>
      <c r="BV55">
        <v>55.51288222260672</v>
      </c>
      <c r="BW55">
        <v>55.683400527658577</v>
      </c>
      <c r="BX55">
        <v>56.494188974728637</v>
      </c>
      <c r="BY55">
        <v>59.450617697964098</v>
      </c>
      <c r="BZ55">
        <v>57.261505409978362</v>
      </c>
      <c r="CA55">
        <v>58.193099339660023</v>
      </c>
      <c r="CB55">
        <v>62.587376548971179</v>
      </c>
      <c r="CC55">
        <v>60.090102144480042</v>
      </c>
      <c r="CD55">
        <v>58.945454164654905</v>
      </c>
      <c r="CE55">
        <v>56.528076279986756</v>
      </c>
      <c r="CF55">
        <v>55.844840725510117</v>
      </c>
      <c r="CG55">
        <v>55.436414247764382</v>
      </c>
      <c r="CH55">
        <v>55.454204724548944</v>
      </c>
      <c r="CI55">
        <v>55.751810116324158</v>
      </c>
      <c r="CJ55">
        <v>59.304302131484079</v>
      </c>
      <c r="CK55">
        <v>63.515744578794397</v>
      </c>
      <c r="CL55">
        <v>60.519910701507115</v>
      </c>
      <c r="CM55">
        <v>61.645199132848134</v>
      </c>
      <c r="CN55">
        <v>65.280941311129254</v>
      </c>
      <c r="CO55">
        <v>63.698946497968578</v>
      </c>
      <c r="CP55">
        <v>64.054098770035196</v>
      </c>
      <c r="CQ55">
        <v>64.998421033747618</v>
      </c>
      <c r="CR55">
        <v>65.809319988749039</v>
      </c>
      <c r="CS55">
        <v>65.503399605923761</v>
      </c>
      <c r="CT55">
        <v>63.805432638515676</v>
      </c>
      <c r="CU55">
        <v>64.189778018599199</v>
      </c>
      <c r="CV55">
        <v>64.448426578752716</v>
      </c>
      <c r="CW55">
        <v>64.419178541717741</v>
      </c>
      <c r="CX55">
        <v>64.76943817914696</v>
      </c>
      <c r="CY55">
        <v>64.737016045477773</v>
      </c>
      <c r="CZ55">
        <v>64.9457073350694</v>
      </c>
      <c r="DA55">
        <v>64.782009167720418</v>
      </c>
      <c r="DB55">
        <v>64.809773679457635</v>
      </c>
      <c r="DC55">
        <v>64.640077982514697</v>
      </c>
      <c r="DD55">
        <v>64.724931088005007</v>
      </c>
      <c r="DE55">
        <v>64.360542873085393</v>
      </c>
      <c r="DF55">
        <v>63.877760538827701</v>
      </c>
      <c r="DG55">
        <v>63.495636069296999</v>
      </c>
      <c r="DH55">
        <v>63.318388830549701</v>
      </c>
      <c r="DI55">
        <v>63.0869402304088</v>
      </c>
      <c r="DJ55">
        <v>63.228169455894097</v>
      </c>
      <c r="DK55">
        <v>64.08413504617431</v>
      </c>
      <c r="DL55">
        <v>64.936180616584807</v>
      </c>
      <c r="DM55">
        <v>66.670613645284902</v>
      </c>
      <c r="DN55">
        <v>68.552635361106809</v>
      </c>
      <c r="DO55">
        <v>71.274950832160997</v>
      </c>
      <c r="DP55">
        <v>73.260883046789999</v>
      </c>
      <c r="DQ55">
        <v>75.815801064613595</v>
      </c>
      <c r="DR55">
        <v>77.257748011535696</v>
      </c>
      <c r="DS55">
        <v>75.983689022510404</v>
      </c>
      <c r="DT55">
        <v>72.528122371612596</v>
      </c>
      <c r="DU55">
        <v>72.717632279314898</v>
      </c>
      <c r="DV55">
        <v>73.313996080108694</v>
      </c>
      <c r="DW55">
        <v>72.589842878897599</v>
      </c>
      <c r="DX55">
        <v>71.532660262947999</v>
      </c>
      <c r="DY55">
        <v>70.402170785982094</v>
      </c>
    </row>
    <row r="56" spans="1:129" x14ac:dyDescent="0.25">
      <c r="A56" t="s">
        <v>3111</v>
      </c>
      <c r="B56">
        <v>389.16975433173099</v>
      </c>
      <c r="C56">
        <v>101.3301940942557</v>
      </c>
      <c r="D56">
        <v>100.0165498246506</v>
      </c>
      <c r="E56">
        <v>91.942018239785298</v>
      </c>
      <c r="F56">
        <v>89.988966703701195</v>
      </c>
      <c r="G56">
        <v>80.916534009275097</v>
      </c>
      <c r="H56">
        <v>83.640113465311501</v>
      </c>
      <c r="I56">
        <v>86.098721375915105</v>
      </c>
      <c r="J56">
        <v>84.284704958466193</v>
      </c>
      <c r="K56">
        <v>84.367189537070274</v>
      </c>
      <c r="L56">
        <v>81.880623909795347</v>
      </c>
      <c r="M56">
        <v>82.009026867293016</v>
      </c>
      <c r="N56">
        <v>80.450028185192835</v>
      </c>
      <c r="O56">
        <v>80.244116006063081</v>
      </c>
      <c r="P56">
        <v>77.558585439214127</v>
      </c>
      <c r="Q56">
        <v>76.507380560268643</v>
      </c>
      <c r="R56">
        <v>76.82297765888778</v>
      </c>
      <c r="S56">
        <v>78.154542737670624</v>
      </c>
      <c r="T56">
        <v>78.889968206070108</v>
      </c>
      <c r="U56">
        <v>79.882569269622508</v>
      </c>
      <c r="V56">
        <v>79.9432276148504</v>
      </c>
      <c r="W56">
        <v>80.776917821332205</v>
      </c>
      <c r="X56">
        <v>80.775864319467019</v>
      </c>
      <c r="Y56">
        <v>81.386729179779152</v>
      </c>
      <c r="Z56">
        <v>81.011262134712979</v>
      </c>
      <c r="AA56">
        <v>81.562613420056607</v>
      </c>
      <c r="AB56">
        <v>81.725559299662933</v>
      </c>
      <c r="AC56">
        <v>82.455863403738945</v>
      </c>
      <c r="AD56">
        <v>84.857753145258883</v>
      </c>
      <c r="AE56">
        <v>83.996171292795324</v>
      </c>
      <c r="AF56">
        <v>83.439321464463163</v>
      </c>
      <c r="AG56">
        <v>81.428480517064813</v>
      </c>
      <c r="AH56">
        <v>80.653201217242454</v>
      </c>
      <c r="AI56">
        <v>77.956130435795458</v>
      </c>
      <c r="AJ56">
        <v>75.597276874091548</v>
      </c>
      <c r="AK56">
        <v>72.232904758648644</v>
      </c>
      <c r="AL56">
        <v>68.563382237409144</v>
      </c>
      <c r="AM56">
        <v>65.501723207535932</v>
      </c>
      <c r="AN56">
        <v>64.350716752745754</v>
      </c>
      <c r="AO56">
        <v>65.677914070622464</v>
      </c>
      <c r="AP56">
        <v>66.481877619791575</v>
      </c>
      <c r="AQ56">
        <v>67.142094851675779</v>
      </c>
      <c r="AR56">
        <v>67.985918008534597</v>
      </c>
      <c r="AS56">
        <v>69.376413530642012</v>
      </c>
      <c r="AT56">
        <v>70.822918333574023</v>
      </c>
      <c r="AU56">
        <v>73.434159711125432</v>
      </c>
      <c r="AV56">
        <v>76.337407059836437</v>
      </c>
      <c r="AW56">
        <v>81.445448368316903</v>
      </c>
      <c r="AX56">
        <v>78.732047232077264</v>
      </c>
      <c r="AY56">
        <v>74.693756253747921</v>
      </c>
      <c r="AZ56">
        <v>71.525815043854493</v>
      </c>
      <c r="BA56">
        <v>68.915205576249846</v>
      </c>
      <c r="BB56">
        <v>66.406483222937609</v>
      </c>
      <c r="BC56">
        <v>64.220930000226573</v>
      </c>
      <c r="BD56">
        <v>63.058678423953246</v>
      </c>
      <c r="BE56">
        <v>61.455446257108306</v>
      </c>
      <c r="BF56">
        <v>60.400669648048023</v>
      </c>
      <c r="BG56">
        <v>59.3742014591244</v>
      </c>
      <c r="BH56">
        <v>58.730779753682874</v>
      </c>
      <c r="BI56">
        <v>57.928057252514236</v>
      </c>
      <c r="BJ56">
        <v>56.950295025742115</v>
      </c>
      <c r="BK56">
        <v>56.025897704285292</v>
      </c>
      <c r="BL56">
        <v>55.18200018170316</v>
      </c>
      <c r="BM56">
        <v>54.20903758602973</v>
      </c>
      <c r="BN56">
        <v>53.612166141667906</v>
      </c>
      <c r="BO56">
        <v>52.904255165491982</v>
      </c>
      <c r="BP56">
        <v>52.033441064944647</v>
      </c>
      <c r="BQ56">
        <v>51.096458090184626</v>
      </c>
      <c r="BR56">
        <v>50.225732663924177</v>
      </c>
      <c r="BS56">
        <v>49.753903204139242</v>
      </c>
      <c r="BT56">
        <v>49.684679084472798</v>
      </c>
      <c r="BU56">
        <v>49.902003735681156</v>
      </c>
      <c r="BV56">
        <v>50.509405713938122</v>
      </c>
      <c r="BW56">
        <v>51.258459178719178</v>
      </c>
      <c r="BX56">
        <v>52.009808253601335</v>
      </c>
      <c r="BY56">
        <v>53.408566828401398</v>
      </c>
      <c r="BZ56">
        <v>54.663990596689359</v>
      </c>
      <c r="CA56">
        <v>55.229266459646624</v>
      </c>
      <c r="CB56">
        <v>54.51372688314018</v>
      </c>
      <c r="CC56">
        <v>55.820337404436842</v>
      </c>
      <c r="CD56">
        <v>56.559169619965303</v>
      </c>
      <c r="CE56">
        <v>56.969304902101861</v>
      </c>
      <c r="CF56">
        <v>57.220591768241121</v>
      </c>
      <c r="CG56">
        <v>58.206236523060483</v>
      </c>
      <c r="CH56">
        <v>60.342869683348042</v>
      </c>
      <c r="CI56">
        <v>63.316140562726964</v>
      </c>
      <c r="CJ56">
        <v>65.767530855467484</v>
      </c>
      <c r="CK56">
        <v>66.552130430812596</v>
      </c>
      <c r="CL56">
        <v>67.773002731592925</v>
      </c>
      <c r="CM56">
        <v>65.203336125588734</v>
      </c>
      <c r="CN56">
        <v>64.130704185655659</v>
      </c>
      <c r="CO56">
        <v>63.716105844639273</v>
      </c>
      <c r="CP56">
        <v>62.752794692549898</v>
      </c>
      <c r="CQ56">
        <v>62.504322398871722</v>
      </c>
      <c r="CR56">
        <v>62.234812840254641</v>
      </c>
      <c r="CS56">
        <v>62.495016172395658</v>
      </c>
      <c r="CT56">
        <v>63.165804790027181</v>
      </c>
      <c r="CU56">
        <v>63.076433179031795</v>
      </c>
      <c r="CV56">
        <v>62.745001963814119</v>
      </c>
      <c r="CW56">
        <v>62.756984847617133</v>
      </c>
      <c r="CX56">
        <v>63.039823694401157</v>
      </c>
      <c r="CY56">
        <v>62.989840501046871</v>
      </c>
      <c r="CZ56">
        <v>62.977658282119492</v>
      </c>
      <c r="DA56">
        <v>63.189279095948208</v>
      </c>
      <c r="DB56">
        <v>63.486601221953833</v>
      </c>
      <c r="DC56">
        <v>63.707444034347397</v>
      </c>
      <c r="DD56">
        <v>63.714164447140099</v>
      </c>
      <c r="DE56">
        <v>63.828890600214102</v>
      </c>
      <c r="DF56">
        <v>63.985799227139402</v>
      </c>
      <c r="DG56">
        <v>64.261925756409397</v>
      </c>
      <c r="DH56">
        <v>64.694985709938493</v>
      </c>
      <c r="DI56">
        <v>65.345243825288691</v>
      </c>
      <c r="DJ56">
        <v>66.171056081162106</v>
      </c>
      <c r="DK56">
        <v>67.520810885437598</v>
      </c>
      <c r="DL56">
        <v>68.715839714116598</v>
      </c>
      <c r="DM56">
        <v>69.511423388575793</v>
      </c>
      <c r="DN56">
        <v>69.381417403407298</v>
      </c>
      <c r="DO56">
        <v>68.844781223187994</v>
      </c>
      <c r="DP56">
        <v>67.517157031902002</v>
      </c>
      <c r="DQ56">
        <v>66.25785025686119</v>
      </c>
      <c r="DR56">
        <v>64.681616744632493</v>
      </c>
      <c r="DS56">
        <v>64.551262293149307</v>
      </c>
      <c r="DT56">
        <v>64.918712853665795</v>
      </c>
      <c r="DU56">
        <v>66.164257965073901</v>
      </c>
      <c r="DV56">
        <v>66.172631141909591</v>
      </c>
      <c r="DW56">
        <v>66.912252481653397</v>
      </c>
      <c r="DX56">
        <v>67.298874324147192</v>
      </c>
      <c r="DY56">
        <v>68.124747283970009</v>
      </c>
    </row>
    <row r="57" spans="1:129" x14ac:dyDescent="0.25">
      <c r="A57" t="s">
        <v>3112</v>
      </c>
      <c r="B57">
        <v>401.02495369673102</v>
      </c>
      <c r="C57">
        <v>97.990374818325293</v>
      </c>
      <c r="D57">
        <v>93.359651057441496</v>
      </c>
      <c r="E57">
        <v>92.7174517589945</v>
      </c>
      <c r="F57">
        <v>93.428678071965393</v>
      </c>
      <c r="G57">
        <v>99.375548024787904</v>
      </c>
      <c r="H57">
        <v>102.9947656819612</v>
      </c>
      <c r="I57">
        <v>98.792765802925103</v>
      </c>
      <c r="J57">
        <v>99.8403569909119</v>
      </c>
      <c r="K57">
        <v>90.411156611074887</v>
      </c>
      <c r="L57">
        <v>90.028079215123256</v>
      </c>
      <c r="M57">
        <v>86.476992412372809</v>
      </c>
      <c r="N57">
        <v>87.920424643369643</v>
      </c>
      <c r="O57">
        <v>87.227637319790986</v>
      </c>
      <c r="P57">
        <v>89.438107387493631</v>
      </c>
      <c r="Q57">
        <v>90.624800085692755</v>
      </c>
      <c r="R57">
        <v>95.17735725311438</v>
      </c>
      <c r="S57">
        <v>88.804504972364029</v>
      </c>
      <c r="T57">
        <v>87.821813916582599</v>
      </c>
      <c r="U57">
        <v>84.578714810277603</v>
      </c>
      <c r="V57">
        <v>83.257490641570797</v>
      </c>
      <c r="W57">
        <v>83.048405065508106</v>
      </c>
      <c r="X57">
        <v>82.735770854899314</v>
      </c>
      <c r="Y57">
        <v>81.21610926334985</v>
      </c>
      <c r="Z57">
        <v>79.037175537133578</v>
      </c>
      <c r="AA57">
        <v>77.510053528968513</v>
      </c>
      <c r="AB57">
        <v>77.447243921791539</v>
      </c>
      <c r="AC57">
        <v>76.484020442501148</v>
      </c>
      <c r="AD57">
        <v>75.486225574320883</v>
      </c>
      <c r="AE57">
        <v>75.122370324953422</v>
      </c>
      <c r="AF57">
        <v>74.405723210058667</v>
      </c>
      <c r="AG57">
        <v>73.473136856266805</v>
      </c>
      <c r="AH57">
        <v>73.228309054697661</v>
      </c>
      <c r="AI57">
        <v>72.028420972353558</v>
      </c>
      <c r="AJ57">
        <v>71.174932778461752</v>
      </c>
      <c r="AK57">
        <v>70.644073272746638</v>
      </c>
      <c r="AL57">
        <v>70.451408004578539</v>
      </c>
      <c r="AM57">
        <v>71.797458880156839</v>
      </c>
      <c r="AN57">
        <v>72.148341167427844</v>
      </c>
      <c r="AO57">
        <v>69.399561468662057</v>
      </c>
      <c r="AP57">
        <v>67.175930782715369</v>
      </c>
      <c r="AQ57">
        <v>65.783749279571381</v>
      </c>
      <c r="AR57">
        <v>65.408223885168198</v>
      </c>
      <c r="AS57">
        <v>64.925658879037499</v>
      </c>
      <c r="AT57">
        <v>64.537630492400723</v>
      </c>
      <c r="AU57">
        <v>64.14609762912383</v>
      </c>
      <c r="AV57">
        <v>64.036566226747738</v>
      </c>
      <c r="AW57">
        <v>63.926930057274504</v>
      </c>
      <c r="AX57">
        <v>62.977908430788972</v>
      </c>
      <c r="AY57">
        <v>62.746467876520327</v>
      </c>
      <c r="AZ57">
        <v>61.728952328506594</v>
      </c>
      <c r="BA57">
        <v>60.769935560525056</v>
      </c>
      <c r="BB57">
        <v>59.911017544891422</v>
      </c>
      <c r="BC57">
        <v>59.101018994598981</v>
      </c>
      <c r="BD57">
        <v>58.077443346503841</v>
      </c>
      <c r="BE57">
        <v>57.036021004682809</v>
      </c>
      <c r="BF57">
        <v>56.281545085845224</v>
      </c>
      <c r="BG57">
        <v>55.938307726919795</v>
      </c>
      <c r="BH57">
        <v>55.566414915271672</v>
      </c>
      <c r="BI57">
        <v>55.056313408729537</v>
      </c>
      <c r="BJ57">
        <v>54.620538670772916</v>
      </c>
      <c r="BK57">
        <v>54.285531875549687</v>
      </c>
      <c r="BL57">
        <v>53.940003880672364</v>
      </c>
      <c r="BM57">
        <v>53.559932432491131</v>
      </c>
      <c r="BN57">
        <v>53.490637456766308</v>
      </c>
      <c r="BO57">
        <v>53.375464812072984</v>
      </c>
      <c r="BP57">
        <v>52.906172842667651</v>
      </c>
      <c r="BQ57">
        <v>52.323384438672321</v>
      </c>
      <c r="BR57">
        <v>51.736897036705678</v>
      </c>
      <c r="BS57">
        <v>51.504209560878039</v>
      </c>
      <c r="BT57">
        <v>51.604842669178595</v>
      </c>
      <c r="BU57">
        <v>52.142365245228461</v>
      </c>
      <c r="BV57">
        <v>53.14433033623272</v>
      </c>
      <c r="BW57">
        <v>54.364399068730179</v>
      </c>
      <c r="BX57">
        <v>55.947272295343538</v>
      </c>
      <c r="BY57">
        <v>59.020090252461102</v>
      </c>
      <c r="BZ57">
        <v>61.548690600421864</v>
      </c>
      <c r="CA57">
        <v>59.604612615414624</v>
      </c>
      <c r="CB57">
        <v>60.514298641770978</v>
      </c>
      <c r="CC57">
        <v>62.738709104107542</v>
      </c>
      <c r="CD57">
        <v>62.051112782564601</v>
      </c>
      <c r="CE57">
        <v>60.407530634978755</v>
      </c>
      <c r="CF57">
        <v>58.989798394382021</v>
      </c>
      <c r="CG57">
        <v>58.850260705835581</v>
      </c>
      <c r="CH57">
        <v>59.766782630798346</v>
      </c>
      <c r="CI57">
        <v>61.33754974524836</v>
      </c>
      <c r="CJ57">
        <v>63.043316377517478</v>
      </c>
      <c r="CK57">
        <v>65.314190442384202</v>
      </c>
      <c r="CL57">
        <v>71.537820066876122</v>
      </c>
      <c r="CM57">
        <v>77.285610203721149</v>
      </c>
      <c r="CN57">
        <v>76.048321424239361</v>
      </c>
      <c r="CO57">
        <v>72.940921326016777</v>
      </c>
      <c r="CP57">
        <v>71.024376814127706</v>
      </c>
      <c r="CQ57">
        <v>70.074074417475416</v>
      </c>
      <c r="CR57">
        <v>69.406467730734434</v>
      </c>
      <c r="CS57">
        <v>70.826767161259852</v>
      </c>
      <c r="CT57">
        <v>70.841682740696584</v>
      </c>
      <c r="CU57">
        <v>68.257744294944899</v>
      </c>
      <c r="CV57">
        <v>66.850281687799225</v>
      </c>
      <c r="CW57">
        <v>65.872729307945136</v>
      </c>
      <c r="CX57">
        <v>66.258491095892552</v>
      </c>
      <c r="CY57">
        <v>66.825150873254472</v>
      </c>
      <c r="CZ57">
        <v>67.264058117255288</v>
      </c>
      <c r="DA57">
        <v>66.683575014081711</v>
      </c>
      <c r="DB57">
        <v>66.365666527851928</v>
      </c>
      <c r="DC57">
        <v>66.094839818362601</v>
      </c>
      <c r="DD57">
        <v>65.883582889186897</v>
      </c>
      <c r="DE57">
        <v>65.408675810710903</v>
      </c>
      <c r="DF57">
        <v>65.118308501663506</v>
      </c>
      <c r="DG57">
        <v>64.596735371598896</v>
      </c>
      <c r="DH57">
        <v>64.484576549021909</v>
      </c>
      <c r="DI57">
        <v>64.865368536592101</v>
      </c>
      <c r="DJ57">
        <v>65.632768425058899</v>
      </c>
      <c r="DK57">
        <v>66.220108077906502</v>
      </c>
      <c r="DL57">
        <v>67.140392676502898</v>
      </c>
      <c r="DM57">
        <v>68.596594330983493</v>
      </c>
      <c r="DN57">
        <v>70.054649834825298</v>
      </c>
      <c r="DO57">
        <v>72.526090627055297</v>
      </c>
      <c r="DP57">
        <v>75.046271746136298</v>
      </c>
      <c r="DQ57">
        <v>79.156922079593897</v>
      </c>
      <c r="DR57">
        <v>80.064133523140399</v>
      </c>
      <c r="DS57">
        <v>78.025005401189304</v>
      </c>
      <c r="DT57">
        <v>76.009730122835606</v>
      </c>
      <c r="DU57">
        <v>74.278641419249595</v>
      </c>
      <c r="DV57">
        <v>75.531173814461795</v>
      </c>
      <c r="DW57">
        <v>77.897233655167</v>
      </c>
      <c r="DX57">
        <v>75.551020219879504</v>
      </c>
      <c r="DY57">
        <v>73.540007610720593</v>
      </c>
    </row>
  </sheetData>
  <dataConsolidate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18"/>
  <sheetViews>
    <sheetView workbookViewId="0">
      <selection activeCell="I25" sqref="I25"/>
    </sheetView>
  </sheetViews>
  <sheetFormatPr defaultRowHeight="15" x14ac:dyDescent="0.25"/>
  <cols>
    <col min="1" max="1" width="20" bestFit="1" customWidth="1"/>
    <col min="2" max="10" width="12" bestFit="1" customWidth="1"/>
    <col min="11" max="11" width="13.7109375" bestFit="1" customWidth="1"/>
    <col min="12" max="22" width="12" bestFit="1" customWidth="1"/>
    <col min="23" max="23" width="11" bestFit="1" customWidth="1"/>
    <col min="24" max="30" width="12" bestFit="1" customWidth="1"/>
    <col min="31" max="31" width="11" bestFit="1" customWidth="1"/>
    <col min="32" max="33" width="12" bestFit="1" customWidth="1"/>
    <col min="34" max="34" width="10" bestFit="1" customWidth="1"/>
    <col min="35" max="37" width="12" bestFit="1" customWidth="1"/>
    <col min="38" max="38" width="11" bestFit="1" customWidth="1"/>
    <col min="39" max="84" width="12" bestFit="1" customWidth="1"/>
    <col min="85" max="85" width="11" bestFit="1" customWidth="1"/>
    <col min="86" max="99" width="12" bestFit="1" customWidth="1"/>
    <col min="100" max="100" width="11" bestFit="1" customWidth="1"/>
    <col min="101" max="104" width="12" bestFit="1" customWidth="1"/>
    <col min="105" max="106" width="11" bestFit="1" customWidth="1"/>
    <col min="107" max="129" width="12" bestFit="1" customWidth="1"/>
  </cols>
  <sheetData>
    <row r="1" spans="1:18" ht="15.75" thickBot="1" x14ac:dyDescent="0.3"/>
    <row r="2" spans="1:18" ht="24" thickBot="1" x14ac:dyDescent="0.4">
      <c r="A2" s="14" t="s">
        <v>5</v>
      </c>
      <c r="B2" s="15">
        <v>0</v>
      </c>
    </row>
    <row r="4" spans="1:18" ht="15.75" thickBot="1" x14ac:dyDescent="0.3"/>
    <row r="5" spans="1:18" s="18" customFormat="1" ht="23.25" x14ac:dyDescent="0.35">
      <c r="A5" s="28" t="s">
        <v>1</v>
      </c>
      <c r="B5" s="16">
        <v>0</v>
      </c>
      <c r="C5" s="16">
        <f>IF(F16="palpatine",163,168)</f>
        <v>163</v>
      </c>
      <c r="D5" s="16">
        <f>IF(F16="palpatine",329,340)</f>
        <v>329</v>
      </c>
      <c r="E5" s="16">
        <f>IF(F16="palpatine",501,518)</f>
        <v>501</v>
      </c>
      <c r="F5" s="16">
        <f>IF(F16="palpatine",682,706)</f>
        <v>682</v>
      </c>
      <c r="G5" s="16">
        <f>IF(F16="palpatine",876,908)</f>
        <v>876</v>
      </c>
      <c r="H5" s="16">
        <f>IF(F16="palpatine",1090,1131)</f>
        <v>1090</v>
      </c>
      <c r="I5" s="16">
        <f>IF(F16="palpatine",1328,1383)</f>
        <v>1328</v>
      </c>
      <c r="J5" s="16">
        <f>IF(F16="palpatine",1600,1674)</f>
        <v>1600</v>
      </c>
      <c r="K5" s="16">
        <f>IF(F16="palpatine",1919,2019)</f>
        <v>1919</v>
      </c>
      <c r="L5" s="16">
        <f>IF(F16="palpatine",2301,2442)</f>
        <v>2301</v>
      </c>
      <c r="M5" s="16">
        <f>IF(F16="palpatine",2773,2981)</f>
        <v>2773</v>
      </c>
      <c r="N5" s="16">
        <f>IF(F16="palpatine",3370,3693)</f>
        <v>3370</v>
      </c>
      <c r="O5" s="16">
        <f>IF(F16="palpatine",4140,4672)</f>
        <v>4140</v>
      </c>
      <c r="P5" s="16">
        <f>IF(F16="palpatine",5136,6059)</f>
        <v>5136</v>
      </c>
      <c r="Q5" s="16">
        <f>IF(F16="palpatine",6383,7997)</f>
        <v>6383</v>
      </c>
      <c r="R5" s="17">
        <f>IF(F16="palpatine",7812,10417)</f>
        <v>7812</v>
      </c>
    </row>
    <row r="6" spans="1:18" s="18" customFormat="1" ht="24" thickBot="1" x14ac:dyDescent="0.4">
      <c r="A6" s="29"/>
      <c r="B6" s="19">
        <v>-9</v>
      </c>
      <c r="C6" s="19">
        <v>-9</v>
      </c>
      <c r="D6" s="19">
        <v>-9</v>
      </c>
      <c r="E6" s="19">
        <v>-9</v>
      </c>
      <c r="F6" s="19">
        <v>-8</v>
      </c>
      <c r="G6" s="19">
        <v>-7</v>
      </c>
      <c r="H6" s="19">
        <v>-10</v>
      </c>
      <c r="I6" s="19">
        <v>-10</v>
      </c>
      <c r="J6" s="19">
        <v>-8</v>
      </c>
      <c r="K6" s="19">
        <v>-7</v>
      </c>
      <c r="L6" s="19">
        <v>-4</v>
      </c>
      <c r="M6" s="19">
        <v>-5</v>
      </c>
      <c r="N6" s="19">
        <v>0</v>
      </c>
      <c r="O6" s="19">
        <v>2</v>
      </c>
      <c r="P6" s="19">
        <v>-1</v>
      </c>
      <c r="Q6" s="19">
        <v>0</v>
      </c>
      <c r="R6" s="20">
        <v>0</v>
      </c>
    </row>
    <row r="7" spans="1:18" s="18" customFormat="1" ht="24" thickBot="1" x14ac:dyDescent="0.4"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</row>
    <row r="8" spans="1:18" s="18" customFormat="1" ht="23.25" x14ac:dyDescent="0.35">
      <c r="A8" s="28" t="s">
        <v>0</v>
      </c>
      <c r="B8" s="22">
        <v>250</v>
      </c>
      <c r="C8" s="16">
        <v>500</v>
      </c>
      <c r="D8" s="16">
        <v>750</v>
      </c>
      <c r="E8" s="16">
        <v>1000</v>
      </c>
      <c r="F8" s="16">
        <v>1500</v>
      </c>
      <c r="G8" s="16">
        <v>2000</v>
      </c>
      <c r="H8" s="16">
        <v>3000</v>
      </c>
      <c r="I8" s="16">
        <v>4000</v>
      </c>
      <c r="J8" s="16">
        <v>6000</v>
      </c>
      <c r="K8" s="17" t="str">
        <f>IF(F16="palpatine","",8000)</f>
        <v/>
      </c>
      <c r="L8" s="21"/>
      <c r="M8" s="21"/>
      <c r="N8" s="21"/>
      <c r="O8" s="21"/>
      <c r="P8" s="21"/>
      <c r="Q8" s="21"/>
      <c r="R8" s="21"/>
    </row>
    <row r="9" spans="1:18" s="18" customFormat="1" ht="24" thickBot="1" x14ac:dyDescent="0.4">
      <c r="A9" s="29"/>
      <c r="B9" s="23">
        <v>50</v>
      </c>
      <c r="C9" s="19">
        <v>50</v>
      </c>
      <c r="D9" s="19">
        <v>50</v>
      </c>
      <c r="E9" s="19">
        <v>50</v>
      </c>
      <c r="F9" s="19">
        <v>50</v>
      </c>
      <c r="G9" s="19">
        <v>50</v>
      </c>
      <c r="H9" s="19">
        <v>47</v>
      </c>
      <c r="I9" s="19">
        <v>47</v>
      </c>
      <c r="J9" s="19">
        <v>47</v>
      </c>
      <c r="K9" s="20"/>
      <c r="L9" s="21"/>
      <c r="M9" s="21"/>
      <c r="N9" s="21"/>
      <c r="O9" s="21"/>
      <c r="P9" s="21"/>
      <c r="Q9" s="21"/>
      <c r="R9" s="21"/>
    </row>
    <row r="13" spans="1:18" ht="23.25" x14ac:dyDescent="0.35">
      <c r="F13" s="12" t="s">
        <v>13</v>
      </c>
      <c r="G13" s="11"/>
    </row>
    <row r="14" spans="1:18" ht="18.75" x14ac:dyDescent="0.3">
      <c r="G14" s="26" t="s">
        <v>14</v>
      </c>
    </row>
    <row r="15" spans="1:18" ht="19.5" thickBot="1" x14ac:dyDescent="0.35">
      <c r="G15" s="13"/>
    </row>
    <row r="16" spans="1:18" ht="21.75" thickBot="1" x14ac:dyDescent="0.4">
      <c r="F16" s="24" t="s">
        <v>6</v>
      </c>
      <c r="G16" s="25">
        <f>IF(F16="palpatine",Palpatine,Dooku)</f>
        <v>6</v>
      </c>
      <c r="H16" s="26" t="str">
        <f>IF(F16="palpatine","",calibration!C25)</f>
        <v/>
      </c>
    </row>
    <row r="17" spans="6:11" ht="19.5" thickBot="1" x14ac:dyDescent="0.35">
      <c r="G17" s="13"/>
    </row>
    <row r="18" spans="6:11" ht="15.75" thickBot="1" x14ac:dyDescent="0.3">
      <c r="F18" s="27" t="s">
        <v>10</v>
      </c>
      <c r="G18" s="30" t="s">
        <v>11</v>
      </c>
      <c r="H18" s="30"/>
      <c r="I18" s="30"/>
      <c r="J18" s="30"/>
      <c r="K18" s="31"/>
    </row>
  </sheetData>
  <dataConsolidate link="1"/>
  <mergeCells count="3">
    <mergeCell ref="A5:A6"/>
    <mergeCell ref="A8:A9"/>
    <mergeCell ref="G18:K18"/>
  </mergeCells>
  <dataValidations count="1">
    <dataValidation type="list" allowBlank="1" showInputMessage="1" showErrorMessage="1" sqref="F16">
      <formula1>首列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defaultSize="0" autoLine="0" r:id="rId5">
            <anchor moveWithCells="1">
              <from>
                <xdr:col>4</xdr:col>
                <xdr:colOff>781050</xdr:colOff>
                <xdr:row>20</xdr:row>
                <xdr:rowOff>180975</xdr:rowOff>
              </from>
              <to>
                <xdr:col>6</xdr:col>
                <xdr:colOff>628650</xdr:colOff>
                <xdr:row>23</xdr:row>
                <xdr:rowOff>123825</xdr:rowOff>
              </to>
            </anchor>
          </controlPr>
        </control>
      </mc:Choice>
      <mc:Fallback>
        <control shapeId="1028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6:DZ25"/>
  <sheetViews>
    <sheetView workbookViewId="0">
      <selection activeCell="C11" sqref="C11:DZ11"/>
    </sheetView>
  </sheetViews>
  <sheetFormatPr defaultRowHeight="15" x14ac:dyDescent="0.25"/>
  <cols>
    <col min="2" max="2" width="11.7109375" bestFit="1" customWidth="1"/>
  </cols>
  <sheetData>
    <row r="6" spans="2:130" ht="15.75" thickBot="1" x14ac:dyDescent="0.3"/>
    <row r="7" spans="2:130" x14ac:dyDescent="0.25">
      <c r="B7" s="9" t="s">
        <v>4</v>
      </c>
      <c r="C7" s="1">
        <f>import!B5</f>
        <v>0</v>
      </c>
      <c r="D7" s="1">
        <f>import!C5</f>
        <v>163</v>
      </c>
      <c r="E7" s="1">
        <f>import!D5</f>
        <v>329</v>
      </c>
      <c r="F7" s="1">
        <f>import!E5</f>
        <v>501</v>
      </c>
      <c r="G7" s="1">
        <f>import!F5</f>
        <v>682</v>
      </c>
      <c r="H7" s="1">
        <f>import!G5</f>
        <v>876</v>
      </c>
      <c r="I7" s="1">
        <f>import!H5</f>
        <v>1090</v>
      </c>
      <c r="J7" s="1">
        <f>import!I5</f>
        <v>1328</v>
      </c>
      <c r="K7" s="1">
        <f>import!J5</f>
        <v>1600</v>
      </c>
      <c r="L7" s="1">
        <f>import!K5</f>
        <v>1919</v>
      </c>
      <c r="M7" s="1">
        <f>import!L5</f>
        <v>2301</v>
      </c>
      <c r="N7" s="1">
        <f>import!M5</f>
        <v>2773</v>
      </c>
      <c r="O7" s="1">
        <f>import!N5</f>
        <v>3370</v>
      </c>
      <c r="P7" s="1">
        <f>import!O5</f>
        <v>4140</v>
      </c>
      <c r="Q7" s="1">
        <f>import!P5</f>
        <v>5136</v>
      </c>
      <c r="R7" s="1">
        <f>import!Q5</f>
        <v>6383</v>
      </c>
      <c r="S7" s="1">
        <f>import!R5</f>
        <v>7812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5"/>
    </row>
    <row r="8" spans="2:130" x14ac:dyDescent="0.25">
      <c r="B8" s="2" t="s">
        <v>1</v>
      </c>
      <c r="C8" s="3">
        <f>import!B6+import!$B$2-import!$G$16</f>
        <v>-15</v>
      </c>
      <c r="D8" s="3">
        <f>import!C6+import!$B$2-import!$G$16</f>
        <v>-15</v>
      </c>
      <c r="E8" s="3">
        <f>import!D6+import!$B$2-import!$G$16</f>
        <v>-15</v>
      </c>
      <c r="F8" s="3">
        <f>import!E6+import!$B$2-import!$G$16</f>
        <v>-15</v>
      </c>
      <c r="G8" s="3">
        <f>import!F6+import!$B$2-import!$G$16</f>
        <v>-14</v>
      </c>
      <c r="H8" s="3">
        <f>import!G6+import!$B$2-import!$G$16</f>
        <v>-13</v>
      </c>
      <c r="I8" s="3">
        <f>import!H6+import!$B$2-import!$G$16</f>
        <v>-16</v>
      </c>
      <c r="J8" s="3">
        <f>import!I6+import!$B$2-import!$G$16</f>
        <v>-16</v>
      </c>
      <c r="K8" s="3">
        <f>import!J6+import!$B$2-import!$G$16</f>
        <v>-14</v>
      </c>
      <c r="L8" s="3">
        <f>import!K6+import!$B$2-import!$G$16</f>
        <v>-13</v>
      </c>
      <c r="M8" s="3">
        <f>import!L6+import!$B$2-import!$G$16</f>
        <v>-10</v>
      </c>
      <c r="N8" s="3">
        <f>import!M6+import!$B$2-import!$G$16</f>
        <v>-11</v>
      </c>
      <c r="O8" s="3">
        <f>import!N6+import!$B$2-import!$G$16</f>
        <v>-6</v>
      </c>
      <c r="P8" s="3">
        <f>import!O6+import!$B$2-import!$G$16</f>
        <v>-4</v>
      </c>
      <c r="Q8" s="3">
        <f>import!P6+import!$B$2-import!$G$16</f>
        <v>-7</v>
      </c>
      <c r="R8" s="3">
        <f>import!Q6+import!$B$2-import!$G$16</f>
        <v>-6</v>
      </c>
      <c r="S8" s="3">
        <f>import!R6+import!$B$2-import!$G$16</f>
        <v>-6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4"/>
    </row>
    <row r="9" spans="2:130" x14ac:dyDescent="0.25">
      <c r="B9" s="2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4"/>
    </row>
    <row r="10" spans="2:130" x14ac:dyDescent="0.25">
      <c r="B10" s="2" t="s">
        <v>3</v>
      </c>
      <c r="C10" s="3">
        <v>1</v>
      </c>
      <c r="D10" s="3">
        <f>IF(import!$F$16="palpatine",calibration!D15,calibration!D14)</f>
        <v>62.03125</v>
      </c>
      <c r="E10" s="3">
        <f>IF(import!$F$16="palpatine",calibration!E15,calibration!E14)</f>
        <v>123.0625</v>
      </c>
      <c r="F10" s="3">
        <f>IF(import!$F$16="palpatine",calibration!F15,calibration!F14)</f>
        <v>184.09375</v>
      </c>
      <c r="G10" s="3">
        <f>IF(import!$F$16="palpatine",calibration!G15,calibration!G14)</f>
        <v>245.125</v>
      </c>
      <c r="H10" s="3">
        <f>IF(import!$F$16="palpatine",calibration!H15,calibration!H14)</f>
        <v>306.15625</v>
      </c>
      <c r="I10" s="3">
        <f>IF(import!$F$16="palpatine",calibration!I15,calibration!I14)</f>
        <v>367.1875</v>
      </c>
      <c r="J10" s="3">
        <f>IF(import!$F$16="palpatine",calibration!J15,calibration!J14)</f>
        <v>428.21875</v>
      </c>
      <c r="K10" s="3">
        <f>IF(import!$F$16="palpatine",calibration!K15,calibration!K14)</f>
        <v>489.25</v>
      </c>
      <c r="L10" s="3">
        <f>IF(import!$F$16="palpatine",calibration!L15,calibration!L14)</f>
        <v>550.28125</v>
      </c>
      <c r="M10" s="3">
        <f>IF(import!$F$16="palpatine",calibration!M15,calibration!M14)</f>
        <v>611.3125</v>
      </c>
      <c r="N10" s="3">
        <f>IF(import!$F$16="palpatine",calibration!N15,calibration!N14)</f>
        <v>672.34375</v>
      </c>
      <c r="O10" s="3">
        <f>IF(import!$F$16="palpatine",calibration!O15,calibration!O14)</f>
        <v>733.375</v>
      </c>
      <c r="P10" s="3">
        <f>IF(import!$F$16="palpatine",calibration!P15,calibration!P14)</f>
        <v>794.40625</v>
      </c>
      <c r="Q10" s="3">
        <f>IF(import!$F$16="palpatine",calibration!Q15,calibration!Q14)</f>
        <v>855.4375</v>
      </c>
      <c r="R10" s="3">
        <f>IF(import!$F$16="palpatine",calibration!R15,calibration!R14)</f>
        <v>916.46875</v>
      </c>
      <c r="S10" s="3">
        <f>IF(import!$F$16="palpatine",calibration!S15,calibration!S14)</f>
        <v>977.5</v>
      </c>
      <c r="T10" s="3">
        <f>IF(import!$F$16="palpatine",calibration!T15,calibration!T14)</f>
        <v>1038.53125</v>
      </c>
      <c r="U10" s="3">
        <f>IF(import!$F$16="palpatine",calibration!U15,calibration!U14)</f>
        <v>1099.5625</v>
      </c>
      <c r="V10" s="3">
        <f>IF(import!$F$16="palpatine",calibration!V15,calibration!V14)</f>
        <v>1160.59375</v>
      </c>
      <c r="W10" s="3">
        <f>IF(import!$F$16="palpatine",calibration!W15,calibration!W14)</f>
        <v>1221.625</v>
      </c>
      <c r="X10" s="3">
        <f>IF(import!$F$16="palpatine",calibration!X15,calibration!X14)</f>
        <v>1282.65625</v>
      </c>
      <c r="Y10" s="3">
        <f>IF(import!$F$16="palpatine",calibration!Y15,calibration!Y14)</f>
        <v>1343.6875</v>
      </c>
      <c r="Z10" s="3">
        <f>IF(import!$F$16="palpatine",calibration!Z15,calibration!Z14)</f>
        <v>1404.71875</v>
      </c>
      <c r="AA10" s="3">
        <f>IF(import!$F$16="palpatine",calibration!AA15,calibration!AA14)</f>
        <v>1465.75</v>
      </c>
      <c r="AB10" s="3">
        <f>IF(import!$F$16="palpatine",calibration!AB15,calibration!AB14)</f>
        <v>1526.78125</v>
      </c>
      <c r="AC10" s="3">
        <f>IF(import!$F$16="palpatine",calibration!AC15,calibration!AC14)</f>
        <v>1587.8125</v>
      </c>
      <c r="AD10" s="3">
        <f>IF(import!$F$16="palpatine",calibration!AD15,calibration!AD14)</f>
        <v>1648.84375</v>
      </c>
      <c r="AE10" s="3">
        <f>IF(import!$F$16="palpatine",calibration!AE15,calibration!AE14)</f>
        <v>1709.875</v>
      </c>
      <c r="AF10" s="3">
        <f>IF(import!$F$16="palpatine",calibration!AF15,calibration!AF14)</f>
        <v>1770.90625</v>
      </c>
      <c r="AG10" s="3">
        <f>IF(import!$F$16="palpatine",calibration!AG15,calibration!AG14)</f>
        <v>1831.9375</v>
      </c>
      <c r="AH10" s="3">
        <f>IF(import!$F$16="palpatine",calibration!AH15,calibration!AH14)</f>
        <v>1892.96875</v>
      </c>
      <c r="AI10" s="3">
        <f>IF(import!$F$16="palpatine",calibration!AI15,calibration!AI14)</f>
        <v>1954</v>
      </c>
      <c r="AJ10" s="3">
        <f>IF(import!$F$16="palpatine",calibration!AJ15,calibration!AJ14)</f>
        <v>2015.03125</v>
      </c>
      <c r="AK10" s="3">
        <f>IF(import!$F$16="palpatine",calibration!AK15,calibration!AK14)</f>
        <v>2076.0625</v>
      </c>
      <c r="AL10" s="3">
        <f>IF(import!$F$16="palpatine",calibration!AL15,calibration!AL14)</f>
        <v>2137.09375</v>
      </c>
      <c r="AM10" s="3">
        <f>IF(import!$F$16="palpatine",calibration!AM15,calibration!AM14)</f>
        <v>2198.125</v>
      </c>
      <c r="AN10" s="3">
        <f>IF(import!$F$16="palpatine",calibration!AN15,calibration!AN14)</f>
        <v>2259.15625</v>
      </c>
      <c r="AO10" s="3">
        <f>IF(import!$F$16="palpatine",calibration!AO15,calibration!AO14)</f>
        <v>2320.1875</v>
      </c>
      <c r="AP10" s="3">
        <f>IF(import!$F$16="palpatine",calibration!AP15,calibration!AP14)</f>
        <v>2381.21875</v>
      </c>
      <c r="AQ10" s="3">
        <f>IF(import!$F$16="palpatine",calibration!AQ15,calibration!AQ14)</f>
        <v>2442.25</v>
      </c>
      <c r="AR10" s="3">
        <f>IF(import!$F$16="palpatine",calibration!AR15,calibration!AR14)</f>
        <v>2503.28125</v>
      </c>
      <c r="AS10" s="3">
        <f>IF(import!$F$16="palpatine",calibration!AS15,calibration!AS14)</f>
        <v>2564.3125</v>
      </c>
      <c r="AT10" s="3">
        <f>IF(import!$F$16="palpatine",calibration!AT15,calibration!AT14)</f>
        <v>2625.34375</v>
      </c>
      <c r="AU10" s="3">
        <f>IF(import!$F$16="palpatine",calibration!AU15,calibration!AU14)</f>
        <v>2686.375</v>
      </c>
      <c r="AV10" s="3">
        <f>IF(import!$F$16="palpatine",calibration!AV15,calibration!AV14)</f>
        <v>2747.40625</v>
      </c>
      <c r="AW10" s="3">
        <f>IF(import!$F$16="palpatine",calibration!AW15,calibration!AW14)</f>
        <v>2808.4375</v>
      </c>
      <c r="AX10" s="3">
        <f>IF(import!$F$16="palpatine",calibration!AX15,calibration!AX14)</f>
        <v>2869.46875</v>
      </c>
      <c r="AY10" s="3">
        <f>IF(import!$F$16="palpatine",calibration!AY15,calibration!AY14)</f>
        <v>2930.5</v>
      </c>
      <c r="AZ10" s="3">
        <f>IF(import!$F$16="palpatine",calibration!AZ15,calibration!AZ14)</f>
        <v>2991.53125</v>
      </c>
      <c r="BA10" s="3">
        <f>IF(import!$F$16="palpatine",calibration!BA15,calibration!BA14)</f>
        <v>3052.5625</v>
      </c>
      <c r="BB10" s="3">
        <f>IF(import!$F$16="palpatine",calibration!BB15,calibration!BB14)</f>
        <v>3113.59375</v>
      </c>
      <c r="BC10" s="3">
        <f>IF(import!$F$16="palpatine",calibration!BC15,calibration!BC14)</f>
        <v>3174.625</v>
      </c>
      <c r="BD10" s="3">
        <f>IF(import!$F$16="palpatine",calibration!BD15,calibration!BD14)</f>
        <v>3235.65625</v>
      </c>
      <c r="BE10" s="3">
        <f>IF(import!$F$16="palpatine",calibration!BE15,calibration!BE14)</f>
        <v>3296.6875</v>
      </c>
      <c r="BF10" s="3">
        <f>IF(import!$F$16="palpatine",calibration!BF15,calibration!BF14)</f>
        <v>3357.71875</v>
      </c>
      <c r="BG10" s="3">
        <f>IF(import!$F$16="palpatine",calibration!BG15,calibration!BG14)</f>
        <v>3418.75</v>
      </c>
      <c r="BH10" s="3">
        <f>IF(import!$F$16="palpatine",calibration!BH15,calibration!BH14)</f>
        <v>3479.78125</v>
      </c>
      <c r="BI10" s="3">
        <f>IF(import!$F$16="palpatine",calibration!BI15,calibration!BI14)</f>
        <v>3540.8125</v>
      </c>
      <c r="BJ10" s="3">
        <f>IF(import!$F$16="palpatine",calibration!BJ15,calibration!BJ14)</f>
        <v>3601.84375</v>
      </c>
      <c r="BK10" s="3">
        <f>IF(import!$F$16="palpatine",calibration!BK15,calibration!BK14)</f>
        <v>3662.875</v>
      </c>
      <c r="BL10" s="3">
        <f>IF(import!$F$16="palpatine",calibration!BL15,calibration!BL14)</f>
        <v>3723.90625</v>
      </c>
      <c r="BM10" s="3">
        <f>IF(import!$F$16="palpatine",calibration!BM15,calibration!BM14)</f>
        <v>3784.9375</v>
      </c>
      <c r="BN10" s="3">
        <f>IF(import!$F$16="palpatine",calibration!BN15,calibration!BN14)</f>
        <v>3845.96875</v>
      </c>
      <c r="BO10" s="3">
        <f>IF(import!$F$16="palpatine",calibration!BO15,calibration!BO14)</f>
        <v>3907</v>
      </c>
      <c r="BP10" s="3">
        <f>IF(import!$F$16="palpatine",calibration!BP15,calibration!BP14)</f>
        <v>3968.03125</v>
      </c>
      <c r="BQ10" s="3">
        <f>IF(import!$F$16="palpatine",calibration!BQ15,calibration!BQ14)</f>
        <v>4029.0625</v>
      </c>
      <c r="BR10" s="3">
        <f>IF(import!$F$16="palpatine",calibration!BR15,calibration!BR14)</f>
        <v>4090.09375</v>
      </c>
      <c r="BS10" s="3">
        <f>IF(import!$F$16="palpatine",calibration!BS15,calibration!BS14)</f>
        <v>4151.125</v>
      </c>
      <c r="BT10" s="3">
        <f>IF(import!$F$16="palpatine",calibration!BT15,calibration!BT14)</f>
        <v>4212.15625</v>
      </c>
      <c r="BU10" s="3">
        <f>IF(import!$F$16="palpatine",calibration!BU15,calibration!BU14)</f>
        <v>4273.1875</v>
      </c>
      <c r="BV10" s="3">
        <f>IF(import!$F$16="palpatine",calibration!BV15,calibration!BV14)</f>
        <v>4334.21875</v>
      </c>
      <c r="BW10" s="3">
        <f>IF(import!$F$16="palpatine",calibration!BW15,calibration!BW14)</f>
        <v>4395.25</v>
      </c>
      <c r="BX10" s="3">
        <f>IF(import!$F$16="palpatine",calibration!BX15,calibration!BX14)</f>
        <v>4456.28125</v>
      </c>
      <c r="BY10" s="3">
        <f>IF(import!$F$16="palpatine",calibration!BY15,calibration!BY14)</f>
        <v>4517.3125</v>
      </c>
      <c r="BZ10" s="3">
        <f>IF(import!$F$16="palpatine",calibration!BZ15,calibration!BZ14)</f>
        <v>4578.34375</v>
      </c>
      <c r="CA10" s="3">
        <f>IF(import!$F$16="palpatine",calibration!CA15,calibration!CA14)</f>
        <v>4639.375</v>
      </c>
      <c r="CB10" s="3">
        <f>IF(import!$F$16="palpatine",calibration!CB15,calibration!CB14)</f>
        <v>4700.40625</v>
      </c>
      <c r="CC10" s="3">
        <f>IF(import!$F$16="palpatine",calibration!CC15,calibration!CC14)</f>
        <v>4761.4375</v>
      </c>
      <c r="CD10" s="3">
        <f>IF(import!$F$16="palpatine",calibration!CD15,calibration!CD14)</f>
        <v>4822.46875</v>
      </c>
      <c r="CE10" s="3">
        <f>IF(import!$F$16="palpatine",calibration!CE15,calibration!CE14)</f>
        <v>4883.5</v>
      </c>
      <c r="CF10" s="3">
        <f>IF(import!$F$16="palpatine",calibration!CF15,calibration!CF14)</f>
        <v>4944.53125</v>
      </c>
      <c r="CG10" s="3">
        <f>IF(import!$F$16="palpatine",calibration!CG15,calibration!CG14)</f>
        <v>5005.5625</v>
      </c>
      <c r="CH10" s="3">
        <f>IF(import!$F$16="palpatine",calibration!CH15,calibration!CH14)</f>
        <v>5066.59375</v>
      </c>
      <c r="CI10" s="3">
        <f>IF(import!$F$16="palpatine",calibration!CI15,calibration!CI14)</f>
        <v>5127.625</v>
      </c>
      <c r="CJ10" s="3">
        <f>IF(import!$F$16="palpatine",calibration!CJ15,calibration!CJ14)</f>
        <v>5188.65625</v>
      </c>
      <c r="CK10" s="3">
        <f>IF(import!$F$16="palpatine",calibration!CK15,calibration!CK14)</f>
        <v>5249.6875</v>
      </c>
      <c r="CL10" s="3">
        <f>IF(import!$F$16="palpatine",calibration!CL15,calibration!CL14)</f>
        <v>5310.71875</v>
      </c>
      <c r="CM10" s="3">
        <f>IF(import!$F$16="palpatine",calibration!CM15,calibration!CM14)</f>
        <v>5371.75</v>
      </c>
      <c r="CN10" s="3">
        <f>IF(import!$F$16="palpatine",calibration!CN15,calibration!CN14)</f>
        <v>5432.78125</v>
      </c>
      <c r="CO10" s="3">
        <f>IF(import!$F$16="palpatine",calibration!CO15,calibration!CO14)</f>
        <v>5493.8125</v>
      </c>
      <c r="CP10" s="3">
        <f>IF(import!$F$16="palpatine",calibration!CP15,calibration!CP14)</f>
        <v>5554.84375</v>
      </c>
      <c r="CQ10" s="3">
        <f>IF(import!$F$16="palpatine",calibration!CQ15,calibration!CQ14)</f>
        <v>5615.875</v>
      </c>
      <c r="CR10" s="3">
        <f>IF(import!$F$16="palpatine",calibration!CR15,calibration!CR14)</f>
        <v>5676.90625</v>
      </c>
      <c r="CS10" s="3">
        <f>IF(import!$F$16="palpatine",calibration!CS15,calibration!CS14)</f>
        <v>5737.9375</v>
      </c>
      <c r="CT10" s="3">
        <f>IF(import!$F$16="palpatine",calibration!CT15,calibration!CT14)</f>
        <v>5798.96875</v>
      </c>
      <c r="CU10" s="3">
        <f>IF(import!$F$16="palpatine",calibration!CU15,calibration!CU14)</f>
        <v>5860</v>
      </c>
      <c r="CV10" s="3">
        <f>IF(import!$F$16="palpatine",calibration!CV15,calibration!CV14)</f>
        <v>5921.03125</v>
      </c>
      <c r="CW10" s="3">
        <f>IF(import!$F$16="palpatine",calibration!CW15,calibration!CW14)</f>
        <v>5982.0625</v>
      </c>
      <c r="CX10" s="3">
        <f>IF(import!$F$16="palpatine",calibration!CX15,calibration!CX14)</f>
        <v>6043.09375</v>
      </c>
      <c r="CY10" s="3">
        <f>IF(import!$F$16="palpatine",calibration!CY15,calibration!CY14)</f>
        <v>6104.125</v>
      </c>
      <c r="CZ10" s="3">
        <f>IF(import!$F$16="palpatine",calibration!CZ15,calibration!CZ14)</f>
        <v>6165.15625</v>
      </c>
      <c r="DA10" s="3">
        <f>IF(import!$F$16="palpatine",calibration!DA15,calibration!DA14)</f>
        <v>6226.1875</v>
      </c>
      <c r="DB10" s="3">
        <f>IF(import!$F$16="palpatine",calibration!DB15,calibration!DB14)</f>
        <v>6287.21875</v>
      </c>
      <c r="DC10" s="3">
        <f>IF(import!$F$16="palpatine",calibration!DC15,calibration!DC14)</f>
        <v>6348.25</v>
      </c>
      <c r="DD10" s="3">
        <f>IF(import!$F$16="palpatine",calibration!DD15,calibration!DD14)</f>
        <v>6409.28125</v>
      </c>
      <c r="DE10" s="3">
        <f>IF(import!$F$16="palpatine",calibration!DE15,calibration!DE14)</f>
        <v>6470.3125</v>
      </c>
      <c r="DF10" s="3">
        <f>IF(import!$F$16="palpatine",calibration!DF15,calibration!DF14)</f>
        <v>6531.34375</v>
      </c>
      <c r="DG10" s="3">
        <f>IF(import!$F$16="palpatine",calibration!DG15,calibration!DG14)</f>
        <v>6592.375</v>
      </c>
      <c r="DH10" s="3">
        <f>IF(import!$F$16="palpatine",calibration!DH15,calibration!DH14)</f>
        <v>6653.40625</v>
      </c>
      <c r="DI10" s="3">
        <f>IF(import!$F$16="palpatine",calibration!DI15,calibration!DI14)</f>
        <v>6714.4375</v>
      </c>
      <c r="DJ10" s="3">
        <f>IF(import!$F$16="palpatine",calibration!DJ15,calibration!DJ14)</f>
        <v>6775.46875</v>
      </c>
      <c r="DK10" s="3">
        <f>IF(import!$F$16="palpatine",calibration!DK15,calibration!DK14)</f>
        <v>6836.5</v>
      </c>
      <c r="DL10" s="3">
        <f>IF(import!$F$16="palpatine",calibration!DL15,calibration!DL14)</f>
        <v>6897.53125</v>
      </c>
      <c r="DM10" s="3">
        <f>IF(import!$F$16="palpatine",calibration!DM15,calibration!DM14)</f>
        <v>6958.5625</v>
      </c>
      <c r="DN10" s="3">
        <f>IF(import!$F$16="palpatine",calibration!DN15,calibration!DN14)</f>
        <v>7019.59375</v>
      </c>
      <c r="DO10" s="3">
        <f>IF(import!$F$16="palpatine",calibration!DO15,calibration!DO14)</f>
        <v>7080.625</v>
      </c>
      <c r="DP10" s="3">
        <f>IF(import!$F$16="palpatine",calibration!DP15,calibration!DP14)</f>
        <v>7141.65625</v>
      </c>
      <c r="DQ10" s="3">
        <f>IF(import!$F$16="palpatine",calibration!DQ15,calibration!DQ14)</f>
        <v>7202.6875</v>
      </c>
      <c r="DR10" s="3">
        <f>IF(import!$F$16="palpatine",calibration!DR15,calibration!DR14)</f>
        <v>7263.71875</v>
      </c>
      <c r="DS10" s="3">
        <f>IF(import!$F$16="palpatine",calibration!DS15,calibration!DS14)</f>
        <v>7324.75</v>
      </c>
      <c r="DT10" s="3">
        <f>IF(import!$F$16="palpatine",calibration!DT15,calibration!DT14)</f>
        <v>7385.78125</v>
      </c>
      <c r="DU10" s="3">
        <f>IF(import!$F$16="palpatine",calibration!DU15,calibration!DU14)</f>
        <v>7446.8125</v>
      </c>
      <c r="DV10" s="3">
        <f>IF(import!$F$16="palpatine",calibration!DV15,calibration!DV14)</f>
        <v>7507.84375</v>
      </c>
      <c r="DW10" s="3">
        <f>IF(import!$F$16="palpatine",calibration!DW15,calibration!DW14)</f>
        <v>7568.875</v>
      </c>
      <c r="DX10" s="3">
        <f>IF(import!$F$16="palpatine",calibration!DX15,calibration!DX14)</f>
        <v>7629.90625</v>
      </c>
      <c r="DY10" s="3">
        <f>IF(import!$F$16="palpatine",calibration!DY15,calibration!DY14)</f>
        <v>7690.9375</v>
      </c>
      <c r="DZ10" s="4">
        <f>IF(import!$F$16="palpatine",calibration!DZ15,calibration!DZ14)</f>
        <v>7751.96875</v>
      </c>
    </row>
    <row r="11" spans="2:130" ht="15.75" thickBot="1" x14ac:dyDescent="0.3">
      <c r="B11" s="6" t="s">
        <v>2</v>
      </c>
      <c r="C11" s="7">
        <v>-15</v>
      </c>
      <c r="D11" s="7">
        <v>-15</v>
      </c>
      <c r="E11" s="7">
        <v>-15</v>
      </c>
      <c r="F11" s="7">
        <v>-15</v>
      </c>
      <c r="G11" s="7">
        <v>-15</v>
      </c>
      <c r="H11" s="7">
        <v>-15</v>
      </c>
      <c r="I11" s="7">
        <v>-15</v>
      </c>
      <c r="J11" s="7">
        <v>-15</v>
      </c>
      <c r="K11" s="7">
        <v>-15</v>
      </c>
      <c r="L11" s="7">
        <v>-14.727727900552486</v>
      </c>
      <c r="M11" s="7">
        <v>-14.390538674033149</v>
      </c>
      <c r="N11" s="7">
        <v>-14.053349447513812</v>
      </c>
      <c r="O11" s="7">
        <v>-13.735180412371134</v>
      </c>
      <c r="P11" s="7">
        <v>-13.420586340206185</v>
      </c>
      <c r="Q11" s="7">
        <v>-13.105992268041238</v>
      </c>
      <c r="R11" s="7">
        <v>-13.567318925233645</v>
      </c>
      <c r="S11" s="7">
        <v>-14.422897196261681</v>
      </c>
      <c r="T11" s="7">
        <v>-15.27847546728972</v>
      </c>
      <c r="U11" s="7">
        <v>-16</v>
      </c>
      <c r="V11" s="7">
        <v>-16</v>
      </c>
      <c r="W11" s="7">
        <v>-16</v>
      </c>
      <c r="X11" s="7">
        <v>-16</v>
      </c>
      <c r="Y11" s="7">
        <v>-15.884650735294118</v>
      </c>
      <c r="Z11" s="7">
        <v>-15.435891544117647</v>
      </c>
      <c r="AA11" s="7">
        <v>-14.987132352941176</v>
      </c>
      <c r="AB11" s="7">
        <v>-14.538373161764707</v>
      </c>
      <c r="AC11" s="7">
        <v>-14.089613970588236</v>
      </c>
      <c r="AD11" s="7">
        <v>-13.846884796238244</v>
      </c>
      <c r="AE11" s="7">
        <v>-13.655564263322884</v>
      </c>
      <c r="AF11" s="7">
        <v>-13.464243730407523</v>
      </c>
      <c r="AG11" s="7">
        <v>-13.272923197492164</v>
      </c>
      <c r="AH11" s="7">
        <v>-13.081602664576803</v>
      </c>
      <c r="AI11" s="7">
        <v>-12.725130890052355</v>
      </c>
      <c r="AJ11" s="7">
        <v>-12.245827879581151</v>
      </c>
      <c r="AK11" s="7">
        <v>-11.766524869109947</v>
      </c>
      <c r="AL11" s="7">
        <v>-11.287221858638743</v>
      </c>
      <c r="AM11" s="7">
        <v>-10.807918848167539</v>
      </c>
      <c r="AN11" s="7">
        <v>-10.328615837696335</v>
      </c>
      <c r="AO11" s="7">
        <v>-10.040651483050848</v>
      </c>
      <c r="AP11" s="7">
        <v>-10.169954978813559</v>
      </c>
      <c r="AQ11" s="7">
        <v>-10.299258474576272</v>
      </c>
      <c r="AR11" s="7">
        <v>-10.428561970338983</v>
      </c>
      <c r="AS11" s="7">
        <v>-10.557865466101696</v>
      </c>
      <c r="AT11" s="7">
        <v>-10.687168961864407</v>
      </c>
      <c r="AU11" s="7">
        <v>-10.816472457627119</v>
      </c>
      <c r="AV11" s="7">
        <v>-10.94577595338983</v>
      </c>
      <c r="AW11" s="7">
        <v>-10.703203517587939</v>
      </c>
      <c r="AX11" s="7">
        <v>-10.192054020100503</v>
      </c>
      <c r="AY11" s="7">
        <v>-9.6809045226130657</v>
      </c>
      <c r="AZ11" s="7">
        <v>-9.1697550251256281</v>
      </c>
      <c r="BA11" s="7">
        <v>-8.6586055276381906</v>
      </c>
      <c r="BB11" s="7">
        <v>-8.147456030150753</v>
      </c>
      <c r="BC11" s="7">
        <v>-7.6363065326633164</v>
      </c>
      <c r="BD11" s="7">
        <v>-7.1251570351758797</v>
      </c>
      <c r="BE11" s="7">
        <v>-6.6140075376884422</v>
      </c>
      <c r="BF11" s="7">
        <v>-6.1028580402010046</v>
      </c>
      <c r="BG11" s="7">
        <v>-5.8733766233766236</v>
      </c>
      <c r="BH11" s="7">
        <v>-5.7148538961038957</v>
      </c>
      <c r="BI11" s="7">
        <v>-5.5563311688311687</v>
      </c>
      <c r="BJ11" s="7">
        <v>-5.3978084415584417</v>
      </c>
      <c r="BK11" s="7">
        <v>-5.2392857142857139</v>
      </c>
      <c r="BL11" s="7">
        <v>-5.0807629870129869</v>
      </c>
      <c r="BM11" s="7">
        <v>-4.9222402597402599</v>
      </c>
      <c r="BN11" s="7">
        <v>-4.763717532467532</v>
      </c>
      <c r="BO11" s="7">
        <v>-4.6051948051948051</v>
      </c>
      <c r="BP11" s="7">
        <v>-4.4466720779220781</v>
      </c>
      <c r="BQ11" s="7">
        <v>-4.2881493506493502</v>
      </c>
      <c r="BR11" s="7">
        <v>-4.1296266233766232</v>
      </c>
      <c r="BS11" s="7">
        <v>-4.0335090361445785</v>
      </c>
      <c r="BT11" s="7">
        <v>-4.2173381024096388</v>
      </c>
      <c r="BU11" s="7">
        <v>-4.4011671686746991</v>
      </c>
      <c r="BV11" s="7">
        <v>-4.5849962349397586</v>
      </c>
      <c r="BW11" s="7">
        <v>-4.768825301204819</v>
      </c>
      <c r="BX11" s="7">
        <v>-4.9526543674698793</v>
      </c>
      <c r="BY11" s="7">
        <v>-5.1364834337349397</v>
      </c>
      <c r="BZ11" s="7">
        <v>-5.3203125</v>
      </c>
      <c r="CA11" s="7">
        <v>-5.5041415662650603</v>
      </c>
      <c r="CB11" s="7">
        <v>-5.6879706325301207</v>
      </c>
      <c r="CC11" s="7">
        <v>-5.871799698795181</v>
      </c>
      <c r="CD11" s="7">
        <v>-6.0556287650602414</v>
      </c>
      <c r="CE11" s="7">
        <v>-6.2394578313253009</v>
      </c>
      <c r="CF11" s="7">
        <v>-6.4232868975903612</v>
      </c>
      <c r="CG11" s="7">
        <v>-6.6071159638554215</v>
      </c>
      <c r="CH11" s="7">
        <v>-6.7909450301204819</v>
      </c>
      <c r="CI11" s="7">
        <v>-6.9747740963855422</v>
      </c>
      <c r="CJ11" s="7">
        <v>-6.9577736567762631</v>
      </c>
      <c r="CK11" s="7">
        <v>-6.9088311948676822</v>
      </c>
      <c r="CL11" s="7">
        <v>-6.8598887329591021</v>
      </c>
      <c r="CM11" s="7">
        <v>-6.8109462710505211</v>
      </c>
      <c r="CN11" s="7">
        <v>-6.762003809141941</v>
      </c>
      <c r="CO11" s="7">
        <v>-6.71306134723336</v>
      </c>
      <c r="CP11" s="7">
        <v>-6.664118885324779</v>
      </c>
      <c r="CQ11" s="7">
        <v>-6.6151764234161989</v>
      </c>
      <c r="CR11" s="7">
        <v>-6.566233961507618</v>
      </c>
      <c r="CS11" s="7">
        <v>-6.5172914995990379</v>
      </c>
      <c r="CT11" s="7">
        <v>-6.4683490376904569</v>
      </c>
      <c r="CU11" s="7">
        <v>-6.4194065757818768</v>
      </c>
      <c r="CV11" s="7">
        <v>-6.3704641138732958</v>
      </c>
      <c r="CW11" s="7">
        <v>-6.3215216519647157</v>
      </c>
      <c r="CX11" s="7">
        <v>-6.2725791900561347</v>
      </c>
      <c r="CY11" s="7">
        <v>-6.2236367281475538</v>
      </c>
      <c r="CZ11" s="7">
        <v>-6.1746942662389737</v>
      </c>
      <c r="DA11" s="7">
        <v>-6.1257518043303927</v>
      </c>
      <c r="DB11" s="7">
        <v>-6.0768093424218126</v>
      </c>
      <c r="DC11" s="7">
        <v>-6.0278668805132316</v>
      </c>
      <c r="DD11" s="7">
        <v>-6</v>
      </c>
      <c r="DE11" s="7">
        <v>-6</v>
      </c>
      <c r="DF11" s="7">
        <v>-6</v>
      </c>
      <c r="DG11" s="7">
        <v>-6</v>
      </c>
      <c r="DH11" s="7">
        <v>-6</v>
      </c>
      <c r="DI11" s="7">
        <v>-6</v>
      </c>
      <c r="DJ11" s="7">
        <v>-6</v>
      </c>
      <c r="DK11" s="7">
        <v>-6</v>
      </c>
      <c r="DL11" s="7">
        <v>-6</v>
      </c>
      <c r="DM11" s="7">
        <v>-6</v>
      </c>
      <c r="DN11" s="7">
        <v>-6</v>
      </c>
      <c r="DO11" s="7">
        <v>-6</v>
      </c>
      <c r="DP11" s="7">
        <v>-6</v>
      </c>
      <c r="DQ11" s="7">
        <v>-6</v>
      </c>
      <c r="DR11" s="7">
        <v>-6</v>
      </c>
      <c r="DS11" s="7">
        <v>-6</v>
      </c>
      <c r="DT11" s="7">
        <v>-6</v>
      </c>
      <c r="DU11" s="7">
        <v>-6</v>
      </c>
      <c r="DV11" s="7">
        <v>-6</v>
      </c>
      <c r="DW11" s="7">
        <v>-6</v>
      </c>
      <c r="DX11" s="7">
        <v>-6</v>
      </c>
      <c r="DY11" s="7">
        <v>-6</v>
      </c>
      <c r="DZ11" s="8">
        <v>-6</v>
      </c>
    </row>
    <row r="14" spans="2:130" x14ac:dyDescent="0.25">
      <c r="B14" s="10" t="s">
        <v>9</v>
      </c>
      <c r="C14">
        <v>1</v>
      </c>
      <c r="D14">
        <v>82.3828125</v>
      </c>
      <c r="E14">
        <v>163.765625</v>
      </c>
      <c r="F14">
        <v>245.1484375</v>
      </c>
      <c r="G14">
        <v>326.53125</v>
      </c>
      <c r="H14">
        <v>407.9140625</v>
      </c>
      <c r="I14">
        <v>489.296875</v>
      </c>
      <c r="J14">
        <v>570.6796875</v>
      </c>
      <c r="K14">
        <v>652.0625</v>
      </c>
      <c r="L14">
        <v>733.4453125</v>
      </c>
      <c r="M14">
        <v>814.828125</v>
      </c>
      <c r="N14">
        <v>896.2109375</v>
      </c>
      <c r="O14">
        <v>977.59375</v>
      </c>
      <c r="P14">
        <v>1058.9765625</v>
      </c>
      <c r="Q14">
        <v>1140.359375</v>
      </c>
      <c r="R14">
        <v>1221.7421875</v>
      </c>
      <c r="S14">
        <v>1303.125</v>
      </c>
      <c r="T14">
        <v>1384.5078125</v>
      </c>
      <c r="U14">
        <v>1465.890625</v>
      </c>
      <c r="V14">
        <v>1547.2734375</v>
      </c>
      <c r="W14">
        <v>1628.65625</v>
      </c>
      <c r="X14">
        <v>1710.0390625</v>
      </c>
      <c r="Y14">
        <v>1791.421875</v>
      </c>
      <c r="Z14">
        <v>1872.8046875</v>
      </c>
      <c r="AA14">
        <v>1954.1875</v>
      </c>
      <c r="AB14">
        <v>2035.5703125</v>
      </c>
      <c r="AC14">
        <v>2116.953125</v>
      </c>
      <c r="AD14">
        <v>2198.3359375</v>
      </c>
      <c r="AE14">
        <v>2279.71875</v>
      </c>
      <c r="AF14">
        <v>2361.1015625</v>
      </c>
      <c r="AG14">
        <v>2442.484375</v>
      </c>
      <c r="AH14">
        <v>2523.8671875</v>
      </c>
      <c r="AI14">
        <v>2605.25</v>
      </c>
      <c r="AJ14">
        <v>2686.6328125</v>
      </c>
      <c r="AK14">
        <v>2768.015625</v>
      </c>
      <c r="AL14">
        <v>2849.3984375</v>
      </c>
      <c r="AM14">
        <v>2930.78125</v>
      </c>
      <c r="AN14">
        <v>3012.1640625</v>
      </c>
      <c r="AO14">
        <v>3093.546875</v>
      </c>
      <c r="AP14">
        <v>3174.9296875</v>
      </c>
      <c r="AQ14">
        <v>3256.3125</v>
      </c>
      <c r="AR14">
        <v>3337.6953125</v>
      </c>
      <c r="AS14">
        <v>3419.078125</v>
      </c>
      <c r="AT14">
        <v>3500.4609375</v>
      </c>
      <c r="AU14">
        <v>3581.84375</v>
      </c>
      <c r="AV14">
        <v>3663.2265625</v>
      </c>
      <c r="AW14">
        <v>3744.609375</v>
      </c>
      <c r="AX14">
        <v>3825.9921875</v>
      </c>
      <c r="AY14">
        <v>3907.375</v>
      </c>
      <c r="AZ14">
        <v>3988.7578125</v>
      </c>
      <c r="BA14">
        <v>4070.140625</v>
      </c>
      <c r="BB14">
        <v>4151.5234375</v>
      </c>
      <c r="BC14">
        <v>4232.90625</v>
      </c>
      <c r="BD14">
        <v>4314.2890625</v>
      </c>
      <c r="BE14">
        <v>4395.671875</v>
      </c>
      <c r="BF14">
        <v>4477.0546875</v>
      </c>
      <c r="BG14">
        <v>4558.4375</v>
      </c>
      <c r="BH14">
        <v>4639.8203125</v>
      </c>
      <c r="BI14">
        <v>4721.203125</v>
      </c>
      <c r="BJ14">
        <v>4802.5859375</v>
      </c>
      <c r="BK14">
        <v>4883.96875</v>
      </c>
      <c r="BL14">
        <v>4965.3515625</v>
      </c>
      <c r="BM14">
        <v>5046.734375</v>
      </c>
      <c r="BN14">
        <v>5128.1171875</v>
      </c>
      <c r="BO14">
        <v>5209.5</v>
      </c>
      <c r="BP14">
        <v>5290.8828125</v>
      </c>
      <c r="BQ14">
        <v>5372.265625</v>
      </c>
      <c r="BR14">
        <v>5453.6484375</v>
      </c>
      <c r="BS14">
        <v>5535.03125</v>
      </c>
      <c r="BT14">
        <v>5616.4140625</v>
      </c>
      <c r="BU14">
        <v>5697.796875</v>
      </c>
      <c r="BV14">
        <v>5779.1796875</v>
      </c>
      <c r="BW14">
        <v>5860.5625</v>
      </c>
      <c r="BX14">
        <v>5941.9453125</v>
      </c>
      <c r="BY14">
        <v>6023.328125</v>
      </c>
      <c r="BZ14">
        <v>6104.7109375</v>
      </c>
      <c r="CA14">
        <v>6186.09375</v>
      </c>
      <c r="CB14">
        <v>6267.4765625</v>
      </c>
      <c r="CC14">
        <v>6348.859375</v>
      </c>
      <c r="CD14">
        <v>6430.2421875</v>
      </c>
      <c r="CE14">
        <v>6511.625</v>
      </c>
      <c r="CF14">
        <v>6593.0078125</v>
      </c>
      <c r="CG14">
        <v>6674.390625</v>
      </c>
      <c r="CH14">
        <v>6755.7734375</v>
      </c>
      <c r="CI14">
        <v>6837.15625</v>
      </c>
      <c r="CJ14">
        <v>6918.5390625</v>
      </c>
      <c r="CK14">
        <v>6999.921875</v>
      </c>
      <c r="CL14">
        <v>7081.3046875</v>
      </c>
      <c r="CM14">
        <v>7162.6875</v>
      </c>
      <c r="CN14">
        <v>7244.0703125</v>
      </c>
      <c r="CO14">
        <v>7325.453125</v>
      </c>
      <c r="CP14">
        <v>7406.8359375</v>
      </c>
      <c r="CQ14">
        <v>7488.21875</v>
      </c>
      <c r="CR14">
        <v>7569.6015625</v>
      </c>
      <c r="CS14">
        <v>7650.984375</v>
      </c>
      <c r="CT14">
        <v>7732.3671875</v>
      </c>
      <c r="CU14">
        <v>7813.75</v>
      </c>
      <c r="CV14">
        <v>7895.1328125</v>
      </c>
      <c r="CW14">
        <v>7976.515625</v>
      </c>
      <c r="CX14">
        <v>8057.8984375</v>
      </c>
      <c r="CY14">
        <v>8139.28125</v>
      </c>
      <c r="CZ14">
        <v>8220.6640625</v>
      </c>
      <c r="DA14">
        <v>8302.046875</v>
      </c>
      <c r="DB14">
        <v>8383.4296875</v>
      </c>
      <c r="DC14">
        <v>8464.8125</v>
      </c>
      <c r="DD14">
        <v>8546.1953125</v>
      </c>
      <c r="DE14">
        <v>8627.578125</v>
      </c>
      <c r="DF14">
        <v>8708.9609375</v>
      </c>
      <c r="DG14">
        <v>8790.34375</v>
      </c>
      <c r="DH14">
        <v>8871.7265625</v>
      </c>
      <c r="DI14">
        <v>8953.109375</v>
      </c>
      <c r="DJ14">
        <v>9034.4921875</v>
      </c>
      <c r="DK14">
        <v>9115.875</v>
      </c>
      <c r="DL14">
        <v>9197.2578125</v>
      </c>
      <c r="DM14">
        <v>9278.640625</v>
      </c>
      <c r="DN14">
        <v>9360.0234375</v>
      </c>
      <c r="DO14">
        <v>9441.40625</v>
      </c>
      <c r="DP14">
        <v>9522.7890625</v>
      </c>
      <c r="DQ14">
        <v>9604.171875</v>
      </c>
      <c r="DR14">
        <v>9685.5546875</v>
      </c>
      <c r="DS14">
        <v>9766.9375</v>
      </c>
      <c r="DT14">
        <v>9848.3203125</v>
      </c>
      <c r="DU14">
        <v>9929.703125</v>
      </c>
      <c r="DV14">
        <v>10011.0859375</v>
      </c>
      <c r="DW14">
        <v>10092.46875</v>
      </c>
      <c r="DX14">
        <v>10173.8515625</v>
      </c>
      <c r="DY14">
        <v>10255.234375</v>
      </c>
      <c r="DZ14">
        <v>10336.6171875</v>
      </c>
    </row>
    <row r="15" spans="2:130" x14ac:dyDescent="0.25">
      <c r="B15" s="10" t="s">
        <v>8</v>
      </c>
      <c r="C15">
        <v>1</v>
      </c>
      <c r="D15">
        <v>62.03125</v>
      </c>
      <c r="E15">
        <v>123.0625</v>
      </c>
      <c r="F15">
        <v>184.09375</v>
      </c>
      <c r="G15">
        <v>245.125</v>
      </c>
      <c r="H15">
        <v>306.15625</v>
      </c>
      <c r="I15">
        <v>367.1875</v>
      </c>
      <c r="J15">
        <v>428.21875</v>
      </c>
      <c r="K15">
        <v>489.25</v>
      </c>
      <c r="L15">
        <v>550.28125</v>
      </c>
      <c r="M15">
        <v>611.3125</v>
      </c>
      <c r="N15">
        <v>672.34375</v>
      </c>
      <c r="O15">
        <v>733.375</v>
      </c>
      <c r="P15">
        <v>794.40625</v>
      </c>
      <c r="Q15">
        <v>855.4375</v>
      </c>
      <c r="R15">
        <v>916.46875</v>
      </c>
      <c r="S15">
        <v>977.5</v>
      </c>
      <c r="T15">
        <v>1038.53125</v>
      </c>
      <c r="U15">
        <v>1099.5625</v>
      </c>
      <c r="V15">
        <v>1160.59375</v>
      </c>
      <c r="W15">
        <v>1221.625</v>
      </c>
      <c r="X15">
        <v>1282.65625</v>
      </c>
      <c r="Y15">
        <v>1343.6875</v>
      </c>
      <c r="Z15">
        <v>1404.71875</v>
      </c>
      <c r="AA15">
        <v>1465.75</v>
      </c>
      <c r="AB15">
        <v>1526.78125</v>
      </c>
      <c r="AC15">
        <v>1587.8125</v>
      </c>
      <c r="AD15">
        <v>1648.84375</v>
      </c>
      <c r="AE15">
        <v>1709.875</v>
      </c>
      <c r="AF15">
        <v>1770.90625</v>
      </c>
      <c r="AG15">
        <v>1831.9375</v>
      </c>
      <c r="AH15">
        <v>1892.96875</v>
      </c>
      <c r="AI15">
        <v>1954</v>
      </c>
      <c r="AJ15">
        <v>2015.03125</v>
      </c>
      <c r="AK15">
        <v>2076.0625</v>
      </c>
      <c r="AL15">
        <v>2137.09375</v>
      </c>
      <c r="AM15">
        <v>2198.125</v>
      </c>
      <c r="AN15">
        <v>2259.15625</v>
      </c>
      <c r="AO15">
        <v>2320.1875</v>
      </c>
      <c r="AP15">
        <v>2381.21875</v>
      </c>
      <c r="AQ15">
        <v>2442.25</v>
      </c>
      <c r="AR15">
        <v>2503.28125</v>
      </c>
      <c r="AS15">
        <v>2564.3125</v>
      </c>
      <c r="AT15">
        <v>2625.34375</v>
      </c>
      <c r="AU15">
        <v>2686.375</v>
      </c>
      <c r="AV15">
        <v>2747.40625</v>
      </c>
      <c r="AW15">
        <v>2808.4375</v>
      </c>
      <c r="AX15">
        <v>2869.46875</v>
      </c>
      <c r="AY15">
        <v>2930.5</v>
      </c>
      <c r="AZ15">
        <v>2991.53125</v>
      </c>
      <c r="BA15">
        <v>3052.5625</v>
      </c>
      <c r="BB15">
        <v>3113.59375</v>
      </c>
      <c r="BC15">
        <v>3174.625</v>
      </c>
      <c r="BD15">
        <v>3235.65625</v>
      </c>
      <c r="BE15">
        <v>3296.6875</v>
      </c>
      <c r="BF15">
        <v>3357.71875</v>
      </c>
      <c r="BG15">
        <v>3418.75</v>
      </c>
      <c r="BH15">
        <v>3479.78125</v>
      </c>
      <c r="BI15">
        <v>3540.8125</v>
      </c>
      <c r="BJ15">
        <v>3601.84375</v>
      </c>
      <c r="BK15">
        <v>3662.875</v>
      </c>
      <c r="BL15">
        <v>3723.90625</v>
      </c>
      <c r="BM15">
        <v>3784.9375</v>
      </c>
      <c r="BN15">
        <v>3845.96875</v>
      </c>
      <c r="BO15">
        <v>3907</v>
      </c>
      <c r="BP15">
        <v>3968.03125</v>
      </c>
      <c r="BQ15">
        <v>4029.0625</v>
      </c>
      <c r="BR15">
        <v>4090.09375</v>
      </c>
      <c r="BS15">
        <v>4151.125</v>
      </c>
      <c r="BT15">
        <v>4212.15625</v>
      </c>
      <c r="BU15">
        <v>4273.1875</v>
      </c>
      <c r="BV15">
        <v>4334.21875</v>
      </c>
      <c r="BW15">
        <v>4395.25</v>
      </c>
      <c r="BX15">
        <v>4456.28125</v>
      </c>
      <c r="BY15">
        <v>4517.3125</v>
      </c>
      <c r="BZ15">
        <v>4578.34375</v>
      </c>
      <c r="CA15">
        <v>4639.375</v>
      </c>
      <c r="CB15">
        <v>4700.40625</v>
      </c>
      <c r="CC15">
        <v>4761.4375</v>
      </c>
      <c r="CD15">
        <v>4822.46875</v>
      </c>
      <c r="CE15">
        <v>4883.5</v>
      </c>
      <c r="CF15">
        <v>4944.53125</v>
      </c>
      <c r="CG15">
        <v>5005.5625</v>
      </c>
      <c r="CH15">
        <v>5066.59375</v>
      </c>
      <c r="CI15">
        <v>5127.625</v>
      </c>
      <c r="CJ15">
        <v>5188.65625</v>
      </c>
      <c r="CK15">
        <v>5249.6875</v>
      </c>
      <c r="CL15">
        <v>5310.71875</v>
      </c>
      <c r="CM15">
        <v>5371.75</v>
      </c>
      <c r="CN15">
        <v>5432.78125</v>
      </c>
      <c r="CO15">
        <v>5493.8125</v>
      </c>
      <c r="CP15">
        <v>5554.84375</v>
      </c>
      <c r="CQ15">
        <v>5615.875</v>
      </c>
      <c r="CR15">
        <v>5676.90625</v>
      </c>
      <c r="CS15">
        <v>5737.9375</v>
      </c>
      <c r="CT15">
        <v>5798.96875</v>
      </c>
      <c r="CU15">
        <v>5860</v>
      </c>
      <c r="CV15">
        <v>5921.03125</v>
      </c>
      <c r="CW15">
        <v>5982.0625</v>
      </c>
      <c r="CX15">
        <v>6043.09375</v>
      </c>
      <c r="CY15">
        <v>6104.125</v>
      </c>
      <c r="CZ15">
        <v>6165.15625</v>
      </c>
      <c r="DA15">
        <v>6226.1875</v>
      </c>
      <c r="DB15">
        <v>6287.21875</v>
      </c>
      <c r="DC15">
        <v>6348.25</v>
      </c>
      <c r="DD15">
        <v>6409.28125</v>
      </c>
      <c r="DE15">
        <v>6470.3125</v>
      </c>
      <c r="DF15">
        <v>6531.34375</v>
      </c>
      <c r="DG15">
        <v>6592.375</v>
      </c>
      <c r="DH15">
        <v>6653.40625</v>
      </c>
      <c r="DI15">
        <v>6714.4375</v>
      </c>
      <c r="DJ15">
        <v>6775.46875</v>
      </c>
      <c r="DK15">
        <v>6836.5</v>
      </c>
      <c r="DL15">
        <v>6897.53125</v>
      </c>
      <c r="DM15">
        <v>6958.5625</v>
      </c>
      <c r="DN15">
        <v>7019.59375</v>
      </c>
      <c r="DO15">
        <v>7080.625</v>
      </c>
      <c r="DP15">
        <v>7141.65625</v>
      </c>
      <c r="DQ15">
        <v>7202.6875</v>
      </c>
      <c r="DR15">
        <v>7263.71875</v>
      </c>
      <c r="DS15">
        <v>7324.75</v>
      </c>
      <c r="DT15">
        <v>7385.78125</v>
      </c>
      <c r="DU15">
        <v>7446.8125</v>
      </c>
      <c r="DV15">
        <v>7507.84375</v>
      </c>
      <c r="DW15">
        <v>7568.875</v>
      </c>
      <c r="DX15">
        <v>7629.90625</v>
      </c>
      <c r="DY15">
        <v>7690.9375</v>
      </c>
      <c r="DZ15">
        <v>7751.96875</v>
      </c>
    </row>
    <row r="18" spans="2:3" x14ac:dyDescent="0.25">
      <c r="B18" s="10" t="s">
        <v>6</v>
      </c>
      <c r="C18">
        <v>6</v>
      </c>
    </row>
    <row r="19" spans="2:3" x14ac:dyDescent="0.25">
      <c r="B19" s="10" t="s">
        <v>7</v>
      </c>
      <c r="C19">
        <v>0</v>
      </c>
    </row>
    <row r="25" spans="2:3" x14ac:dyDescent="0.25">
      <c r="C25" t="s">
        <v>12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data</vt:lpstr>
      <vt:lpstr>import</vt:lpstr>
      <vt:lpstr>calibration</vt:lpstr>
      <vt:lpstr>Dooku</vt:lpstr>
      <vt:lpstr>Palpatine</vt:lpstr>
      <vt:lpstr>import!temp</vt:lpstr>
      <vt:lpstr>import!temp_1</vt:lpstr>
      <vt:lpstr>首列</vt:lpstr>
    </vt:vector>
  </TitlesOfParts>
  <Company>GN ReSound A/S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Chen, Chandler</dc:creator>
  <cp:lastModifiedBy>Chen, Chandler</cp:lastModifiedBy>
  <dcterms:created xsi:type="dcterms:W3CDTF">2018-01-26T03:41:57Z</dcterms:created>
  <dcterms:modified xsi:type="dcterms:W3CDTF">2018-02-02T03:54:38Z</dcterms:modified>
</cp:coreProperties>
</file>