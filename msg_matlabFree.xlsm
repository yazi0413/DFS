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ache\Documents\MATLAB\"/>
    </mc:Choice>
  </mc:AlternateContent>
  <bookViews>
    <workbookView xWindow="6510" yWindow="0" windowWidth="24540" windowHeight="16020" activeTab="1"/>
  </bookViews>
  <sheets>
    <sheet name="data" sheetId="3" r:id="rId1"/>
    <sheet name="import" sheetId="1" r:id="rId2"/>
    <sheet name="calibration" sheetId="4" state="hidden" r:id="rId3"/>
  </sheets>
  <definedNames>
    <definedName name="Dooku">calibration!$C$19</definedName>
    <definedName name="Palpatine">calibration!$C$18</definedName>
    <definedName name="temp" localSheetId="1">import!$B$3:$DY$3</definedName>
    <definedName name="temp_1" localSheetId="1">import!$B$4:$DY$6</definedName>
    <definedName name="首列">calibration!$B$18:$B$19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Z10" i="4" l="1"/>
  <c r="DY10" i="4"/>
  <c r="DX10" i="4"/>
  <c r="DW10" i="4"/>
  <c r="DV10" i="4"/>
  <c r="DU10" i="4"/>
  <c r="DT10" i="4"/>
  <c r="DS10" i="4"/>
  <c r="DR10" i="4"/>
  <c r="DQ10" i="4"/>
  <c r="DP10" i="4"/>
  <c r="DO10" i="4"/>
  <c r="DN10" i="4"/>
  <c r="DM10" i="4"/>
  <c r="DL10" i="4"/>
  <c r="DK10" i="4"/>
  <c r="DJ10" i="4"/>
  <c r="DI10" i="4"/>
  <c r="DH10" i="4"/>
  <c r="DG10" i="4"/>
  <c r="DF10" i="4"/>
  <c r="DE10" i="4"/>
  <c r="DD10" i="4"/>
  <c r="DC10" i="4"/>
  <c r="DB10" i="4"/>
  <c r="DA10" i="4"/>
  <c r="CZ10" i="4"/>
  <c r="CY10" i="4"/>
  <c r="CX10" i="4"/>
  <c r="CW10" i="4"/>
  <c r="CV10" i="4"/>
  <c r="CU10" i="4"/>
  <c r="CT10" i="4"/>
  <c r="CS10" i="4"/>
  <c r="CR10" i="4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CB10" i="4"/>
  <c r="CA10" i="4"/>
  <c r="BZ10" i="4"/>
  <c r="BY10" i="4"/>
  <c r="BX10" i="4"/>
  <c r="BW10" i="4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Q10" i="4"/>
  <c r="AP10" i="4"/>
  <c r="AO10" i="4"/>
  <c r="AN10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M10" i="4"/>
  <c r="L10" i="4"/>
  <c r="K10" i="4"/>
  <c r="J10" i="4"/>
  <c r="I10" i="4"/>
  <c r="H10" i="4"/>
  <c r="G10" i="4"/>
  <c r="F10" i="4"/>
  <c r="E10" i="4"/>
  <c r="D10" i="4"/>
  <c r="C7" i="4"/>
  <c r="K8" i="1"/>
  <c r="R5" i="1"/>
  <c r="S7" i="4" s="1"/>
  <c r="Q5" i="1"/>
  <c r="R7" i="4" s="1"/>
  <c r="P5" i="1"/>
  <c r="Q7" i="4" s="1"/>
  <c r="O5" i="1"/>
  <c r="P7" i="4" s="1"/>
  <c r="N5" i="1"/>
  <c r="O7" i="4" s="1"/>
  <c r="M5" i="1"/>
  <c r="N7" i="4" s="1"/>
  <c r="L5" i="1"/>
  <c r="M7" i="4" s="1"/>
  <c r="K5" i="1"/>
  <c r="L7" i="4" s="1"/>
  <c r="J5" i="1"/>
  <c r="K7" i="4" s="1"/>
  <c r="I5" i="1"/>
  <c r="J7" i="4" s="1"/>
  <c r="H5" i="1"/>
  <c r="I7" i="4" s="1"/>
  <c r="G5" i="1"/>
  <c r="H7" i="4" s="1"/>
  <c r="F5" i="1"/>
  <c r="G7" i="4" s="1"/>
  <c r="E5" i="1"/>
  <c r="F7" i="4" s="1"/>
  <c r="D5" i="1"/>
  <c r="E7" i="4" s="1"/>
  <c r="C5" i="1"/>
  <c r="D7" i="4" s="1"/>
  <c r="G16" i="1"/>
  <c r="D8" i="4" s="1"/>
  <c r="H8" i="4" l="1"/>
  <c r="L8" i="4"/>
  <c r="E8" i="4"/>
  <c r="F8" i="4"/>
  <c r="G8" i="4"/>
  <c r="I8" i="4"/>
  <c r="J8" i="4"/>
  <c r="K8" i="4"/>
  <c r="P8" i="4"/>
  <c r="Q8" i="4"/>
  <c r="M8" i="4"/>
  <c r="N8" i="4"/>
  <c r="R8" i="4"/>
  <c r="C8" i="4"/>
  <c r="S8" i="4"/>
  <c r="O8" i="4"/>
</calcChain>
</file>

<file path=xl/connections.xml><?xml version="1.0" encoding="utf-8"?>
<connections xmlns="http://schemas.openxmlformats.org/spreadsheetml/2006/main">
  <connection id="1" name="temp" type="6" refreshedVersion="5" background="1" saveData="1">
    <textPr codePage="936" sourceFile="C:\Users\chache\Documents\MATLAB\temp.txt" space="1" consecutive="1">
      <textFields count="12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temp1" type="6" refreshedVersion="5" background="1" saveData="1">
    <textPr codePage="936" sourceFile="C:\Users\chache\Documents\MATLAB\temp.txt" space="1" consecutive="1">
      <textFields count="12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<sst xmlns="http://schemas.openxmlformats.org/spreadsheetml/2006/main" count="17" uniqueCount="16">
  <si>
    <t>IG</t>
  </si>
  <si>
    <t>cal</t>
  </si>
  <si>
    <t>cal_interp</t>
  </si>
  <si>
    <t>fre_interp</t>
  </si>
  <si>
    <t>fre</t>
  </si>
  <si>
    <t>Palpatine</t>
  </si>
  <si>
    <t>Dooku</t>
  </si>
  <si>
    <t>palpatine</t>
  </si>
  <si>
    <t>dooku</t>
  </si>
  <si>
    <t>log file path:</t>
  </si>
  <si>
    <t>C:\Users\chache\Documents\logfile</t>
  </si>
  <si>
    <t>unfortunately, Dooku DFS log file didn't export the msg_dfs_off! So now, only Palpatine version available</t>
  </si>
  <si>
    <t>FILL all the yellow section, choose firmware from pull-down list below</t>
  </si>
  <si>
    <t>Don't type anything besides yellow cells</t>
  </si>
  <si>
    <t>prod. Sys.Offset=</t>
  </si>
  <si>
    <t>sys. 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</si>
</sst>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2" xfId="0" applyFill="1" applyBorder="1"/>
    <xf numFmtId="0" fontId="1" fillId="2" borderId="4" xfId="0" applyFont="1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3" xfId="0" applyFill="1" applyBorder="1"/>
    <xf numFmtId="0" fontId="1" fillId="2" borderId="8" xfId="0" applyFont="1" applyFill="1" applyBorder="1" applyAlignment="1">
      <alignment vertical="center"/>
    </xf>
    <xf numFmtId="0" fontId="0" fillId="2" borderId="6" xfId="0" applyFill="1" applyBorder="1"/>
    <xf numFmtId="0" fontId="0" fillId="2" borderId="7" xfId="0" applyFill="1" applyBorder="1"/>
    <xf numFmtId="0" fontId="1" fillId="2" borderId="1" xfId="0" applyFont="1" applyFill="1" applyBorder="1"/>
    <xf numFmtId="0" fontId="1" fillId="0" borderId="0" xfId="0" applyFont="1"/>
    <xf numFmtId="0" fontId="3" fillId="0" borderId="0" xfId="0" applyFont="1"/>
    <xf numFmtId="0" fontId="4" fillId="0" borderId="0" xfId="0" applyFont="1"/>
    <xf numFmtId="0" fontId="6" fillId="0" borderId="0" xfId="0" applyFont="1"/>
    <xf numFmtId="0" fontId="5" fillId="3" borderId="12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5" fillId="3" borderId="6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5" fillId="3" borderId="8" xfId="0" applyFont="1" applyFill="1" applyBorder="1" applyAlignment="1">
      <alignment horizontal="center"/>
    </xf>
    <xf numFmtId="0" fontId="7" fillId="5" borderId="11" xfId="0" applyFont="1" applyFill="1" applyBorder="1"/>
    <xf numFmtId="0" fontId="8" fillId="0" borderId="12" xfId="0" applyFont="1" applyFill="1" applyBorder="1" applyAlignment="1">
      <alignment horizontal="center"/>
    </xf>
    <xf numFmtId="0" fontId="9" fillId="0" borderId="0" xfId="0" applyFont="1"/>
    <xf numFmtId="0" fontId="1" fillId="5" borderId="11" xfId="0" applyFont="1" applyFill="1" applyBorder="1" applyAlignment="1">
      <alignment horizontal="right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6" fillId="2" borderId="1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20</xdr:row>
          <xdr:rowOff>180975</xdr:rowOff>
        </xdr:from>
        <xdr:to>
          <xdr:col>6</xdr:col>
          <xdr:colOff>628650</xdr:colOff>
          <xdr:row>23</xdr:row>
          <xdr:rowOff>123825</xdr:rowOff>
        </xdr:to>
        <xdr:sp macro="" textlink="">
          <xdr:nvSpPr>
            <xdr:cNvPr id="1028" name="CommandButton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mp_1" connectionId="2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temp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M25" sqref="M25"/>
    </sheetView>
  </sheetViews>
  <sheetFormatPr defaultRowHeight="15" x14ac:dyDescent="0.25"/>
  <sheetData/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18"/>
  <sheetViews>
    <sheetView tabSelected="1" workbookViewId="0">
      <selection activeCell="C3" sqref="C3"/>
    </sheetView>
  </sheetViews>
  <sheetFormatPr defaultRowHeight="15" x14ac:dyDescent="0.25"/>
  <cols>
    <col min="1" max="1" width="20" bestFit="1" customWidth="1"/>
    <col min="2" max="10" width="12" bestFit="1" customWidth="1"/>
    <col min="11" max="11" width="13.7109375" bestFit="1" customWidth="1"/>
    <col min="12" max="22" width="12" bestFit="1" customWidth="1"/>
    <col min="23" max="23" width="11" bestFit="1" customWidth="1"/>
    <col min="24" max="30" width="12" bestFit="1" customWidth="1"/>
    <col min="31" max="31" width="11" bestFit="1" customWidth="1"/>
    <col min="32" max="33" width="12" bestFit="1" customWidth="1"/>
    <col min="34" max="34" width="10" bestFit="1" customWidth="1"/>
    <col min="35" max="37" width="12" bestFit="1" customWidth="1"/>
    <col min="38" max="38" width="11" bestFit="1" customWidth="1"/>
    <col min="39" max="84" width="12" bestFit="1" customWidth="1"/>
    <col min="85" max="85" width="11" bestFit="1" customWidth="1"/>
    <col min="86" max="99" width="12" bestFit="1" customWidth="1"/>
    <col min="100" max="100" width="11" bestFit="1" customWidth="1"/>
    <col min="101" max="104" width="12" bestFit="1" customWidth="1"/>
    <col min="105" max="106" width="11" bestFit="1" customWidth="1"/>
    <col min="107" max="129" width="12" bestFit="1" customWidth="1"/>
  </cols>
  <sheetData>
    <row r="1" spans="1:18" ht="15.75" thickBot="1" x14ac:dyDescent="0.3"/>
    <row r="2" spans="1:18" ht="24" thickBot="1" x14ac:dyDescent="0.4">
      <c r="A2" s="31" t="s">
        <v>14</v>
      </c>
      <c r="B2" s="14">
        <v>0</v>
      </c>
    </row>
    <row r="4" spans="1:18" ht="15.75" thickBot="1" x14ac:dyDescent="0.3"/>
    <row r="5" spans="1:18" s="17" customFormat="1" ht="23.25" x14ac:dyDescent="0.35">
      <c r="A5" s="27" t="s">
        <v>15</v>
      </c>
      <c r="B5" s="15">
        <v>0</v>
      </c>
      <c r="C5" s="15">
        <f>IF(F16="palpatine",163,168)</f>
        <v>168</v>
      </c>
      <c r="D5" s="15">
        <f>IF(F16="palpatine",329,340)</f>
        <v>340</v>
      </c>
      <c r="E5" s="15">
        <f>IF(F16="palpatine",501,518)</f>
        <v>518</v>
      </c>
      <c r="F5" s="15">
        <f>IF(F16="palpatine",682,706)</f>
        <v>706</v>
      </c>
      <c r="G5" s="15">
        <f>IF(F16="palpatine",876,908)</f>
        <v>908</v>
      </c>
      <c r="H5" s="15">
        <f>IF(F16="palpatine",1090,1131)</f>
        <v>1131</v>
      </c>
      <c r="I5" s="15">
        <f>IF(F16="palpatine",1328,1383)</f>
        <v>1383</v>
      </c>
      <c r="J5" s="15">
        <f>IF(F16="palpatine",1600,1674)</f>
        <v>1674</v>
      </c>
      <c r="K5" s="15">
        <f>IF(F16="palpatine",1919,2019)</f>
        <v>2019</v>
      </c>
      <c r="L5" s="15">
        <f>IF(F16="palpatine",2301,2442)</f>
        <v>2442</v>
      </c>
      <c r="M5" s="15">
        <f>IF(F16="palpatine",2773,2981)</f>
        <v>2981</v>
      </c>
      <c r="N5" s="15">
        <f>IF(F16="palpatine",3370,3693)</f>
        <v>3693</v>
      </c>
      <c r="O5" s="15">
        <f>IF(F16="palpatine",4140,4672)</f>
        <v>4672</v>
      </c>
      <c r="P5" s="15">
        <f>IF(F16="palpatine",5136,6059)</f>
        <v>6059</v>
      </c>
      <c r="Q5" s="15">
        <f>IF(F16="palpatine",6383,7997)</f>
        <v>7997</v>
      </c>
      <c r="R5" s="16">
        <f>IF(F16="palpatine",7812,10417)</f>
        <v>10417</v>
      </c>
    </row>
    <row r="6" spans="1:18" s="17" customFormat="1" ht="24" thickBot="1" x14ac:dyDescent="0.4">
      <c r="A6" s="28"/>
      <c r="B6" s="18">
        <v>-9</v>
      </c>
      <c r="C6" s="18">
        <v>-9</v>
      </c>
      <c r="D6" s="18">
        <v>-9</v>
      </c>
      <c r="E6" s="18">
        <v>-9</v>
      </c>
      <c r="F6" s="18">
        <v>-8</v>
      </c>
      <c r="G6" s="18">
        <v>-7</v>
      </c>
      <c r="H6" s="18">
        <v>-10</v>
      </c>
      <c r="I6" s="18">
        <v>-10</v>
      </c>
      <c r="J6" s="18">
        <v>-8</v>
      </c>
      <c r="K6" s="18">
        <v>-7</v>
      </c>
      <c r="L6" s="18">
        <v>-4</v>
      </c>
      <c r="M6" s="18">
        <v>-5</v>
      </c>
      <c r="N6" s="18">
        <v>0</v>
      </c>
      <c r="O6" s="18">
        <v>2</v>
      </c>
      <c r="P6" s="18">
        <v>-1</v>
      </c>
      <c r="Q6" s="18">
        <v>0</v>
      </c>
      <c r="R6" s="19">
        <v>0</v>
      </c>
    </row>
    <row r="7" spans="1:18" s="17" customFormat="1" ht="24" thickBot="1" x14ac:dyDescent="0.4"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</row>
    <row r="8" spans="1:18" s="17" customFormat="1" ht="23.25" x14ac:dyDescent="0.35">
      <c r="A8" s="27" t="s">
        <v>0</v>
      </c>
      <c r="B8" s="21">
        <v>250</v>
      </c>
      <c r="C8" s="15">
        <v>500</v>
      </c>
      <c r="D8" s="15">
        <v>750</v>
      </c>
      <c r="E8" s="15">
        <v>1000</v>
      </c>
      <c r="F8" s="15">
        <v>1500</v>
      </c>
      <c r="G8" s="15">
        <v>2000</v>
      </c>
      <c r="H8" s="15">
        <v>3000</v>
      </c>
      <c r="I8" s="15">
        <v>4000</v>
      </c>
      <c r="J8" s="15">
        <v>6000</v>
      </c>
      <c r="K8" s="16">
        <f>IF(F16="palpatine","",8000)</f>
        <v>8000</v>
      </c>
      <c r="L8" s="20"/>
      <c r="M8" s="20"/>
      <c r="N8" s="20"/>
      <c r="O8" s="20"/>
      <c r="P8" s="20"/>
      <c r="Q8" s="20"/>
      <c r="R8" s="20"/>
    </row>
    <row r="9" spans="1:18" s="17" customFormat="1" ht="24" thickBot="1" x14ac:dyDescent="0.4">
      <c r="A9" s="28"/>
      <c r="B9" s="22">
        <v>50</v>
      </c>
      <c r="C9" s="18">
        <v>50</v>
      </c>
      <c r="D9" s="18">
        <v>50</v>
      </c>
      <c r="E9" s="18">
        <v>50</v>
      </c>
      <c r="F9" s="18">
        <v>50</v>
      </c>
      <c r="G9" s="18">
        <v>50</v>
      </c>
      <c r="H9" s="18">
        <v>47</v>
      </c>
      <c r="I9" s="18">
        <v>47</v>
      </c>
      <c r="J9" s="18">
        <v>47</v>
      </c>
      <c r="K9" s="19">
        <v>47</v>
      </c>
      <c r="L9" s="20"/>
      <c r="M9" s="20"/>
      <c r="N9" s="20"/>
      <c r="O9" s="20"/>
      <c r="P9" s="20"/>
      <c r="Q9" s="20"/>
      <c r="R9" s="20"/>
    </row>
    <row r="13" spans="1:18" ht="23.25" x14ac:dyDescent="0.35">
      <c r="F13" s="12" t="s">
        <v>12</v>
      </c>
      <c r="G13" s="11"/>
    </row>
    <row r="14" spans="1:18" ht="18.75" x14ac:dyDescent="0.3">
      <c r="G14" s="25" t="s">
        <v>13</v>
      </c>
    </row>
    <row r="15" spans="1:18" ht="19.5" thickBot="1" x14ac:dyDescent="0.35">
      <c r="G15" s="13"/>
    </row>
    <row r="16" spans="1:18" ht="21.75" thickBot="1" x14ac:dyDescent="0.4">
      <c r="F16" s="23" t="s">
        <v>6</v>
      </c>
      <c r="G16" s="24">
        <f>IF(F16="palpatine",Palpatine,Dooku)</f>
        <v>0</v>
      </c>
      <c r="H16" s="25"/>
    </row>
    <row r="17" spans="6:11" ht="19.5" thickBot="1" x14ac:dyDescent="0.35">
      <c r="G17" s="13"/>
    </row>
    <row r="18" spans="6:11" ht="15.75" thickBot="1" x14ac:dyDescent="0.3">
      <c r="F18" s="26" t="s">
        <v>9</v>
      </c>
      <c r="G18" s="29" t="s">
        <v>10</v>
      </c>
      <c r="H18" s="29"/>
      <c r="I18" s="29"/>
      <c r="J18" s="29"/>
      <c r="K18" s="30"/>
    </row>
  </sheetData>
  <dataConsolidate link="1"/>
  <mergeCells count="3">
    <mergeCell ref="A5:A6"/>
    <mergeCell ref="A8:A9"/>
    <mergeCell ref="G18:K18"/>
  </mergeCells>
  <dataValidations count="1">
    <dataValidation type="list" allowBlank="1" showInputMessage="1" showErrorMessage="1" sqref="F16">
      <formula1>首列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1">
          <controlPr defaultSize="0" autoLine="0" r:id="rId5">
            <anchor moveWithCells="1">
              <from>
                <xdr:col>4</xdr:col>
                <xdr:colOff>781050</xdr:colOff>
                <xdr:row>20</xdr:row>
                <xdr:rowOff>180975</xdr:rowOff>
              </from>
              <to>
                <xdr:col>6</xdr:col>
                <xdr:colOff>628650</xdr:colOff>
                <xdr:row>23</xdr:row>
                <xdr:rowOff>123825</xdr:rowOff>
              </to>
            </anchor>
          </controlPr>
        </control>
      </mc:Choice>
      <mc:Fallback>
        <control shapeId="1028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6:DZ25"/>
  <sheetViews>
    <sheetView workbookViewId="0">
      <selection activeCell="C11" sqref="C11:DZ11"/>
    </sheetView>
  </sheetViews>
  <sheetFormatPr defaultRowHeight="15" x14ac:dyDescent="0.25"/>
  <cols>
    <col min="2" max="2" width="11.7109375" bestFit="1" customWidth="1"/>
  </cols>
  <sheetData>
    <row r="6" spans="2:130" ht="15.75" thickBot="1" x14ac:dyDescent="0.3"/>
    <row r="7" spans="2:130" x14ac:dyDescent="0.25">
      <c r="B7" s="9" t="s">
        <v>4</v>
      </c>
      <c r="C7" s="1">
        <f>import!B5</f>
        <v>0</v>
      </c>
      <c r="D7" s="1">
        <f>import!C5</f>
        <v>168</v>
      </c>
      <c r="E7" s="1">
        <f>import!D5</f>
        <v>340</v>
      </c>
      <c r="F7" s="1">
        <f>import!E5</f>
        <v>518</v>
      </c>
      <c r="G7" s="1">
        <f>import!F5</f>
        <v>706</v>
      </c>
      <c r="H7" s="1">
        <f>import!G5</f>
        <v>908</v>
      </c>
      <c r="I7" s="1">
        <f>import!H5</f>
        <v>1131</v>
      </c>
      <c r="J7" s="1">
        <f>import!I5</f>
        <v>1383</v>
      </c>
      <c r="K7" s="1">
        <f>import!J5</f>
        <v>1674</v>
      </c>
      <c r="L7" s="1">
        <f>import!K5</f>
        <v>2019</v>
      </c>
      <c r="M7" s="1">
        <f>import!L5</f>
        <v>2442</v>
      </c>
      <c r="N7" s="1">
        <f>import!M5</f>
        <v>2981</v>
      </c>
      <c r="O7" s="1">
        <f>import!N5</f>
        <v>3693</v>
      </c>
      <c r="P7" s="1">
        <f>import!O5</f>
        <v>4672</v>
      </c>
      <c r="Q7" s="1">
        <f>import!P5</f>
        <v>6059</v>
      </c>
      <c r="R7" s="1">
        <f>import!Q5</f>
        <v>7997</v>
      </c>
      <c r="S7" s="1">
        <f>import!R5</f>
        <v>10417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5"/>
    </row>
    <row r="8" spans="2:130" x14ac:dyDescent="0.25">
      <c r="B8" s="2" t="s">
        <v>1</v>
      </c>
      <c r="C8" s="3">
        <f>import!B6+import!$B$2-import!$G$16</f>
        <v>-9</v>
      </c>
      <c r="D8" s="3">
        <f>import!C6+import!$B$2-import!$G$16</f>
        <v>-9</v>
      </c>
      <c r="E8" s="3">
        <f>import!D6+import!$B$2-import!$G$16</f>
        <v>-9</v>
      </c>
      <c r="F8" s="3">
        <f>import!E6+import!$B$2-import!$G$16</f>
        <v>-9</v>
      </c>
      <c r="G8" s="3">
        <f>import!F6+import!$B$2-import!$G$16</f>
        <v>-8</v>
      </c>
      <c r="H8" s="3">
        <f>import!G6+import!$B$2-import!$G$16</f>
        <v>-7</v>
      </c>
      <c r="I8" s="3">
        <f>import!H6+import!$B$2-import!$G$16</f>
        <v>-10</v>
      </c>
      <c r="J8" s="3">
        <f>import!I6+import!$B$2-import!$G$16</f>
        <v>-10</v>
      </c>
      <c r="K8" s="3">
        <f>import!J6+import!$B$2-import!$G$16</f>
        <v>-8</v>
      </c>
      <c r="L8" s="3">
        <f>import!K6+import!$B$2-import!$G$16</f>
        <v>-7</v>
      </c>
      <c r="M8" s="3">
        <f>import!L6+import!$B$2-import!$G$16</f>
        <v>-4</v>
      </c>
      <c r="N8" s="3">
        <f>import!M6+import!$B$2-import!$G$16</f>
        <v>-5</v>
      </c>
      <c r="O8" s="3">
        <f>import!N6+import!$B$2-import!$G$16</f>
        <v>0</v>
      </c>
      <c r="P8" s="3">
        <f>import!O6+import!$B$2-import!$G$16</f>
        <v>2</v>
      </c>
      <c r="Q8" s="3">
        <f>import!P6+import!$B$2-import!$G$16</f>
        <v>-1</v>
      </c>
      <c r="R8" s="3">
        <f>import!Q6+import!$B$2-import!$G$16</f>
        <v>0</v>
      </c>
      <c r="S8" s="3">
        <f>import!R6+import!$B$2-import!$G$16</f>
        <v>0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4"/>
    </row>
    <row r="9" spans="2:130" x14ac:dyDescent="0.25">
      <c r="B9" s="2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4"/>
    </row>
    <row r="10" spans="2:130" x14ac:dyDescent="0.25">
      <c r="B10" s="2" t="s">
        <v>3</v>
      </c>
      <c r="C10" s="3">
        <v>1</v>
      </c>
      <c r="D10" s="3">
        <f>IF(import!$F$16="palpatine",calibration!D15,calibration!D14)</f>
        <v>82.3828125</v>
      </c>
      <c r="E10" s="3">
        <f>IF(import!$F$16="palpatine",calibration!E15,calibration!E14)</f>
        <v>163.765625</v>
      </c>
      <c r="F10" s="3">
        <f>IF(import!$F$16="palpatine",calibration!F15,calibration!F14)</f>
        <v>245.1484375</v>
      </c>
      <c r="G10" s="3">
        <f>IF(import!$F$16="palpatine",calibration!G15,calibration!G14)</f>
        <v>326.53125</v>
      </c>
      <c r="H10" s="3">
        <f>IF(import!$F$16="palpatine",calibration!H15,calibration!H14)</f>
        <v>407.9140625</v>
      </c>
      <c r="I10" s="3">
        <f>IF(import!$F$16="palpatine",calibration!I15,calibration!I14)</f>
        <v>489.296875</v>
      </c>
      <c r="J10" s="3">
        <f>IF(import!$F$16="palpatine",calibration!J15,calibration!J14)</f>
        <v>570.6796875</v>
      </c>
      <c r="K10" s="3">
        <f>IF(import!$F$16="palpatine",calibration!K15,calibration!K14)</f>
        <v>652.0625</v>
      </c>
      <c r="L10" s="3">
        <f>IF(import!$F$16="palpatine",calibration!L15,calibration!L14)</f>
        <v>733.4453125</v>
      </c>
      <c r="M10" s="3">
        <f>IF(import!$F$16="palpatine",calibration!M15,calibration!M14)</f>
        <v>814.828125</v>
      </c>
      <c r="N10" s="3">
        <f>IF(import!$F$16="palpatine",calibration!N15,calibration!N14)</f>
        <v>896.2109375</v>
      </c>
      <c r="O10" s="3">
        <f>IF(import!$F$16="palpatine",calibration!O15,calibration!O14)</f>
        <v>977.59375</v>
      </c>
      <c r="P10" s="3">
        <f>IF(import!$F$16="palpatine",calibration!P15,calibration!P14)</f>
        <v>1058.9765625</v>
      </c>
      <c r="Q10" s="3">
        <f>IF(import!$F$16="palpatine",calibration!Q15,calibration!Q14)</f>
        <v>1140.359375</v>
      </c>
      <c r="R10" s="3">
        <f>IF(import!$F$16="palpatine",calibration!R15,calibration!R14)</f>
        <v>1221.7421875</v>
      </c>
      <c r="S10" s="3">
        <f>IF(import!$F$16="palpatine",calibration!S15,calibration!S14)</f>
        <v>1303.125</v>
      </c>
      <c r="T10" s="3">
        <f>IF(import!$F$16="palpatine",calibration!T15,calibration!T14)</f>
        <v>1384.5078125</v>
      </c>
      <c r="U10" s="3">
        <f>IF(import!$F$16="palpatine",calibration!U15,calibration!U14)</f>
        <v>1465.890625</v>
      </c>
      <c r="V10" s="3">
        <f>IF(import!$F$16="palpatine",calibration!V15,calibration!V14)</f>
        <v>1547.2734375</v>
      </c>
      <c r="W10" s="3">
        <f>IF(import!$F$16="palpatine",calibration!W15,calibration!W14)</f>
        <v>1628.65625</v>
      </c>
      <c r="X10" s="3">
        <f>IF(import!$F$16="palpatine",calibration!X15,calibration!X14)</f>
        <v>1710.0390625</v>
      </c>
      <c r="Y10" s="3">
        <f>IF(import!$F$16="palpatine",calibration!Y15,calibration!Y14)</f>
        <v>1791.421875</v>
      </c>
      <c r="Z10" s="3">
        <f>IF(import!$F$16="palpatine",calibration!Z15,calibration!Z14)</f>
        <v>1872.8046875</v>
      </c>
      <c r="AA10" s="3">
        <f>IF(import!$F$16="palpatine",calibration!AA15,calibration!AA14)</f>
        <v>1954.1875</v>
      </c>
      <c r="AB10" s="3">
        <f>IF(import!$F$16="palpatine",calibration!AB15,calibration!AB14)</f>
        <v>2035.5703125</v>
      </c>
      <c r="AC10" s="3">
        <f>IF(import!$F$16="palpatine",calibration!AC15,calibration!AC14)</f>
        <v>2116.953125</v>
      </c>
      <c r="AD10" s="3">
        <f>IF(import!$F$16="palpatine",calibration!AD15,calibration!AD14)</f>
        <v>2198.3359375</v>
      </c>
      <c r="AE10" s="3">
        <f>IF(import!$F$16="palpatine",calibration!AE15,calibration!AE14)</f>
        <v>2279.71875</v>
      </c>
      <c r="AF10" s="3">
        <f>IF(import!$F$16="palpatine",calibration!AF15,calibration!AF14)</f>
        <v>2361.1015625</v>
      </c>
      <c r="AG10" s="3">
        <f>IF(import!$F$16="palpatine",calibration!AG15,calibration!AG14)</f>
        <v>2442.484375</v>
      </c>
      <c r="AH10" s="3">
        <f>IF(import!$F$16="palpatine",calibration!AH15,calibration!AH14)</f>
        <v>2523.8671875</v>
      </c>
      <c r="AI10" s="3">
        <f>IF(import!$F$16="palpatine",calibration!AI15,calibration!AI14)</f>
        <v>2605.25</v>
      </c>
      <c r="AJ10" s="3">
        <f>IF(import!$F$16="palpatine",calibration!AJ15,calibration!AJ14)</f>
        <v>2686.6328125</v>
      </c>
      <c r="AK10" s="3">
        <f>IF(import!$F$16="palpatine",calibration!AK15,calibration!AK14)</f>
        <v>2768.015625</v>
      </c>
      <c r="AL10" s="3">
        <f>IF(import!$F$16="palpatine",calibration!AL15,calibration!AL14)</f>
        <v>2849.3984375</v>
      </c>
      <c r="AM10" s="3">
        <f>IF(import!$F$16="palpatine",calibration!AM15,calibration!AM14)</f>
        <v>2930.78125</v>
      </c>
      <c r="AN10" s="3">
        <f>IF(import!$F$16="palpatine",calibration!AN15,calibration!AN14)</f>
        <v>3012.1640625</v>
      </c>
      <c r="AO10" s="3">
        <f>IF(import!$F$16="palpatine",calibration!AO15,calibration!AO14)</f>
        <v>3093.546875</v>
      </c>
      <c r="AP10" s="3">
        <f>IF(import!$F$16="palpatine",calibration!AP15,calibration!AP14)</f>
        <v>3174.9296875</v>
      </c>
      <c r="AQ10" s="3">
        <f>IF(import!$F$16="palpatine",calibration!AQ15,calibration!AQ14)</f>
        <v>3256.3125</v>
      </c>
      <c r="AR10" s="3">
        <f>IF(import!$F$16="palpatine",calibration!AR15,calibration!AR14)</f>
        <v>3337.6953125</v>
      </c>
      <c r="AS10" s="3">
        <f>IF(import!$F$16="palpatine",calibration!AS15,calibration!AS14)</f>
        <v>3419.078125</v>
      </c>
      <c r="AT10" s="3">
        <f>IF(import!$F$16="palpatine",calibration!AT15,calibration!AT14)</f>
        <v>3500.4609375</v>
      </c>
      <c r="AU10" s="3">
        <f>IF(import!$F$16="palpatine",calibration!AU15,calibration!AU14)</f>
        <v>3581.84375</v>
      </c>
      <c r="AV10" s="3">
        <f>IF(import!$F$16="palpatine",calibration!AV15,calibration!AV14)</f>
        <v>3663.2265625</v>
      </c>
      <c r="AW10" s="3">
        <f>IF(import!$F$16="palpatine",calibration!AW15,calibration!AW14)</f>
        <v>3744.609375</v>
      </c>
      <c r="AX10" s="3">
        <f>IF(import!$F$16="palpatine",calibration!AX15,calibration!AX14)</f>
        <v>3825.9921875</v>
      </c>
      <c r="AY10" s="3">
        <f>IF(import!$F$16="palpatine",calibration!AY15,calibration!AY14)</f>
        <v>3907.375</v>
      </c>
      <c r="AZ10" s="3">
        <f>IF(import!$F$16="palpatine",calibration!AZ15,calibration!AZ14)</f>
        <v>3988.7578125</v>
      </c>
      <c r="BA10" s="3">
        <f>IF(import!$F$16="palpatine",calibration!BA15,calibration!BA14)</f>
        <v>4070.140625</v>
      </c>
      <c r="BB10" s="3">
        <f>IF(import!$F$16="palpatine",calibration!BB15,calibration!BB14)</f>
        <v>4151.5234375</v>
      </c>
      <c r="BC10" s="3">
        <f>IF(import!$F$16="palpatine",calibration!BC15,calibration!BC14)</f>
        <v>4232.90625</v>
      </c>
      <c r="BD10" s="3">
        <f>IF(import!$F$16="palpatine",calibration!BD15,calibration!BD14)</f>
        <v>4314.2890625</v>
      </c>
      <c r="BE10" s="3">
        <f>IF(import!$F$16="palpatine",calibration!BE15,calibration!BE14)</f>
        <v>4395.671875</v>
      </c>
      <c r="BF10" s="3">
        <f>IF(import!$F$16="palpatine",calibration!BF15,calibration!BF14)</f>
        <v>4477.0546875</v>
      </c>
      <c r="BG10" s="3">
        <f>IF(import!$F$16="palpatine",calibration!BG15,calibration!BG14)</f>
        <v>4558.4375</v>
      </c>
      <c r="BH10" s="3">
        <f>IF(import!$F$16="palpatine",calibration!BH15,calibration!BH14)</f>
        <v>4639.8203125</v>
      </c>
      <c r="BI10" s="3">
        <f>IF(import!$F$16="palpatine",calibration!BI15,calibration!BI14)</f>
        <v>4721.203125</v>
      </c>
      <c r="BJ10" s="3">
        <f>IF(import!$F$16="palpatine",calibration!BJ15,calibration!BJ14)</f>
        <v>4802.5859375</v>
      </c>
      <c r="BK10" s="3">
        <f>IF(import!$F$16="palpatine",calibration!BK15,calibration!BK14)</f>
        <v>4883.96875</v>
      </c>
      <c r="BL10" s="3">
        <f>IF(import!$F$16="palpatine",calibration!BL15,calibration!BL14)</f>
        <v>4965.3515625</v>
      </c>
      <c r="BM10" s="3">
        <f>IF(import!$F$16="palpatine",calibration!BM15,calibration!BM14)</f>
        <v>5046.734375</v>
      </c>
      <c r="BN10" s="3">
        <f>IF(import!$F$16="palpatine",calibration!BN15,calibration!BN14)</f>
        <v>5128.1171875</v>
      </c>
      <c r="BO10" s="3">
        <f>IF(import!$F$16="palpatine",calibration!BO15,calibration!BO14)</f>
        <v>5209.5</v>
      </c>
      <c r="BP10" s="3">
        <f>IF(import!$F$16="palpatine",calibration!BP15,calibration!BP14)</f>
        <v>5290.8828125</v>
      </c>
      <c r="BQ10" s="3">
        <f>IF(import!$F$16="palpatine",calibration!BQ15,calibration!BQ14)</f>
        <v>5372.265625</v>
      </c>
      <c r="BR10" s="3">
        <f>IF(import!$F$16="palpatine",calibration!BR15,calibration!BR14)</f>
        <v>5453.6484375</v>
      </c>
      <c r="BS10" s="3">
        <f>IF(import!$F$16="palpatine",calibration!BS15,calibration!BS14)</f>
        <v>5535.03125</v>
      </c>
      <c r="BT10" s="3">
        <f>IF(import!$F$16="palpatine",calibration!BT15,calibration!BT14)</f>
        <v>5616.4140625</v>
      </c>
      <c r="BU10" s="3">
        <f>IF(import!$F$16="palpatine",calibration!BU15,calibration!BU14)</f>
        <v>5697.796875</v>
      </c>
      <c r="BV10" s="3">
        <f>IF(import!$F$16="palpatine",calibration!BV15,calibration!BV14)</f>
        <v>5779.1796875</v>
      </c>
      <c r="BW10" s="3">
        <f>IF(import!$F$16="palpatine",calibration!BW15,calibration!BW14)</f>
        <v>5860.5625</v>
      </c>
      <c r="BX10" s="3">
        <f>IF(import!$F$16="palpatine",calibration!BX15,calibration!BX14)</f>
        <v>5941.9453125</v>
      </c>
      <c r="BY10" s="3">
        <f>IF(import!$F$16="palpatine",calibration!BY15,calibration!BY14)</f>
        <v>6023.328125</v>
      </c>
      <c r="BZ10" s="3">
        <f>IF(import!$F$16="palpatine",calibration!BZ15,calibration!BZ14)</f>
        <v>6104.7109375</v>
      </c>
      <c r="CA10" s="3">
        <f>IF(import!$F$16="palpatine",calibration!CA15,calibration!CA14)</f>
        <v>6186.09375</v>
      </c>
      <c r="CB10" s="3">
        <f>IF(import!$F$16="palpatine",calibration!CB15,calibration!CB14)</f>
        <v>6267.4765625</v>
      </c>
      <c r="CC10" s="3">
        <f>IF(import!$F$16="palpatine",calibration!CC15,calibration!CC14)</f>
        <v>6348.859375</v>
      </c>
      <c r="CD10" s="3">
        <f>IF(import!$F$16="palpatine",calibration!CD15,calibration!CD14)</f>
        <v>6430.2421875</v>
      </c>
      <c r="CE10" s="3">
        <f>IF(import!$F$16="palpatine",calibration!CE15,calibration!CE14)</f>
        <v>6511.625</v>
      </c>
      <c r="CF10" s="3">
        <f>IF(import!$F$16="palpatine",calibration!CF15,calibration!CF14)</f>
        <v>6593.0078125</v>
      </c>
      <c r="CG10" s="3">
        <f>IF(import!$F$16="palpatine",calibration!CG15,calibration!CG14)</f>
        <v>6674.390625</v>
      </c>
      <c r="CH10" s="3">
        <f>IF(import!$F$16="palpatine",calibration!CH15,calibration!CH14)</f>
        <v>6755.7734375</v>
      </c>
      <c r="CI10" s="3">
        <f>IF(import!$F$16="palpatine",calibration!CI15,calibration!CI14)</f>
        <v>6837.15625</v>
      </c>
      <c r="CJ10" s="3">
        <f>IF(import!$F$16="palpatine",calibration!CJ15,calibration!CJ14)</f>
        <v>6918.5390625</v>
      </c>
      <c r="CK10" s="3">
        <f>IF(import!$F$16="palpatine",calibration!CK15,calibration!CK14)</f>
        <v>6999.921875</v>
      </c>
      <c r="CL10" s="3">
        <f>IF(import!$F$16="palpatine",calibration!CL15,calibration!CL14)</f>
        <v>7081.3046875</v>
      </c>
      <c r="CM10" s="3">
        <f>IF(import!$F$16="palpatine",calibration!CM15,calibration!CM14)</f>
        <v>7162.6875</v>
      </c>
      <c r="CN10" s="3">
        <f>IF(import!$F$16="palpatine",calibration!CN15,calibration!CN14)</f>
        <v>7244.0703125</v>
      </c>
      <c r="CO10" s="3">
        <f>IF(import!$F$16="palpatine",calibration!CO15,calibration!CO14)</f>
        <v>7325.453125</v>
      </c>
      <c r="CP10" s="3">
        <f>IF(import!$F$16="palpatine",calibration!CP15,calibration!CP14)</f>
        <v>7406.8359375</v>
      </c>
      <c r="CQ10" s="3">
        <f>IF(import!$F$16="palpatine",calibration!CQ15,calibration!CQ14)</f>
        <v>7488.21875</v>
      </c>
      <c r="CR10" s="3">
        <f>IF(import!$F$16="palpatine",calibration!CR15,calibration!CR14)</f>
        <v>7569.6015625</v>
      </c>
      <c r="CS10" s="3">
        <f>IF(import!$F$16="palpatine",calibration!CS15,calibration!CS14)</f>
        <v>7650.984375</v>
      </c>
      <c r="CT10" s="3">
        <f>IF(import!$F$16="palpatine",calibration!CT15,calibration!CT14)</f>
        <v>7732.3671875</v>
      </c>
      <c r="CU10" s="3">
        <f>IF(import!$F$16="palpatine",calibration!CU15,calibration!CU14)</f>
        <v>7813.75</v>
      </c>
      <c r="CV10" s="3">
        <f>IF(import!$F$16="palpatine",calibration!CV15,calibration!CV14)</f>
        <v>7895.1328125</v>
      </c>
      <c r="CW10" s="3">
        <f>IF(import!$F$16="palpatine",calibration!CW15,calibration!CW14)</f>
        <v>7976.515625</v>
      </c>
      <c r="CX10" s="3">
        <f>IF(import!$F$16="palpatine",calibration!CX15,calibration!CX14)</f>
        <v>8057.8984375</v>
      </c>
      <c r="CY10" s="3">
        <f>IF(import!$F$16="palpatine",calibration!CY15,calibration!CY14)</f>
        <v>8139.28125</v>
      </c>
      <c r="CZ10" s="3">
        <f>IF(import!$F$16="palpatine",calibration!CZ15,calibration!CZ14)</f>
        <v>8220.6640625</v>
      </c>
      <c r="DA10" s="3">
        <f>IF(import!$F$16="palpatine",calibration!DA15,calibration!DA14)</f>
        <v>8302.046875</v>
      </c>
      <c r="DB10" s="3">
        <f>IF(import!$F$16="palpatine",calibration!DB15,calibration!DB14)</f>
        <v>8383.4296875</v>
      </c>
      <c r="DC10" s="3">
        <f>IF(import!$F$16="palpatine",calibration!DC15,calibration!DC14)</f>
        <v>8464.8125</v>
      </c>
      <c r="DD10" s="3">
        <f>IF(import!$F$16="palpatine",calibration!DD15,calibration!DD14)</f>
        <v>8546.1953125</v>
      </c>
      <c r="DE10" s="3">
        <f>IF(import!$F$16="palpatine",calibration!DE15,calibration!DE14)</f>
        <v>8627.578125</v>
      </c>
      <c r="DF10" s="3">
        <f>IF(import!$F$16="palpatine",calibration!DF15,calibration!DF14)</f>
        <v>8708.9609375</v>
      </c>
      <c r="DG10" s="3">
        <f>IF(import!$F$16="palpatine",calibration!DG15,calibration!DG14)</f>
        <v>8790.34375</v>
      </c>
      <c r="DH10" s="3">
        <f>IF(import!$F$16="palpatine",calibration!DH15,calibration!DH14)</f>
        <v>8871.7265625</v>
      </c>
      <c r="DI10" s="3">
        <f>IF(import!$F$16="palpatine",calibration!DI15,calibration!DI14)</f>
        <v>8953.109375</v>
      </c>
      <c r="DJ10" s="3">
        <f>IF(import!$F$16="palpatine",calibration!DJ15,calibration!DJ14)</f>
        <v>9034.4921875</v>
      </c>
      <c r="DK10" s="3">
        <f>IF(import!$F$16="palpatine",calibration!DK15,calibration!DK14)</f>
        <v>9115.875</v>
      </c>
      <c r="DL10" s="3">
        <f>IF(import!$F$16="palpatine",calibration!DL15,calibration!DL14)</f>
        <v>9197.2578125</v>
      </c>
      <c r="DM10" s="3">
        <f>IF(import!$F$16="palpatine",calibration!DM15,calibration!DM14)</f>
        <v>9278.640625</v>
      </c>
      <c r="DN10" s="3">
        <f>IF(import!$F$16="palpatine",calibration!DN15,calibration!DN14)</f>
        <v>9360.0234375</v>
      </c>
      <c r="DO10" s="3">
        <f>IF(import!$F$16="palpatine",calibration!DO15,calibration!DO14)</f>
        <v>9441.40625</v>
      </c>
      <c r="DP10" s="3">
        <f>IF(import!$F$16="palpatine",calibration!DP15,calibration!DP14)</f>
        <v>9522.7890625</v>
      </c>
      <c r="DQ10" s="3">
        <f>IF(import!$F$16="palpatine",calibration!DQ15,calibration!DQ14)</f>
        <v>9604.171875</v>
      </c>
      <c r="DR10" s="3">
        <f>IF(import!$F$16="palpatine",calibration!DR15,calibration!DR14)</f>
        <v>9685.5546875</v>
      </c>
      <c r="DS10" s="3">
        <f>IF(import!$F$16="palpatine",calibration!DS15,calibration!DS14)</f>
        <v>9766.9375</v>
      </c>
      <c r="DT10" s="3">
        <f>IF(import!$F$16="palpatine",calibration!DT15,calibration!DT14)</f>
        <v>9848.3203125</v>
      </c>
      <c r="DU10" s="3">
        <f>IF(import!$F$16="palpatine",calibration!DU15,calibration!DU14)</f>
        <v>9929.703125</v>
      </c>
      <c r="DV10" s="3">
        <f>IF(import!$F$16="palpatine",calibration!DV15,calibration!DV14)</f>
        <v>10011.0859375</v>
      </c>
      <c r="DW10" s="3">
        <f>IF(import!$F$16="palpatine",calibration!DW15,calibration!DW14)</f>
        <v>10092.46875</v>
      </c>
      <c r="DX10" s="3">
        <f>IF(import!$F$16="palpatine",calibration!DX15,calibration!DX14)</f>
        <v>10173.8515625</v>
      </c>
      <c r="DY10" s="3">
        <f>IF(import!$F$16="palpatine",calibration!DY15,calibration!DY14)</f>
        <v>10255.234375</v>
      </c>
      <c r="DZ10" s="4">
        <f>IF(import!$F$16="palpatine",calibration!DZ15,calibration!DZ14)</f>
        <v>10336.6171875</v>
      </c>
    </row>
    <row r="11" spans="2:130" ht="15.75" thickBot="1" x14ac:dyDescent="0.3">
      <c r="B11" s="6" t="s">
        <v>2</v>
      </c>
      <c r="C11" s="7">
        <v>-9</v>
      </c>
      <c r="D11" s="7">
        <v>-9</v>
      </c>
      <c r="E11" s="7">
        <v>-9</v>
      </c>
      <c r="F11" s="7">
        <v>-9</v>
      </c>
      <c r="G11" s="7">
        <v>-9</v>
      </c>
      <c r="H11" s="7">
        <v>-9</v>
      </c>
      <c r="I11" s="7">
        <v>-9</v>
      </c>
      <c r="J11" s="7">
        <v>-8.7197888962765955</v>
      </c>
      <c r="K11" s="7">
        <v>-8.2869015957446805</v>
      </c>
      <c r="L11" s="7">
        <v>-7.8641321163366333</v>
      </c>
      <c r="M11" s="7">
        <v>-7.4612469059405937</v>
      </c>
      <c r="N11" s="7">
        <v>-7.0583616955445541</v>
      </c>
      <c r="O11" s="7">
        <v>-7.9362387892376685</v>
      </c>
      <c r="P11" s="7">
        <v>-9.0310748318385645</v>
      </c>
      <c r="Q11" s="7">
        <v>-10</v>
      </c>
      <c r="R11" s="7">
        <v>-10</v>
      </c>
      <c r="S11" s="7">
        <v>-10</v>
      </c>
      <c r="T11" s="7">
        <v>-9.9896370274914084</v>
      </c>
      <c r="U11" s="7">
        <v>-9.4303049828178693</v>
      </c>
      <c r="V11" s="7">
        <v>-8.8709729381443303</v>
      </c>
      <c r="W11" s="7">
        <v>-8.3116408934707895</v>
      </c>
      <c r="X11" s="7">
        <v>-7.8955389492753625</v>
      </c>
      <c r="Y11" s="7">
        <v>-7.6596467391304346</v>
      </c>
      <c r="Z11" s="7">
        <v>-7.4237545289855076</v>
      </c>
      <c r="AA11" s="7">
        <v>-7.1878623188405797</v>
      </c>
      <c r="AB11" s="7">
        <v>-6.8824800531914896</v>
      </c>
      <c r="AC11" s="7">
        <v>-6.3052969858156027</v>
      </c>
      <c r="AD11" s="7">
        <v>-5.7281139184397167</v>
      </c>
      <c r="AE11" s="7">
        <v>-5.1509308510638299</v>
      </c>
      <c r="AF11" s="7">
        <v>-4.573747783687943</v>
      </c>
      <c r="AG11" s="7">
        <v>-4.0008986549165124</v>
      </c>
      <c r="AH11" s="7">
        <v>-4.1518871753246751</v>
      </c>
      <c r="AI11" s="7">
        <v>-4.3028756957328387</v>
      </c>
      <c r="AJ11" s="7">
        <v>-4.4538642161410023</v>
      </c>
      <c r="AK11" s="7">
        <v>-4.6048527365491649</v>
      </c>
      <c r="AL11" s="7">
        <v>-4.7558412569573285</v>
      </c>
      <c r="AM11" s="7">
        <v>-4.9068297773654921</v>
      </c>
      <c r="AN11" s="7">
        <v>-4.781151246488764</v>
      </c>
      <c r="AO11" s="7">
        <v>-4.2096427317415728</v>
      </c>
      <c r="AP11" s="7">
        <v>-3.638134216994382</v>
      </c>
      <c r="AQ11" s="7">
        <v>-3.0666257022471912</v>
      </c>
      <c r="AR11" s="7">
        <v>-2.4951171875</v>
      </c>
      <c r="AS11" s="7">
        <v>-1.923608672752809</v>
      </c>
      <c r="AT11" s="7">
        <v>-1.352100158005618</v>
      </c>
      <c r="AU11" s="7">
        <v>-0.780591643258427</v>
      </c>
      <c r="AV11" s="7">
        <v>-0.20908312851123595</v>
      </c>
      <c r="AW11" s="7">
        <v>0.10543283963227783</v>
      </c>
      <c r="AX11" s="7">
        <v>0.27168986210418794</v>
      </c>
      <c r="AY11" s="7">
        <v>0.43794688457609804</v>
      </c>
      <c r="AZ11" s="7">
        <v>0.60420390704800819</v>
      </c>
      <c r="BA11" s="7">
        <v>0.77046092951991829</v>
      </c>
      <c r="BB11" s="7">
        <v>0.93671795199182839</v>
      </c>
      <c r="BC11" s="7">
        <v>1.1029749744637385</v>
      </c>
      <c r="BD11" s="7">
        <v>1.2692319969356487</v>
      </c>
      <c r="BE11" s="7">
        <v>1.4354890194075587</v>
      </c>
      <c r="BF11" s="7">
        <v>1.6017460418794689</v>
      </c>
      <c r="BG11" s="7">
        <v>1.7680030643513789</v>
      </c>
      <c r="BH11" s="7">
        <v>1.9342600868232891</v>
      </c>
      <c r="BI11" s="7">
        <v>1.8935765140591203</v>
      </c>
      <c r="BJ11" s="7">
        <v>1.71755024333093</v>
      </c>
      <c r="BK11" s="7">
        <v>1.5415239726027397</v>
      </c>
      <c r="BL11" s="7">
        <v>1.3654977018745493</v>
      </c>
      <c r="BM11" s="7">
        <v>1.189471431146359</v>
      </c>
      <c r="BN11" s="7">
        <v>1.0134451604181687</v>
      </c>
      <c r="BO11" s="7">
        <v>0.83741888968997835</v>
      </c>
      <c r="BP11" s="7">
        <v>0.66139261896178803</v>
      </c>
      <c r="BQ11" s="7">
        <v>0.4853663482335977</v>
      </c>
      <c r="BR11" s="7">
        <v>0.30934007750540737</v>
      </c>
      <c r="BS11" s="7">
        <v>0.13331380677721702</v>
      </c>
      <c r="BT11" s="7">
        <v>-4.2712463950973327E-2</v>
      </c>
      <c r="BU11" s="7">
        <v>-0.21873873467916366</v>
      </c>
      <c r="BV11" s="7">
        <v>-0.39476500540735399</v>
      </c>
      <c r="BW11" s="7">
        <v>-0.57079127613554437</v>
      </c>
      <c r="BX11" s="7">
        <v>-0.74681754686373469</v>
      </c>
      <c r="BY11" s="7">
        <v>-0.92284381759192502</v>
      </c>
      <c r="BZ11" s="7">
        <v>-0.9764133449432405</v>
      </c>
      <c r="CA11" s="7">
        <v>-0.93442014963880293</v>
      </c>
      <c r="CB11" s="7">
        <v>-0.89242695433436536</v>
      </c>
      <c r="CC11" s="7">
        <v>-0.85043375902992779</v>
      </c>
      <c r="CD11" s="7">
        <v>-0.80844056372549022</v>
      </c>
      <c r="CE11" s="7">
        <v>-0.76644736842105265</v>
      </c>
      <c r="CF11" s="7">
        <v>-0.72445417311661509</v>
      </c>
      <c r="CG11" s="7">
        <v>-0.68246097781217752</v>
      </c>
      <c r="CH11" s="7">
        <v>-0.64046778250773995</v>
      </c>
      <c r="CI11" s="7">
        <v>-0.59847458720330238</v>
      </c>
      <c r="CJ11" s="7">
        <v>-0.55648139189886481</v>
      </c>
      <c r="CK11" s="7">
        <v>-0.51448819659442724</v>
      </c>
      <c r="CL11" s="7">
        <v>-0.47249500128998967</v>
      </c>
      <c r="CM11" s="7">
        <v>-0.4305018059855521</v>
      </c>
      <c r="CN11" s="7">
        <v>-0.38850861068111453</v>
      </c>
      <c r="CO11" s="7">
        <v>-0.34651541537667696</v>
      </c>
      <c r="CP11" s="7">
        <v>-0.30452222007223945</v>
      </c>
      <c r="CQ11" s="7">
        <v>-0.26252902476780188</v>
      </c>
      <c r="CR11" s="7">
        <v>-0.22053582946336428</v>
      </c>
      <c r="CS11" s="7">
        <v>-0.17854263415892674</v>
      </c>
      <c r="CT11" s="7">
        <v>-0.13654943885448917</v>
      </c>
      <c r="CU11" s="7">
        <v>-9.45562435500516E-2</v>
      </c>
      <c r="CV11" s="7">
        <v>-5.2563048245614037E-2</v>
      </c>
      <c r="CW11" s="7">
        <v>-1.0569852941176471E-2</v>
      </c>
      <c r="CX11" s="7">
        <v>0</v>
      </c>
      <c r="CY11" s="7">
        <v>0</v>
      </c>
      <c r="CZ11" s="7">
        <v>0</v>
      </c>
      <c r="DA11" s="7">
        <v>0</v>
      </c>
      <c r="DB11" s="7">
        <v>0</v>
      </c>
      <c r="DC11" s="7">
        <v>0</v>
      </c>
      <c r="DD11" s="7">
        <v>0</v>
      </c>
      <c r="DE11" s="7">
        <v>0</v>
      </c>
      <c r="DF11" s="7">
        <v>0</v>
      </c>
      <c r="DG11" s="7">
        <v>0</v>
      </c>
      <c r="DH11" s="7">
        <v>0</v>
      </c>
      <c r="DI11" s="7">
        <v>0</v>
      </c>
      <c r="DJ11" s="7">
        <v>0</v>
      </c>
      <c r="DK11" s="7">
        <v>0</v>
      </c>
      <c r="DL11" s="7">
        <v>0</v>
      </c>
      <c r="DM11" s="7">
        <v>0</v>
      </c>
      <c r="DN11" s="7">
        <v>0</v>
      </c>
      <c r="DO11" s="7">
        <v>0</v>
      </c>
      <c r="DP11" s="7">
        <v>0</v>
      </c>
      <c r="DQ11" s="7">
        <v>0</v>
      </c>
      <c r="DR11" s="7">
        <v>0</v>
      </c>
      <c r="DS11" s="7">
        <v>0</v>
      </c>
      <c r="DT11" s="7">
        <v>0</v>
      </c>
      <c r="DU11" s="7">
        <v>0</v>
      </c>
      <c r="DV11" s="7">
        <v>0</v>
      </c>
      <c r="DW11" s="7">
        <v>0</v>
      </c>
      <c r="DX11" s="7">
        <v>0</v>
      </c>
      <c r="DY11" s="7">
        <v>0</v>
      </c>
      <c r="DZ11" s="8">
        <v>0</v>
      </c>
    </row>
    <row r="14" spans="2:130" x14ac:dyDescent="0.25">
      <c r="B14" s="10" t="s">
        <v>8</v>
      </c>
      <c r="C14">
        <v>1</v>
      </c>
      <c r="D14">
        <v>82.3828125</v>
      </c>
      <c r="E14">
        <v>163.765625</v>
      </c>
      <c r="F14">
        <v>245.1484375</v>
      </c>
      <c r="G14">
        <v>326.53125</v>
      </c>
      <c r="H14">
        <v>407.9140625</v>
      </c>
      <c r="I14">
        <v>489.296875</v>
      </c>
      <c r="J14">
        <v>570.6796875</v>
      </c>
      <c r="K14">
        <v>652.0625</v>
      </c>
      <c r="L14">
        <v>733.4453125</v>
      </c>
      <c r="M14">
        <v>814.828125</v>
      </c>
      <c r="N14">
        <v>896.2109375</v>
      </c>
      <c r="O14">
        <v>977.59375</v>
      </c>
      <c r="P14">
        <v>1058.9765625</v>
      </c>
      <c r="Q14">
        <v>1140.359375</v>
      </c>
      <c r="R14">
        <v>1221.7421875</v>
      </c>
      <c r="S14">
        <v>1303.125</v>
      </c>
      <c r="T14">
        <v>1384.5078125</v>
      </c>
      <c r="U14">
        <v>1465.890625</v>
      </c>
      <c r="V14">
        <v>1547.2734375</v>
      </c>
      <c r="W14">
        <v>1628.65625</v>
      </c>
      <c r="X14">
        <v>1710.0390625</v>
      </c>
      <c r="Y14">
        <v>1791.421875</v>
      </c>
      <c r="Z14">
        <v>1872.8046875</v>
      </c>
      <c r="AA14">
        <v>1954.1875</v>
      </c>
      <c r="AB14">
        <v>2035.5703125</v>
      </c>
      <c r="AC14">
        <v>2116.953125</v>
      </c>
      <c r="AD14">
        <v>2198.3359375</v>
      </c>
      <c r="AE14">
        <v>2279.71875</v>
      </c>
      <c r="AF14">
        <v>2361.1015625</v>
      </c>
      <c r="AG14">
        <v>2442.484375</v>
      </c>
      <c r="AH14">
        <v>2523.8671875</v>
      </c>
      <c r="AI14">
        <v>2605.25</v>
      </c>
      <c r="AJ14">
        <v>2686.6328125</v>
      </c>
      <c r="AK14">
        <v>2768.015625</v>
      </c>
      <c r="AL14">
        <v>2849.3984375</v>
      </c>
      <c r="AM14">
        <v>2930.78125</v>
      </c>
      <c r="AN14">
        <v>3012.1640625</v>
      </c>
      <c r="AO14">
        <v>3093.546875</v>
      </c>
      <c r="AP14">
        <v>3174.9296875</v>
      </c>
      <c r="AQ14">
        <v>3256.3125</v>
      </c>
      <c r="AR14">
        <v>3337.6953125</v>
      </c>
      <c r="AS14">
        <v>3419.078125</v>
      </c>
      <c r="AT14">
        <v>3500.4609375</v>
      </c>
      <c r="AU14">
        <v>3581.84375</v>
      </c>
      <c r="AV14">
        <v>3663.2265625</v>
      </c>
      <c r="AW14">
        <v>3744.609375</v>
      </c>
      <c r="AX14">
        <v>3825.9921875</v>
      </c>
      <c r="AY14">
        <v>3907.375</v>
      </c>
      <c r="AZ14">
        <v>3988.7578125</v>
      </c>
      <c r="BA14">
        <v>4070.140625</v>
      </c>
      <c r="BB14">
        <v>4151.5234375</v>
      </c>
      <c r="BC14">
        <v>4232.90625</v>
      </c>
      <c r="BD14">
        <v>4314.2890625</v>
      </c>
      <c r="BE14">
        <v>4395.671875</v>
      </c>
      <c r="BF14">
        <v>4477.0546875</v>
      </c>
      <c r="BG14">
        <v>4558.4375</v>
      </c>
      <c r="BH14">
        <v>4639.8203125</v>
      </c>
      <c r="BI14">
        <v>4721.203125</v>
      </c>
      <c r="BJ14">
        <v>4802.5859375</v>
      </c>
      <c r="BK14">
        <v>4883.96875</v>
      </c>
      <c r="BL14">
        <v>4965.3515625</v>
      </c>
      <c r="BM14">
        <v>5046.734375</v>
      </c>
      <c r="BN14">
        <v>5128.1171875</v>
      </c>
      <c r="BO14">
        <v>5209.5</v>
      </c>
      <c r="BP14">
        <v>5290.8828125</v>
      </c>
      <c r="BQ14">
        <v>5372.265625</v>
      </c>
      <c r="BR14">
        <v>5453.6484375</v>
      </c>
      <c r="BS14">
        <v>5535.03125</v>
      </c>
      <c r="BT14">
        <v>5616.4140625</v>
      </c>
      <c r="BU14">
        <v>5697.796875</v>
      </c>
      <c r="BV14">
        <v>5779.1796875</v>
      </c>
      <c r="BW14">
        <v>5860.5625</v>
      </c>
      <c r="BX14">
        <v>5941.9453125</v>
      </c>
      <c r="BY14">
        <v>6023.328125</v>
      </c>
      <c r="BZ14">
        <v>6104.7109375</v>
      </c>
      <c r="CA14">
        <v>6186.09375</v>
      </c>
      <c r="CB14">
        <v>6267.4765625</v>
      </c>
      <c r="CC14">
        <v>6348.859375</v>
      </c>
      <c r="CD14">
        <v>6430.2421875</v>
      </c>
      <c r="CE14">
        <v>6511.625</v>
      </c>
      <c r="CF14">
        <v>6593.0078125</v>
      </c>
      <c r="CG14">
        <v>6674.390625</v>
      </c>
      <c r="CH14">
        <v>6755.7734375</v>
      </c>
      <c r="CI14">
        <v>6837.15625</v>
      </c>
      <c r="CJ14">
        <v>6918.5390625</v>
      </c>
      <c r="CK14">
        <v>6999.921875</v>
      </c>
      <c r="CL14">
        <v>7081.3046875</v>
      </c>
      <c r="CM14">
        <v>7162.6875</v>
      </c>
      <c r="CN14">
        <v>7244.0703125</v>
      </c>
      <c r="CO14">
        <v>7325.453125</v>
      </c>
      <c r="CP14">
        <v>7406.8359375</v>
      </c>
      <c r="CQ14">
        <v>7488.21875</v>
      </c>
      <c r="CR14">
        <v>7569.6015625</v>
      </c>
      <c r="CS14">
        <v>7650.984375</v>
      </c>
      <c r="CT14">
        <v>7732.3671875</v>
      </c>
      <c r="CU14">
        <v>7813.75</v>
      </c>
      <c r="CV14">
        <v>7895.1328125</v>
      </c>
      <c r="CW14">
        <v>7976.515625</v>
      </c>
      <c r="CX14">
        <v>8057.8984375</v>
      </c>
      <c r="CY14">
        <v>8139.28125</v>
      </c>
      <c r="CZ14">
        <v>8220.6640625</v>
      </c>
      <c r="DA14">
        <v>8302.046875</v>
      </c>
      <c r="DB14">
        <v>8383.4296875</v>
      </c>
      <c r="DC14">
        <v>8464.8125</v>
      </c>
      <c r="DD14">
        <v>8546.1953125</v>
      </c>
      <c r="DE14">
        <v>8627.578125</v>
      </c>
      <c r="DF14">
        <v>8708.9609375</v>
      </c>
      <c r="DG14">
        <v>8790.34375</v>
      </c>
      <c r="DH14">
        <v>8871.7265625</v>
      </c>
      <c r="DI14">
        <v>8953.109375</v>
      </c>
      <c r="DJ14">
        <v>9034.4921875</v>
      </c>
      <c r="DK14">
        <v>9115.875</v>
      </c>
      <c r="DL14">
        <v>9197.2578125</v>
      </c>
      <c r="DM14">
        <v>9278.640625</v>
      </c>
      <c r="DN14">
        <v>9360.0234375</v>
      </c>
      <c r="DO14">
        <v>9441.40625</v>
      </c>
      <c r="DP14">
        <v>9522.7890625</v>
      </c>
      <c r="DQ14">
        <v>9604.171875</v>
      </c>
      <c r="DR14">
        <v>9685.5546875</v>
      </c>
      <c r="DS14">
        <v>9766.9375</v>
      </c>
      <c r="DT14">
        <v>9848.3203125</v>
      </c>
      <c r="DU14">
        <v>9929.703125</v>
      </c>
      <c r="DV14">
        <v>10011.0859375</v>
      </c>
      <c r="DW14">
        <v>10092.46875</v>
      </c>
      <c r="DX14">
        <v>10173.8515625</v>
      </c>
      <c r="DY14">
        <v>10255.234375</v>
      </c>
      <c r="DZ14">
        <v>10336.6171875</v>
      </c>
    </row>
    <row r="15" spans="2:130" x14ac:dyDescent="0.25">
      <c r="B15" s="10" t="s">
        <v>7</v>
      </c>
      <c r="C15">
        <v>1</v>
      </c>
      <c r="D15">
        <v>62.03125</v>
      </c>
      <c r="E15">
        <v>123.0625</v>
      </c>
      <c r="F15">
        <v>184.09375</v>
      </c>
      <c r="G15">
        <v>245.125</v>
      </c>
      <c r="H15">
        <v>306.15625</v>
      </c>
      <c r="I15">
        <v>367.1875</v>
      </c>
      <c r="J15">
        <v>428.21875</v>
      </c>
      <c r="K15">
        <v>489.25</v>
      </c>
      <c r="L15">
        <v>550.28125</v>
      </c>
      <c r="M15">
        <v>611.3125</v>
      </c>
      <c r="N15">
        <v>672.34375</v>
      </c>
      <c r="O15">
        <v>733.375</v>
      </c>
      <c r="P15">
        <v>794.40625</v>
      </c>
      <c r="Q15">
        <v>855.4375</v>
      </c>
      <c r="R15">
        <v>916.46875</v>
      </c>
      <c r="S15">
        <v>977.5</v>
      </c>
      <c r="T15">
        <v>1038.53125</v>
      </c>
      <c r="U15">
        <v>1099.5625</v>
      </c>
      <c r="V15">
        <v>1160.59375</v>
      </c>
      <c r="W15">
        <v>1221.625</v>
      </c>
      <c r="X15">
        <v>1282.65625</v>
      </c>
      <c r="Y15">
        <v>1343.6875</v>
      </c>
      <c r="Z15">
        <v>1404.71875</v>
      </c>
      <c r="AA15">
        <v>1465.75</v>
      </c>
      <c r="AB15">
        <v>1526.78125</v>
      </c>
      <c r="AC15">
        <v>1587.8125</v>
      </c>
      <c r="AD15">
        <v>1648.84375</v>
      </c>
      <c r="AE15">
        <v>1709.875</v>
      </c>
      <c r="AF15">
        <v>1770.90625</v>
      </c>
      <c r="AG15">
        <v>1831.9375</v>
      </c>
      <c r="AH15">
        <v>1892.96875</v>
      </c>
      <c r="AI15">
        <v>1954</v>
      </c>
      <c r="AJ15">
        <v>2015.03125</v>
      </c>
      <c r="AK15">
        <v>2076.0625</v>
      </c>
      <c r="AL15">
        <v>2137.09375</v>
      </c>
      <c r="AM15">
        <v>2198.125</v>
      </c>
      <c r="AN15">
        <v>2259.15625</v>
      </c>
      <c r="AO15">
        <v>2320.1875</v>
      </c>
      <c r="AP15">
        <v>2381.21875</v>
      </c>
      <c r="AQ15">
        <v>2442.25</v>
      </c>
      <c r="AR15">
        <v>2503.28125</v>
      </c>
      <c r="AS15">
        <v>2564.3125</v>
      </c>
      <c r="AT15">
        <v>2625.34375</v>
      </c>
      <c r="AU15">
        <v>2686.375</v>
      </c>
      <c r="AV15">
        <v>2747.40625</v>
      </c>
      <c r="AW15">
        <v>2808.4375</v>
      </c>
      <c r="AX15">
        <v>2869.46875</v>
      </c>
      <c r="AY15">
        <v>2930.5</v>
      </c>
      <c r="AZ15">
        <v>2991.53125</v>
      </c>
      <c r="BA15">
        <v>3052.5625</v>
      </c>
      <c r="BB15">
        <v>3113.59375</v>
      </c>
      <c r="BC15">
        <v>3174.625</v>
      </c>
      <c r="BD15">
        <v>3235.65625</v>
      </c>
      <c r="BE15">
        <v>3296.6875</v>
      </c>
      <c r="BF15">
        <v>3357.71875</v>
      </c>
      <c r="BG15">
        <v>3418.75</v>
      </c>
      <c r="BH15">
        <v>3479.78125</v>
      </c>
      <c r="BI15">
        <v>3540.8125</v>
      </c>
      <c r="BJ15">
        <v>3601.84375</v>
      </c>
      <c r="BK15">
        <v>3662.875</v>
      </c>
      <c r="BL15">
        <v>3723.90625</v>
      </c>
      <c r="BM15">
        <v>3784.9375</v>
      </c>
      <c r="BN15">
        <v>3845.96875</v>
      </c>
      <c r="BO15">
        <v>3907</v>
      </c>
      <c r="BP15">
        <v>3968.03125</v>
      </c>
      <c r="BQ15">
        <v>4029.0625</v>
      </c>
      <c r="BR15">
        <v>4090.09375</v>
      </c>
      <c r="BS15">
        <v>4151.125</v>
      </c>
      <c r="BT15">
        <v>4212.15625</v>
      </c>
      <c r="BU15">
        <v>4273.1875</v>
      </c>
      <c r="BV15">
        <v>4334.21875</v>
      </c>
      <c r="BW15">
        <v>4395.25</v>
      </c>
      <c r="BX15">
        <v>4456.28125</v>
      </c>
      <c r="BY15">
        <v>4517.3125</v>
      </c>
      <c r="BZ15">
        <v>4578.34375</v>
      </c>
      <c r="CA15">
        <v>4639.375</v>
      </c>
      <c r="CB15">
        <v>4700.40625</v>
      </c>
      <c r="CC15">
        <v>4761.4375</v>
      </c>
      <c r="CD15">
        <v>4822.46875</v>
      </c>
      <c r="CE15">
        <v>4883.5</v>
      </c>
      <c r="CF15">
        <v>4944.53125</v>
      </c>
      <c r="CG15">
        <v>5005.5625</v>
      </c>
      <c r="CH15">
        <v>5066.59375</v>
      </c>
      <c r="CI15">
        <v>5127.625</v>
      </c>
      <c r="CJ15">
        <v>5188.65625</v>
      </c>
      <c r="CK15">
        <v>5249.6875</v>
      </c>
      <c r="CL15">
        <v>5310.71875</v>
      </c>
      <c r="CM15">
        <v>5371.75</v>
      </c>
      <c r="CN15">
        <v>5432.78125</v>
      </c>
      <c r="CO15">
        <v>5493.8125</v>
      </c>
      <c r="CP15">
        <v>5554.84375</v>
      </c>
      <c r="CQ15">
        <v>5615.875</v>
      </c>
      <c r="CR15">
        <v>5676.90625</v>
      </c>
      <c r="CS15">
        <v>5737.9375</v>
      </c>
      <c r="CT15">
        <v>5798.96875</v>
      </c>
      <c r="CU15">
        <v>5860</v>
      </c>
      <c r="CV15">
        <v>5921.03125</v>
      </c>
      <c r="CW15">
        <v>5982.0625</v>
      </c>
      <c r="CX15">
        <v>6043.09375</v>
      </c>
      <c r="CY15">
        <v>6104.125</v>
      </c>
      <c r="CZ15">
        <v>6165.15625</v>
      </c>
      <c r="DA15">
        <v>6226.1875</v>
      </c>
      <c r="DB15">
        <v>6287.21875</v>
      </c>
      <c r="DC15">
        <v>6348.25</v>
      </c>
      <c r="DD15">
        <v>6409.28125</v>
      </c>
      <c r="DE15">
        <v>6470.3125</v>
      </c>
      <c r="DF15">
        <v>6531.34375</v>
      </c>
      <c r="DG15">
        <v>6592.375</v>
      </c>
      <c r="DH15">
        <v>6653.40625</v>
      </c>
      <c r="DI15">
        <v>6714.4375</v>
      </c>
      <c r="DJ15">
        <v>6775.46875</v>
      </c>
      <c r="DK15">
        <v>6836.5</v>
      </c>
      <c r="DL15">
        <v>6897.53125</v>
      </c>
      <c r="DM15">
        <v>6958.5625</v>
      </c>
      <c r="DN15">
        <v>7019.59375</v>
      </c>
      <c r="DO15">
        <v>7080.625</v>
      </c>
      <c r="DP15">
        <v>7141.65625</v>
      </c>
      <c r="DQ15">
        <v>7202.6875</v>
      </c>
      <c r="DR15">
        <v>7263.71875</v>
      </c>
      <c r="DS15">
        <v>7324.75</v>
      </c>
      <c r="DT15">
        <v>7385.78125</v>
      </c>
      <c r="DU15">
        <v>7446.8125</v>
      </c>
      <c r="DV15">
        <v>7507.84375</v>
      </c>
      <c r="DW15">
        <v>7568.875</v>
      </c>
      <c r="DX15">
        <v>7629.90625</v>
      </c>
      <c r="DY15">
        <v>7690.9375</v>
      </c>
      <c r="DZ15">
        <v>7751.96875</v>
      </c>
    </row>
    <row r="18" spans="2:3" x14ac:dyDescent="0.25">
      <c r="B18" s="10" t="s">
        <v>5</v>
      </c>
      <c r="C18">
        <v>6</v>
      </c>
    </row>
    <row r="19" spans="2:3" x14ac:dyDescent="0.25">
      <c r="B19" s="10" t="s">
        <v>6</v>
      </c>
      <c r="C19">
        <v>0</v>
      </c>
    </row>
    <row r="25" spans="2:3" x14ac:dyDescent="0.25">
      <c r="C25" t="s">
        <v>11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data</vt:lpstr>
      <vt:lpstr>import</vt:lpstr>
      <vt:lpstr>calibration</vt:lpstr>
      <vt:lpstr>Dooku</vt:lpstr>
      <vt:lpstr>Palpatine</vt:lpstr>
      <vt:lpstr>import!temp</vt:lpstr>
      <vt:lpstr>import!temp_1</vt:lpstr>
      <vt:lpstr>首列</vt:lpstr>
    </vt:vector>
  </TitlesOfParts>
  <Company>GN ReSound A/S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Chen, Chandler</dc:creator>
  <cp:lastModifiedBy>Chen, Chandler</cp:lastModifiedBy>
  <dcterms:created xsi:type="dcterms:W3CDTF">2018-01-26T03:41:57Z</dcterms:created>
  <dcterms:modified xsi:type="dcterms:W3CDTF">2018-02-07T06:10:46Z</dcterms:modified>
</cp:coreProperties>
</file>