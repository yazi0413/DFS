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22320" yWindow="0" windowWidth="24540" windowHeight="16020" activeTab="2"/>
  </bookViews>
  <sheets>
    <sheet name="User Guide" sheetId="7" r:id="rId1"/>
    <sheet name="output" sheetId="3" r:id="rId2"/>
    <sheet name="import" sheetId="1" r:id="rId3"/>
    <sheet name="calibration" sheetId="4" state="hidden" r:id="rId4"/>
    <sheet name="front" sheetId="5" state="hidden" r:id="rId5"/>
    <sheet name="rear" sheetId="6" state="hidden" r:id="rId6"/>
  </sheets>
  <definedNames>
    <definedName name="Dooku">calibration!$C$19</definedName>
    <definedName name="Palpatine">calibration!$C$18</definedName>
    <definedName name="temp" localSheetId="2">import!$B$3:$DY$3</definedName>
    <definedName name="temp_1" localSheetId="2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S8" i="4"/>
  <c r="C7" i="4"/>
  <c r="G16" i="1"/>
  <c r="R8" i="4" s="1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C8" i="4" l="1"/>
  <c r="D8" i="4"/>
  <c r="E8" i="4"/>
  <c r="H8" i="4"/>
  <c r="G8" i="4"/>
  <c r="I8" i="4"/>
  <c r="L8" i="4"/>
  <c r="K8" i="4"/>
  <c r="M8" i="4"/>
  <c r="N8" i="4"/>
  <c r="O8" i="4"/>
  <c r="F8" i="4"/>
  <c r="J8" i="4"/>
  <c r="P8" i="4"/>
  <c r="Q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<sst xmlns="http://schemas.openxmlformats.org/spreadsheetml/2006/main" count="40" uniqueCount="38">
  <si>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</si>
  <si>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</si>
  <si>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</si>
  <si>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</si>
  <si>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</si>
  <si>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</si>
  <si>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</si>
  <si>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</si>
  <si>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</si>
  <si>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</si>
  <si>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FILL all the yellow section, choose firmware from pull-down list below</t>
  </si>
  <si>
    <t>Don't type anything besides yellow cells</t>
  </si>
  <si>
    <t>prod. Sys.Offset=</t>
  </si>
  <si>
    <t>sys. cal</t>
  </si>
  <si>
    <t>Made by (document owner):</t>
  </si>
  <si>
    <t>Chandler Chen</t>
  </si>
  <si>
    <t>Revision Log for technical data</t>
  </si>
  <si>
    <t>Date</t>
  </si>
  <si>
    <t>Change(s)</t>
  </si>
  <si>
    <t>Author</t>
  </si>
  <si>
    <t>overview</t>
  </si>
  <si>
    <t>C:\Users\chache\Documents\logfile_</t>
  </si>
  <si>
    <t>This macro can get the maximum stable insertion gain from ALT DFS log files</t>
  </si>
  <si>
    <t>No Matlab is required</t>
  </si>
  <si>
    <t>initial version</t>
  </si>
  <si>
    <t>CC</t>
  </si>
  <si>
    <t>DFS2MSIG</t>
  </si>
  <si>
    <t>Process</t>
  </si>
  <si>
    <t>Generate the dfs calibration log files (DFSInitSuccess)</t>
  </si>
  <si>
    <t>The matlab script is transfering impluse response of the feedback into frequency domain</t>
  </si>
  <si>
    <t>Move the log files you want into one folder</t>
  </si>
  <si>
    <t>Background</t>
  </si>
  <si>
    <t>Go to "import" sheet and fill the information</t>
  </si>
  <si>
    <t>Actually the DFS modeler has already exported this which is named "msg_dfs_off"</t>
  </si>
  <si>
    <t>So, What I did is import all msg_dfs_off from log files, include the system and make the MaxStableInsertionGain</t>
  </si>
  <si>
    <t>Rev 1</t>
  </si>
  <si>
    <r>
      <t xml:space="preserve">one issue was found, the coefficients for the feedback filter was not written correctly during TCDFS init. </t>
    </r>
    <r>
      <rPr>
        <b/>
        <sz val="10"/>
        <rFont val="Arial"/>
        <family val="2"/>
      </rPr>
      <t>So for TC input mode, it is not available now</t>
    </r>
    <r>
      <rPr>
        <sz val="10"/>
        <rFont val="Arial"/>
        <family val="2"/>
      </rPr>
      <t>.</t>
    </r>
  </si>
  <si>
    <t>Press the Import button, you will see the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</si>
</sst>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0" fontId="10" fillId="0" borderId="0"/>
  </cellStyleXfs>
  <cellXfs count="54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6" fillId="2" borderId="11" xfId="0" applyFont="1" applyFill="1" applyBorder="1"/>
    <xf numFmtId="0" fontId="10" fillId="0" borderId="0" xfId="1" applyAlignment="1" applyProtection="1">
      <alignment vertical="top"/>
    </xf>
    <xf numFmtId="0" fontId="10" fillId="0" borderId="0" xfId="1" applyAlignment="1" applyProtection="1">
      <alignment horizontal="left" vertical="top" wrapText="1"/>
    </xf>
    <xf numFmtId="0" fontId="10" fillId="0" borderId="0" xfId="1" applyAlignment="1">
      <alignment vertical="top"/>
    </xf>
    <xf numFmtId="0" fontId="11" fillId="0" borderId="0" xfId="1" applyFont="1" applyAlignment="1" applyProtection="1">
      <alignment vertical="top"/>
    </xf>
    <xf numFmtId="0" fontId="12" fillId="0" borderId="0" xfId="1" applyFont="1" applyAlignment="1" applyProtection="1">
      <alignment vertical="top"/>
    </xf>
    <xf numFmtId="0" fontId="10" fillId="0" borderId="0" xfId="2" applyFont="1" applyAlignment="1">
      <alignment horizontal="left" vertical="top" wrapText="1"/>
    </xf>
    <xf numFmtId="0" fontId="10" fillId="0" borderId="0" xfId="1" applyFont="1" applyAlignment="1" applyProtection="1">
      <alignment horizontal="left" vertical="top" wrapText="1"/>
    </xf>
    <xf numFmtId="0" fontId="13" fillId="0" borderId="0" xfId="1" applyFont="1" applyAlignment="1" applyProtection="1">
      <alignment vertical="top"/>
    </xf>
    <xf numFmtId="0" fontId="10" fillId="0" borderId="6" xfId="1" applyBorder="1" applyAlignment="1" applyProtection="1">
      <alignment vertical="top"/>
    </xf>
    <xf numFmtId="0" fontId="10" fillId="0" borderId="6" xfId="1" applyBorder="1" applyAlignment="1" applyProtection="1">
      <alignment horizontal="left" vertical="top" wrapText="1"/>
    </xf>
    <xf numFmtId="14" fontId="10" fillId="0" borderId="0" xfId="1" applyNumberFormat="1" applyFont="1" applyAlignment="1" applyProtection="1">
      <alignment vertical="top"/>
    </xf>
    <xf numFmtId="0" fontId="10" fillId="0" borderId="0" xfId="1" applyFont="1" applyAlignment="1" applyProtection="1">
      <alignment vertical="top"/>
    </xf>
    <xf numFmtId="14" fontId="10" fillId="0" borderId="0" xfId="1" applyNumberFormat="1" applyAlignment="1" applyProtection="1">
      <alignment vertical="top"/>
    </xf>
    <xf numFmtId="0" fontId="14" fillId="0" borderId="0" xfId="1" applyFont="1" applyAlignment="1" applyProtection="1">
      <alignment vertical="top"/>
    </xf>
    <xf numFmtId="0" fontId="10" fillId="0" borderId="0" xfId="1" applyAlignment="1">
      <alignment horizontal="left" vertical="top" wrapText="1"/>
    </xf>
    <xf numFmtId="0" fontId="10" fillId="0" borderId="0" xfId="1" applyFont="1" applyAlignment="1" applyProtection="1">
      <alignment horizontal="left" vertical="top"/>
    </xf>
    <xf numFmtId="0" fontId="7" fillId="3" borderId="11" xfId="0" applyFont="1" applyFill="1" applyBorder="1"/>
    <xf numFmtId="0" fontId="15" fillId="0" borderId="0" xfId="1" applyFont="1" applyAlignment="1" applyProtection="1">
      <alignment vertical="top"/>
    </xf>
    <xf numFmtId="0" fontId="10" fillId="4" borderId="0" xfId="1" applyFont="1" applyFill="1" applyAlignment="1" applyProtection="1">
      <alignment horizontal="left" vertical="top" wrapText="1"/>
    </xf>
    <xf numFmtId="0" fontId="10" fillId="4" borderId="0" xfId="1" applyFill="1" applyAlignment="1">
      <alignment horizontal="left" vertical="top" wrapText="1"/>
    </xf>
    <xf numFmtId="0" fontId="14" fillId="0" borderId="0" xfId="1" applyFont="1" applyAlignment="1" applyProtection="1">
      <alignment horizontal="left" vertical="top" wrapText="1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V100"/>
  <sheetViews>
    <sheetView workbookViewId="0">
      <selection activeCell="C29" sqref="C29"/>
    </sheetView>
  </sheetViews>
  <sheetFormatPr defaultRowHeight="12.75" x14ac:dyDescent="0.25"/>
  <cols>
    <col min="1" max="1" width="3.42578125" style="29" customWidth="1"/>
    <col min="2" max="2" width="35.140625" style="29" customWidth="1"/>
    <col min="3" max="3" width="49.85546875" style="41" customWidth="1"/>
    <col min="4" max="16384" width="9.140625" style="29"/>
  </cols>
  <sheetData>
    <row r="1" spans="1:256" x14ac:dyDescent="0.25">
      <c r="A1" s="27"/>
      <c r="B1" s="27"/>
      <c r="C1" s="28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</row>
    <row r="2" spans="1:256" ht="20.25" x14ac:dyDescent="0.25">
      <c r="A2" s="27"/>
      <c r="B2" s="30" t="s">
        <v>26</v>
      </c>
      <c r="C2" s="28"/>
      <c r="D2" s="27"/>
      <c r="E2" s="27"/>
      <c r="F2" s="27"/>
      <c r="G2" s="27"/>
      <c r="H2" s="27"/>
      <c r="I2" s="44" t="s">
        <v>35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  <c r="DZ2" s="27"/>
      <c r="EA2" s="27"/>
      <c r="EB2" s="27"/>
      <c r="EC2" s="27"/>
      <c r="ED2" s="27"/>
      <c r="EE2" s="27"/>
      <c r="EF2" s="27"/>
      <c r="EG2" s="27"/>
      <c r="EH2" s="27"/>
      <c r="EI2" s="27"/>
      <c r="EJ2" s="27"/>
      <c r="EK2" s="27"/>
      <c r="EL2" s="27"/>
      <c r="EM2" s="27"/>
      <c r="EN2" s="27"/>
      <c r="EO2" s="27"/>
      <c r="EP2" s="27"/>
      <c r="EQ2" s="27"/>
      <c r="ER2" s="27"/>
      <c r="ES2" s="27"/>
      <c r="ET2" s="27"/>
      <c r="EU2" s="27"/>
      <c r="EV2" s="27"/>
      <c r="EW2" s="27"/>
      <c r="EX2" s="27"/>
      <c r="EY2" s="27"/>
      <c r="EZ2" s="27"/>
      <c r="FA2" s="27"/>
      <c r="FB2" s="27"/>
      <c r="FC2" s="27"/>
      <c r="FD2" s="27"/>
      <c r="FE2" s="27"/>
      <c r="FF2" s="27"/>
      <c r="FG2" s="27"/>
      <c r="FH2" s="27"/>
      <c r="FI2" s="27"/>
      <c r="FJ2" s="27"/>
      <c r="FK2" s="27"/>
      <c r="FL2" s="27"/>
      <c r="FM2" s="27"/>
      <c r="FN2" s="27"/>
      <c r="FO2" s="27"/>
      <c r="FP2" s="27"/>
      <c r="FQ2" s="27"/>
      <c r="FR2" s="27"/>
      <c r="FS2" s="27"/>
      <c r="FT2" s="27"/>
      <c r="FU2" s="27"/>
      <c r="FV2" s="27"/>
      <c r="FW2" s="27"/>
      <c r="FX2" s="27"/>
      <c r="FY2" s="27"/>
      <c r="FZ2" s="27"/>
      <c r="GA2" s="27"/>
      <c r="GB2" s="27"/>
      <c r="GC2" s="27"/>
      <c r="GD2" s="27"/>
      <c r="GE2" s="27"/>
      <c r="GF2" s="27"/>
      <c r="GG2" s="27"/>
      <c r="GH2" s="27"/>
      <c r="GI2" s="27"/>
      <c r="GJ2" s="27"/>
      <c r="GK2" s="27"/>
      <c r="GL2" s="27"/>
      <c r="GM2" s="27"/>
      <c r="GN2" s="27"/>
      <c r="GO2" s="27"/>
      <c r="GP2" s="27"/>
      <c r="GQ2" s="27"/>
      <c r="GR2" s="27"/>
      <c r="GS2" s="27"/>
      <c r="GT2" s="27"/>
      <c r="GU2" s="27"/>
      <c r="GV2" s="27"/>
      <c r="GW2" s="27"/>
      <c r="GX2" s="27"/>
      <c r="GY2" s="27"/>
      <c r="GZ2" s="27"/>
      <c r="HA2" s="27"/>
      <c r="HB2" s="27"/>
      <c r="HC2" s="27"/>
      <c r="HD2" s="27"/>
      <c r="HE2" s="27"/>
      <c r="HF2" s="27"/>
      <c r="HG2" s="27"/>
      <c r="HH2" s="27"/>
      <c r="HI2" s="27"/>
      <c r="HJ2" s="27"/>
      <c r="HK2" s="27"/>
      <c r="HL2" s="27"/>
      <c r="HM2" s="27"/>
      <c r="HN2" s="27"/>
      <c r="HO2" s="27"/>
      <c r="HP2" s="27"/>
      <c r="HQ2" s="27"/>
      <c r="HR2" s="27"/>
      <c r="HS2" s="27"/>
      <c r="HT2" s="27"/>
      <c r="HU2" s="27"/>
      <c r="HV2" s="27"/>
      <c r="HW2" s="27"/>
      <c r="HX2" s="27"/>
      <c r="HY2" s="27"/>
      <c r="HZ2" s="27"/>
      <c r="IA2" s="27"/>
      <c r="IB2" s="27"/>
      <c r="IC2" s="27"/>
      <c r="ID2" s="27"/>
      <c r="IE2" s="27"/>
      <c r="IF2" s="27"/>
      <c r="IG2" s="27"/>
      <c r="IH2" s="27"/>
      <c r="II2" s="27"/>
      <c r="IJ2" s="27"/>
      <c r="IK2" s="27"/>
      <c r="IL2" s="27"/>
      <c r="IM2" s="27"/>
      <c r="IN2" s="27"/>
      <c r="IO2" s="27"/>
      <c r="IP2" s="27"/>
      <c r="IQ2" s="27"/>
      <c r="IR2" s="27"/>
      <c r="IS2" s="27"/>
      <c r="IT2" s="27"/>
      <c r="IU2" s="27"/>
      <c r="IV2" s="27"/>
    </row>
    <row r="3" spans="1:256" x14ac:dyDescent="0.25">
      <c r="A3" s="27"/>
      <c r="B3" s="27"/>
      <c r="C3" s="28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  <c r="DZ3" s="27"/>
      <c r="EA3" s="27"/>
      <c r="EB3" s="27"/>
      <c r="EC3" s="27"/>
      <c r="ED3" s="27"/>
      <c r="EE3" s="27"/>
      <c r="EF3" s="27"/>
      <c r="EG3" s="27"/>
      <c r="EH3" s="27"/>
      <c r="EI3" s="27"/>
      <c r="EJ3" s="27"/>
      <c r="EK3" s="27"/>
      <c r="EL3" s="27"/>
      <c r="EM3" s="27"/>
      <c r="EN3" s="27"/>
      <c r="EO3" s="27"/>
      <c r="EP3" s="27"/>
      <c r="EQ3" s="27"/>
      <c r="ER3" s="27"/>
      <c r="ES3" s="27"/>
      <c r="ET3" s="27"/>
      <c r="EU3" s="27"/>
      <c r="EV3" s="27"/>
      <c r="EW3" s="27"/>
      <c r="EX3" s="27"/>
      <c r="EY3" s="27"/>
      <c r="EZ3" s="27"/>
      <c r="FA3" s="27"/>
      <c r="FB3" s="27"/>
      <c r="FC3" s="27"/>
      <c r="FD3" s="27"/>
      <c r="FE3" s="27"/>
      <c r="FF3" s="27"/>
      <c r="FG3" s="27"/>
      <c r="FH3" s="27"/>
      <c r="FI3" s="27"/>
      <c r="FJ3" s="27"/>
      <c r="FK3" s="27"/>
      <c r="FL3" s="27"/>
      <c r="FM3" s="27"/>
      <c r="FN3" s="27"/>
      <c r="FO3" s="27"/>
      <c r="FP3" s="27"/>
      <c r="FQ3" s="27"/>
      <c r="FR3" s="27"/>
      <c r="FS3" s="27"/>
      <c r="FT3" s="27"/>
      <c r="FU3" s="27"/>
      <c r="FV3" s="27"/>
      <c r="FW3" s="27"/>
      <c r="FX3" s="27"/>
      <c r="FY3" s="27"/>
      <c r="FZ3" s="27"/>
      <c r="GA3" s="27"/>
      <c r="GB3" s="27"/>
      <c r="GC3" s="27"/>
      <c r="GD3" s="27"/>
      <c r="GE3" s="27"/>
      <c r="GF3" s="27"/>
      <c r="GG3" s="27"/>
      <c r="GH3" s="27"/>
      <c r="GI3" s="27"/>
      <c r="GJ3" s="27"/>
      <c r="GK3" s="27"/>
      <c r="GL3" s="27"/>
      <c r="GM3" s="27"/>
      <c r="GN3" s="27"/>
      <c r="GO3" s="27"/>
      <c r="GP3" s="27"/>
      <c r="GQ3" s="27"/>
      <c r="GR3" s="27"/>
      <c r="GS3" s="27"/>
      <c r="GT3" s="27"/>
      <c r="GU3" s="27"/>
      <c r="GV3" s="27"/>
      <c r="GW3" s="27"/>
      <c r="GX3" s="27"/>
      <c r="GY3" s="27"/>
      <c r="GZ3" s="27"/>
      <c r="HA3" s="27"/>
      <c r="HB3" s="27"/>
      <c r="HC3" s="27"/>
      <c r="HD3" s="27"/>
      <c r="HE3" s="27"/>
      <c r="HF3" s="27"/>
      <c r="HG3" s="27"/>
      <c r="HH3" s="27"/>
      <c r="HI3" s="27"/>
      <c r="HJ3" s="27"/>
      <c r="HK3" s="27"/>
      <c r="HL3" s="27"/>
      <c r="HM3" s="27"/>
      <c r="HN3" s="27"/>
      <c r="HO3" s="27"/>
      <c r="HP3" s="27"/>
      <c r="HQ3" s="27"/>
      <c r="HR3" s="27"/>
      <c r="HS3" s="27"/>
      <c r="HT3" s="27"/>
      <c r="HU3" s="27"/>
      <c r="HV3" s="27"/>
      <c r="HW3" s="27"/>
      <c r="HX3" s="27"/>
      <c r="HY3" s="27"/>
      <c r="HZ3" s="27"/>
      <c r="IA3" s="27"/>
      <c r="IB3" s="27"/>
      <c r="IC3" s="27"/>
      <c r="ID3" s="27"/>
      <c r="IE3" s="27"/>
      <c r="IF3" s="27"/>
      <c r="IG3" s="27"/>
      <c r="IH3" s="27"/>
      <c r="II3" s="27"/>
      <c r="IJ3" s="27"/>
      <c r="IK3" s="27"/>
      <c r="IL3" s="27"/>
      <c r="IM3" s="27"/>
      <c r="IN3" s="27"/>
      <c r="IO3" s="27"/>
      <c r="IP3" s="27"/>
      <c r="IQ3" s="27"/>
      <c r="IR3" s="27"/>
      <c r="IS3" s="27"/>
      <c r="IT3" s="27"/>
      <c r="IU3" s="27"/>
      <c r="IV3" s="27"/>
    </row>
    <row r="4" spans="1:256" ht="25.5" x14ac:dyDescent="0.25">
      <c r="A4" s="27"/>
      <c r="B4" s="31" t="s">
        <v>20</v>
      </c>
      <c r="C4" s="28" t="s">
        <v>22</v>
      </c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27"/>
      <c r="BO4" s="27"/>
      <c r="BP4" s="27"/>
      <c r="BQ4" s="27"/>
      <c r="BR4" s="27"/>
      <c r="BS4" s="27"/>
      <c r="BT4" s="27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7"/>
      <c r="CJ4" s="27"/>
      <c r="CK4" s="27"/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27"/>
      <c r="CW4" s="27"/>
      <c r="CX4" s="27"/>
      <c r="CY4" s="27"/>
      <c r="CZ4" s="27"/>
      <c r="DA4" s="27"/>
      <c r="DB4" s="27"/>
      <c r="DC4" s="27"/>
      <c r="DD4" s="27"/>
      <c r="DE4" s="27"/>
      <c r="DF4" s="27"/>
      <c r="DG4" s="27"/>
      <c r="DH4" s="27"/>
      <c r="DI4" s="27"/>
      <c r="DJ4" s="27"/>
      <c r="DK4" s="27"/>
      <c r="DL4" s="27"/>
      <c r="DM4" s="27"/>
      <c r="DN4" s="27"/>
      <c r="DO4" s="27"/>
      <c r="DP4" s="27"/>
      <c r="DQ4" s="27"/>
      <c r="DR4" s="27"/>
      <c r="DS4" s="27"/>
      <c r="DT4" s="27"/>
      <c r="DU4" s="27"/>
      <c r="DV4" s="27"/>
      <c r="DW4" s="27"/>
      <c r="DX4" s="27"/>
      <c r="DY4" s="27"/>
      <c r="DZ4" s="27"/>
      <c r="EA4" s="27"/>
      <c r="EB4" s="27"/>
      <c r="EC4" s="27"/>
      <c r="ED4" s="27"/>
      <c r="EE4" s="27"/>
      <c r="EF4" s="27"/>
      <c r="EG4" s="27"/>
      <c r="EH4" s="27"/>
      <c r="EI4" s="27"/>
      <c r="EJ4" s="27"/>
      <c r="EK4" s="27"/>
      <c r="EL4" s="27"/>
      <c r="EM4" s="27"/>
      <c r="EN4" s="27"/>
      <c r="EO4" s="27"/>
      <c r="EP4" s="27"/>
      <c r="EQ4" s="27"/>
      <c r="ER4" s="27"/>
      <c r="ES4" s="27"/>
      <c r="ET4" s="27"/>
      <c r="EU4" s="27"/>
      <c r="EV4" s="27"/>
      <c r="EW4" s="27"/>
      <c r="EX4" s="27"/>
      <c r="EY4" s="27"/>
      <c r="EZ4" s="27"/>
      <c r="FA4" s="27"/>
      <c r="FB4" s="27"/>
      <c r="FC4" s="27"/>
      <c r="FD4" s="27"/>
      <c r="FE4" s="27"/>
      <c r="FF4" s="27"/>
      <c r="FG4" s="27"/>
      <c r="FH4" s="27"/>
      <c r="FI4" s="27"/>
      <c r="FJ4" s="27"/>
      <c r="FK4" s="27"/>
      <c r="FL4" s="27"/>
      <c r="FM4" s="27"/>
      <c r="FN4" s="27"/>
      <c r="FO4" s="27"/>
      <c r="FP4" s="27"/>
      <c r="FQ4" s="27"/>
      <c r="FR4" s="27"/>
      <c r="FS4" s="27"/>
      <c r="FT4" s="27"/>
      <c r="FU4" s="27"/>
      <c r="FV4" s="27"/>
      <c r="FW4" s="27"/>
      <c r="FX4" s="27"/>
      <c r="FY4" s="27"/>
      <c r="FZ4" s="27"/>
      <c r="GA4" s="27"/>
      <c r="GB4" s="27"/>
      <c r="GC4" s="27"/>
      <c r="GD4" s="27"/>
      <c r="GE4" s="27"/>
      <c r="GF4" s="27"/>
      <c r="GG4" s="27"/>
      <c r="GH4" s="27"/>
      <c r="GI4" s="27"/>
      <c r="GJ4" s="27"/>
      <c r="GK4" s="27"/>
      <c r="GL4" s="27"/>
      <c r="GM4" s="27"/>
      <c r="GN4" s="27"/>
      <c r="GO4" s="27"/>
      <c r="GP4" s="27"/>
      <c r="GQ4" s="27"/>
      <c r="GR4" s="27"/>
      <c r="GS4" s="27"/>
      <c r="GT4" s="27"/>
      <c r="GU4" s="27"/>
      <c r="GV4" s="27"/>
      <c r="GW4" s="27"/>
      <c r="GX4" s="27"/>
      <c r="GY4" s="27"/>
      <c r="GZ4" s="27"/>
      <c r="HA4" s="27"/>
      <c r="HB4" s="27"/>
      <c r="HC4" s="27"/>
      <c r="HD4" s="27"/>
      <c r="HE4" s="27"/>
      <c r="HF4" s="27"/>
      <c r="HG4" s="27"/>
      <c r="HH4" s="27"/>
      <c r="HI4" s="27"/>
      <c r="HJ4" s="27"/>
      <c r="HK4" s="27"/>
      <c r="HL4" s="27"/>
      <c r="HM4" s="27"/>
      <c r="HN4" s="27"/>
      <c r="HO4" s="27"/>
      <c r="HP4" s="27"/>
      <c r="HQ4" s="27"/>
      <c r="HR4" s="27"/>
      <c r="HS4" s="27"/>
      <c r="HT4" s="27"/>
      <c r="HU4" s="27"/>
      <c r="HV4" s="27"/>
      <c r="HW4" s="27"/>
      <c r="HX4" s="27"/>
      <c r="HY4" s="27"/>
      <c r="HZ4" s="27"/>
      <c r="IA4" s="27"/>
      <c r="IB4" s="27"/>
      <c r="IC4" s="27"/>
      <c r="ID4" s="27"/>
      <c r="IE4" s="27"/>
      <c r="IF4" s="27"/>
      <c r="IG4" s="27"/>
      <c r="IH4" s="27"/>
      <c r="II4" s="27"/>
      <c r="IJ4" s="27"/>
      <c r="IK4" s="27"/>
      <c r="IL4" s="27"/>
      <c r="IM4" s="27"/>
      <c r="IN4" s="27"/>
      <c r="IO4" s="27"/>
      <c r="IP4" s="27"/>
      <c r="IQ4" s="27"/>
      <c r="IR4" s="27"/>
      <c r="IS4" s="27"/>
      <c r="IT4" s="27"/>
      <c r="IU4" s="27"/>
      <c r="IV4" s="27"/>
    </row>
    <row r="5" spans="1:256" x14ac:dyDescent="0.25">
      <c r="A5" s="27"/>
      <c r="B5" s="27"/>
      <c r="C5" s="47" t="s">
        <v>23</v>
      </c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27"/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27"/>
      <c r="CW5" s="27"/>
      <c r="CX5" s="27"/>
      <c r="CY5" s="27"/>
      <c r="CZ5" s="27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7"/>
      <c r="DL5" s="27"/>
      <c r="DM5" s="27"/>
      <c r="DN5" s="27"/>
      <c r="DO5" s="27"/>
      <c r="DP5" s="27"/>
      <c r="DQ5" s="27"/>
      <c r="DR5" s="27"/>
      <c r="DS5" s="27"/>
      <c r="DT5" s="27"/>
      <c r="DU5" s="27"/>
      <c r="DV5" s="27"/>
      <c r="DW5" s="27"/>
      <c r="DX5" s="27"/>
      <c r="DY5" s="27"/>
      <c r="DZ5" s="27"/>
      <c r="EA5" s="27"/>
      <c r="EB5" s="27"/>
      <c r="EC5" s="27"/>
      <c r="ED5" s="27"/>
      <c r="EE5" s="27"/>
      <c r="EF5" s="27"/>
      <c r="EG5" s="27"/>
      <c r="EH5" s="27"/>
      <c r="EI5" s="27"/>
      <c r="EJ5" s="27"/>
      <c r="EK5" s="27"/>
      <c r="EL5" s="27"/>
      <c r="EM5" s="27"/>
      <c r="EN5" s="27"/>
      <c r="EO5" s="27"/>
      <c r="EP5" s="27"/>
      <c r="EQ5" s="27"/>
      <c r="ER5" s="27"/>
      <c r="ES5" s="27"/>
      <c r="ET5" s="27"/>
      <c r="EU5" s="27"/>
      <c r="EV5" s="27"/>
      <c r="EW5" s="27"/>
      <c r="EX5" s="27"/>
      <c r="EY5" s="27"/>
      <c r="EZ5" s="27"/>
      <c r="FA5" s="27"/>
      <c r="FB5" s="27"/>
      <c r="FC5" s="27"/>
      <c r="FD5" s="27"/>
      <c r="FE5" s="27"/>
      <c r="FF5" s="27"/>
      <c r="FG5" s="27"/>
      <c r="FH5" s="27"/>
      <c r="FI5" s="27"/>
      <c r="FJ5" s="27"/>
      <c r="FK5" s="27"/>
      <c r="FL5" s="27"/>
      <c r="FM5" s="27"/>
      <c r="FN5" s="27"/>
      <c r="FO5" s="27"/>
      <c r="FP5" s="27"/>
      <c r="FQ5" s="27"/>
      <c r="FR5" s="27"/>
      <c r="FS5" s="27"/>
      <c r="FT5" s="27"/>
      <c r="FU5" s="27"/>
      <c r="FV5" s="27"/>
      <c r="FW5" s="27"/>
      <c r="FX5" s="27"/>
      <c r="FY5" s="27"/>
      <c r="FZ5" s="27"/>
      <c r="GA5" s="27"/>
      <c r="GB5" s="27"/>
      <c r="GC5" s="27"/>
      <c r="GD5" s="27"/>
      <c r="GE5" s="27"/>
      <c r="GF5" s="27"/>
      <c r="GG5" s="27"/>
      <c r="GH5" s="27"/>
      <c r="GI5" s="27"/>
      <c r="GJ5" s="27"/>
      <c r="GK5" s="27"/>
      <c r="GL5" s="27"/>
      <c r="GM5" s="27"/>
      <c r="GN5" s="27"/>
      <c r="GO5" s="27"/>
      <c r="GP5" s="27"/>
      <c r="GQ5" s="27"/>
      <c r="GR5" s="27"/>
      <c r="GS5" s="27"/>
      <c r="GT5" s="27"/>
      <c r="GU5" s="27"/>
      <c r="GV5" s="27"/>
      <c r="GW5" s="27"/>
      <c r="GX5" s="27"/>
      <c r="GY5" s="27"/>
      <c r="GZ5" s="27"/>
      <c r="HA5" s="27"/>
      <c r="HB5" s="27"/>
      <c r="HC5" s="27"/>
      <c r="HD5" s="27"/>
      <c r="HE5" s="27"/>
      <c r="HF5" s="27"/>
      <c r="HG5" s="27"/>
      <c r="HH5" s="27"/>
      <c r="HI5" s="27"/>
      <c r="HJ5" s="27"/>
      <c r="HK5" s="27"/>
      <c r="HL5" s="27"/>
      <c r="HM5" s="27"/>
      <c r="HN5" s="27"/>
      <c r="HO5" s="27"/>
      <c r="HP5" s="27"/>
      <c r="HQ5" s="27"/>
      <c r="HR5" s="27"/>
      <c r="HS5" s="27"/>
      <c r="HT5" s="27"/>
      <c r="HU5" s="27"/>
      <c r="HV5" s="27"/>
      <c r="HW5" s="27"/>
      <c r="HX5" s="27"/>
      <c r="HY5" s="27"/>
      <c r="HZ5" s="27"/>
      <c r="IA5" s="27"/>
      <c r="IB5" s="27"/>
      <c r="IC5" s="27"/>
      <c r="ID5" s="27"/>
      <c r="IE5" s="27"/>
      <c r="IF5" s="27"/>
      <c r="IG5" s="27"/>
      <c r="IH5" s="27"/>
      <c r="II5" s="27"/>
      <c r="IJ5" s="27"/>
      <c r="IK5" s="27"/>
      <c r="IL5" s="27"/>
      <c r="IM5" s="27"/>
      <c r="IN5" s="27"/>
      <c r="IO5" s="27"/>
      <c r="IP5" s="27"/>
      <c r="IQ5" s="27"/>
      <c r="IR5" s="27"/>
      <c r="IS5" s="27"/>
      <c r="IT5" s="27"/>
      <c r="IU5" s="27"/>
      <c r="IV5" s="27"/>
    </row>
    <row r="6" spans="1:256" ht="15.75" x14ac:dyDescent="0.25">
      <c r="A6" s="27"/>
      <c r="B6" s="31"/>
      <c r="C6" s="32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27"/>
      <c r="BT6" s="27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7"/>
      <c r="CJ6" s="27"/>
      <c r="CK6" s="27"/>
      <c r="CL6" s="27"/>
      <c r="CM6" s="27"/>
      <c r="CN6" s="27"/>
      <c r="CO6" s="27"/>
      <c r="CP6" s="27"/>
      <c r="CQ6" s="27"/>
      <c r="CR6" s="27"/>
      <c r="CS6" s="27"/>
      <c r="CT6" s="27"/>
      <c r="CU6" s="27"/>
      <c r="CV6" s="27"/>
      <c r="CW6" s="27"/>
      <c r="CX6" s="27"/>
      <c r="CY6" s="27"/>
      <c r="CZ6" s="27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7"/>
      <c r="DL6" s="27"/>
      <c r="DM6" s="27"/>
      <c r="DN6" s="27"/>
      <c r="DO6" s="27"/>
      <c r="DP6" s="27"/>
      <c r="DQ6" s="27"/>
      <c r="DR6" s="27"/>
      <c r="DS6" s="27"/>
      <c r="DT6" s="27"/>
      <c r="DU6" s="27"/>
      <c r="DV6" s="27"/>
      <c r="DW6" s="27"/>
      <c r="DX6" s="27"/>
      <c r="DY6" s="27"/>
      <c r="DZ6" s="27"/>
      <c r="EA6" s="27"/>
      <c r="EB6" s="27"/>
      <c r="EC6" s="27"/>
      <c r="ED6" s="27"/>
      <c r="EE6" s="27"/>
      <c r="EF6" s="27"/>
      <c r="EG6" s="27"/>
      <c r="EH6" s="27"/>
      <c r="EI6" s="27"/>
      <c r="EJ6" s="27"/>
      <c r="EK6" s="27"/>
      <c r="EL6" s="27"/>
      <c r="EM6" s="27"/>
      <c r="EN6" s="27"/>
      <c r="EO6" s="27"/>
      <c r="EP6" s="27"/>
      <c r="EQ6" s="27"/>
      <c r="ER6" s="27"/>
      <c r="ES6" s="27"/>
      <c r="ET6" s="27"/>
      <c r="EU6" s="27"/>
      <c r="EV6" s="27"/>
      <c r="EW6" s="27"/>
      <c r="EX6" s="27"/>
      <c r="EY6" s="27"/>
      <c r="EZ6" s="27"/>
      <c r="FA6" s="27"/>
      <c r="FB6" s="27"/>
      <c r="FC6" s="27"/>
      <c r="FD6" s="27"/>
      <c r="FE6" s="27"/>
      <c r="FF6" s="27"/>
      <c r="FG6" s="27"/>
      <c r="FH6" s="27"/>
      <c r="FI6" s="27"/>
      <c r="FJ6" s="27"/>
      <c r="FK6" s="27"/>
      <c r="FL6" s="27"/>
      <c r="FM6" s="27"/>
      <c r="FN6" s="27"/>
      <c r="FO6" s="27"/>
      <c r="FP6" s="27"/>
      <c r="FQ6" s="27"/>
      <c r="FR6" s="27"/>
      <c r="FS6" s="27"/>
      <c r="FT6" s="27"/>
      <c r="FU6" s="27"/>
      <c r="FV6" s="27"/>
      <c r="FW6" s="27"/>
      <c r="FX6" s="27"/>
      <c r="FY6" s="27"/>
      <c r="FZ6" s="27"/>
      <c r="GA6" s="27"/>
      <c r="GB6" s="27"/>
      <c r="GC6" s="27"/>
      <c r="GD6" s="27"/>
      <c r="GE6" s="27"/>
      <c r="GF6" s="27"/>
      <c r="GG6" s="27"/>
      <c r="GH6" s="27"/>
      <c r="GI6" s="27"/>
      <c r="GJ6" s="27"/>
      <c r="GK6" s="27"/>
      <c r="GL6" s="27"/>
      <c r="GM6" s="27"/>
      <c r="GN6" s="27"/>
      <c r="GO6" s="27"/>
      <c r="GP6" s="27"/>
      <c r="GQ6" s="27"/>
      <c r="GR6" s="27"/>
      <c r="GS6" s="27"/>
      <c r="GT6" s="27"/>
      <c r="GU6" s="27"/>
      <c r="GV6" s="27"/>
      <c r="GW6" s="27"/>
      <c r="GX6" s="27"/>
      <c r="GY6" s="27"/>
      <c r="GZ6" s="27"/>
      <c r="HA6" s="27"/>
      <c r="HB6" s="27"/>
      <c r="HC6" s="27"/>
      <c r="HD6" s="27"/>
      <c r="HE6" s="27"/>
      <c r="HF6" s="27"/>
      <c r="HG6" s="27"/>
      <c r="HH6" s="27"/>
      <c r="HI6" s="27"/>
      <c r="HJ6" s="27"/>
      <c r="HK6" s="27"/>
      <c r="HL6" s="27"/>
      <c r="HM6" s="27"/>
      <c r="HN6" s="27"/>
      <c r="HO6" s="27"/>
      <c r="HP6" s="27"/>
      <c r="HQ6" s="27"/>
      <c r="HR6" s="27"/>
      <c r="HS6" s="27"/>
      <c r="HT6" s="27"/>
      <c r="HU6" s="27"/>
      <c r="HV6" s="27"/>
      <c r="HW6" s="27"/>
      <c r="HX6" s="27"/>
      <c r="HY6" s="27"/>
      <c r="HZ6" s="27"/>
      <c r="IA6" s="27"/>
      <c r="IB6" s="27"/>
      <c r="IC6" s="27"/>
      <c r="ID6" s="27"/>
      <c r="IE6" s="27"/>
      <c r="IF6" s="27"/>
      <c r="IG6" s="27"/>
      <c r="IH6" s="27"/>
      <c r="II6" s="27"/>
      <c r="IJ6" s="27"/>
      <c r="IK6" s="27"/>
      <c r="IL6" s="27"/>
      <c r="IM6" s="27"/>
      <c r="IN6" s="27"/>
      <c r="IO6" s="27"/>
      <c r="IP6" s="27"/>
      <c r="IQ6" s="27"/>
      <c r="IR6" s="27"/>
      <c r="IS6" s="27"/>
      <c r="IT6" s="27"/>
      <c r="IU6" s="27"/>
      <c r="IV6" s="27"/>
    </row>
    <row r="7" spans="1:256" ht="15.75" x14ac:dyDescent="0.25">
      <c r="A7" s="27"/>
      <c r="B7" s="31" t="s">
        <v>14</v>
      </c>
      <c r="C7" s="32" t="s">
        <v>15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7"/>
      <c r="IU7" s="27"/>
      <c r="IV7" s="27"/>
    </row>
    <row r="8" spans="1:256" ht="15.75" x14ac:dyDescent="0.25">
      <c r="A8" s="27"/>
      <c r="B8" s="31"/>
      <c r="C8" s="28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27"/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27"/>
      <c r="CX8" s="27"/>
      <c r="CY8" s="27"/>
      <c r="CZ8" s="27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7"/>
      <c r="DL8" s="27"/>
      <c r="DM8" s="27"/>
      <c r="DN8" s="27"/>
      <c r="DO8" s="27"/>
      <c r="DP8" s="27"/>
      <c r="DQ8" s="27"/>
      <c r="DR8" s="27"/>
      <c r="DS8" s="27"/>
      <c r="DT8" s="27"/>
      <c r="DU8" s="27"/>
      <c r="DV8" s="27"/>
      <c r="DW8" s="27"/>
      <c r="DX8" s="27"/>
      <c r="DY8" s="27"/>
      <c r="DZ8" s="27"/>
      <c r="EA8" s="27"/>
      <c r="EB8" s="27"/>
      <c r="EC8" s="27"/>
      <c r="ED8" s="27"/>
      <c r="EE8" s="27"/>
      <c r="EF8" s="27"/>
      <c r="EG8" s="27"/>
      <c r="EH8" s="27"/>
      <c r="EI8" s="27"/>
      <c r="EJ8" s="27"/>
      <c r="EK8" s="27"/>
      <c r="EL8" s="27"/>
      <c r="EM8" s="27"/>
      <c r="EN8" s="27"/>
      <c r="EO8" s="27"/>
      <c r="EP8" s="27"/>
      <c r="EQ8" s="27"/>
      <c r="ER8" s="27"/>
      <c r="ES8" s="27"/>
      <c r="ET8" s="27"/>
      <c r="EU8" s="27"/>
      <c r="EV8" s="27"/>
      <c r="EW8" s="27"/>
      <c r="EX8" s="27"/>
      <c r="EY8" s="27"/>
      <c r="EZ8" s="27"/>
      <c r="FA8" s="27"/>
      <c r="FB8" s="27"/>
      <c r="FC8" s="27"/>
      <c r="FD8" s="27"/>
      <c r="FE8" s="27"/>
      <c r="FF8" s="27"/>
      <c r="FG8" s="27"/>
      <c r="FH8" s="27"/>
      <c r="FI8" s="27"/>
      <c r="FJ8" s="27"/>
      <c r="FK8" s="27"/>
      <c r="FL8" s="27"/>
      <c r="FM8" s="27"/>
      <c r="FN8" s="27"/>
      <c r="FO8" s="27"/>
      <c r="FP8" s="27"/>
      <c r="FQ8" s="27"/>
      <c r="FR8" s="27"/>
      <c r="FS8" s="27"/>
      <c r="FT8" s="27"/>
      <c r="FU8" s="27"/>
      <c r="FV8" s="27"/>
      <c r="FW8" s="27"/>
      <c r="FX8" s="27"/>
      <c r="FY8" s="27"/>
      <c r="FZ8" s="27"/>
      <c r="GA8" s="27"/>
      <c r="GB8" s="27"/>
      <c r="GC8" s="27"/>
      <c r="GD8" s="27"/>
      <c r="GE8" s="27"/>
      <c r="GF8" s="27"/>
      <c r="GG8" s="27"/>
      <c r="GH8" s="27"/>
      <c r="GI8" s="27"/>
      <c r="GJ8" s="27"/>
      <c r="GK8" s="27"/>
      <c r="GL8" s="27"/>
      <c r="GM8" s="27"/>
      <c r="GN8" s="27"/>
      <c r="GO8" s="27"/>
      <c r="GP8" s="27"/>
      <c r="GQ8" s="27"/>
      <c r="GR8" s="27"/>
      <c r="GS8" s="27"/>
      <c r="GT8" s="27"/>
      <c r="GU8" s="27"/>
      <c r="GV8" s="27"/>
      <c r="GW8" s="27"/>
      <c r="GX8" s="27"/>
      <c r="GY8" s="27"/>
      <c r="GZ8" s="27"/>
      <c r="HA8" s="27"/>
      <c r="HB8" s="27"/>
      <c r="HC8" s="27"/>
      <c r="HD8" s="27"/>
      <c r="HE8" s="27"/>
      <c r="HF8" s="27"/>
      <c r="HG8" s="27"/>
      <c r="HH8" s="27"/>
      <c r="HI8" s="27"/>
      <c r="HJ8" s="27"/>
      <c r="HK8" s="27"/>
      <c r="HL8" s="27"/>
      <c r="HM8" s="27"/>
      <c r="HN8" s="27"/>
      <c r="HO8" s="27"/>
      <c r="HP8" s="27"/>
      <c r="HQ8" s="27"/>
      <c r="HR8" s="27"/>
      <c r="HS8" s="27"/>
      <c r="HT8" s="27"/>
      <c r="HU8" s="27"/>
      <c r="HV8" s="27"/>
      <c r="HW8" s="27"/>
      <c r="HX8" s="27"/>
      <c r="HY8" s="27"/>
      <c r="HZ8" s="27"/>
      <c r="IA8" s="27"/>
      <c r="IB8" s="27"/>
      <c r="IC8" s="27"/>
      <c r="ID8" s="27"/>
      <c r="IE8" s="27"/>
      <c r="IF8" s="27"/>
      <c r="IG8" s="27"/>
      <c r="IH8" s="27"/>
      <c r="II8" s="27"/>
      <c r="IJ8" s="27"/>
      <c r="IK8" s="27"/>
      <c r="IL8" s="27"/>
      <c r="IM8" s="27"/>
      <c r="IN8" s="27"/>
      <c r="IO8" s="27"/>
      <c r="IP8" s="27"/>
      <c r="IQ8" s="27"/>
      <c r="IR8" s="27"/>
      <c r="IS8" s="27"/>
      <c r="IT8" s="27"/>
      <c r="IU8" s="27"/>
      <c r="IV8" s="27"/>
    </row>
    <row r="9" spans="1:256" ht="15.75" x14ac:dyDescent="0.25">
      <c r="A9" s="27"/>
      <c r="B9" s="31" t="s">
        <v>27</v>
      </c>
      <c r="C9" s="45" t="s">
        <v>28</v>
      </c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27"/>
      <c r="CW9" s="27"/>
      <c r="CX9" s="27"/>
      <c r="CY9" s="27"/>
      <c r="CZ9" s="27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7"/>
      <c r="DL9" s="27"/>
      <c r="DM9" s="27"/>
      <c r="DN9" s="27"/>
      <c r="DO9" s="27"/>
      <c r="DP9" s="27"/>
      <c r="DQ9" s="27"/>
      <c r="DR9" s="27"/>
      <c r="DS9" s="27"/>
      <c r="DT9" s="27"/>
      <c r="DU9" s="27"/>
      <c r="DV9" s="27"/>
      <c r="DW9" s="27"/>
      <c r="DX9" s="27"/>
      <c r="DY9" s="27"/>
      <c r="DZ9" s="27"/>
      <c r="EA9" s="27"/>
      <c r="EB9" s="27"/>
      <c r="EC9" s="27"/>
      <c r="ED9" s="27"/>
      <c r="EE9" s="27"/>
      <c r="EF9" s="27"/>
      <c r="EG9" s="27"/>
      <c r="EH9" s="27"/>
      <c r="EI9" s="27"/>
      <c r="EJ9" s="27"/>
      <c r="EK9" s="27"/>
      <c r="EL9" s="27"/>
      <c r="EM9" s="27"/>
      <c r="EN9" s="27"/>
      <c r="EO9" s="27"/>
      <c r="EP9" s="27"/>
      <c r="EQ9" s="27"/>
      <c r="ER9" s="27"/>
      <c r="ES9" s="27"/>
      <c r="ET9" s="27"/>
      <c r="EU9" s="27"/>
      <c r="EV9" s="27"/>
      <c r="EW9" s="27"/>
      <c r="EX9" s="27"/>
      <c r="EY9" s="27"/>
      <c r="EZ9" s="27"/>
      <c r="FA9" s="27"/>
      <c r="FB9" s="27"/>
      <c r="FC9" s="27"/>
      <c r="FD9" s="27"/>
      <c r="FE9" s="27"/>
      <c r="FF9" s="27"/>
      <c r="FG9" s="27"/>
      <c r="FH9" s="27"/>
      <c r="FI9" s="27"/>
      <c r="FJ9" s="27"/>
      <c r="FK9" s="27"/>
      <c r="FL9" s="27"/>
      <c r="FM9" s="27"/>
      <c r="FN9" s="27"/>
      <c r="FO9" s="27"/>
      <c r="FP9" s="27"/>
      <c r="FQ9" s="27"/>
      <c r="FR9" s="27"/>
      <c r="FS9" s="27"/>
      <c r="FT9" s="27"/>
      <c r="FU9" s="27"/>
      <c r="FV9" s="27"/>
      <c r="FW9" s="27"/>
      <c r="FX9" s="27"/>
      <c r="FY9" s="27"/>
      <c r="FZ9" s="27"/>
      <c r="GA9" s="27"/>
      <c r="GB9" s="27"/>
      <c r="GC9" s="27"/>
      <c r="GD9" s="27"/>
      <c r="GE9" s="27"/>
      <c r="GF9" s="27"/>
      <c r="GG9" s="27"/>
      <c r="GH9" s="27"/>
      <c r="GI9" s="27"/>
      <c r="GJ9" s="27"/>
      <c r="GK9" s="27"/>
      <c r="GL9" s="27"/>
      <c r="GM9" s="27"/>
      <c r="GN9" s="27"/>
      <c r="GO9" s="27"/>
      <c r="GP9" s="27"/>
      <c r="GQ9" s="27"/>
      <c r="GR9" s="27"/>
      <c r="GS9" s="27"/>
      <c r="GT9" s="27"/>
      <c r="GU9" s="27"/>
      <c r="GV9" s="27"/>
      <c r="GW9" s="27"/>
      <c r="GX9" s="27"/>
      <c r="GY9" s="27"/>
      <c r="GZ9" s="27"/>
      <c r="HA9" s="27"/>
      <c r="HB9" s="27"/>
      <c r="HC9" s="27"/>
      <c r="HD9" s="27"/>
      <c r="HE9" s="27"/>
      <c r="HF9" s="27"/>
      <c r="HG9" s="27"/>
      <c r="HH9" s="27"/>
      <c r="HI9" s="27"/>
      <c r="HJ9" s="27"/>
      <c r="HK9" s="27"/>
      <c r="HL9" s="27"/>
      <c r="HM9" s="27"/>
      <c r="HN9" s="27"/>
      <c r="HO9" s="27"/>
      <c r="HP9" s="27"/>
      <c r="HQ9" s="27"/>
      <c r="HR9" s="27"/>
      <c r="HS9" s="27"/>
      <c r="HT9" s="27"/>
      <c r="HU9" s="27"/>
      <c r="HV9" s="27"/>
      <c r="HW9" s="27"/>
      <c r="HX9" s="27"/>
      <c r="HY9" s="27"/>
      <c r="HZ9" s="27"/>
      <c r="IA9" s="27"/>
      <c r="IB9" s="27"/>
      <c r="IC9" s="27"/>
      <c r="ID9" s="27"/>
      <c r="IE9" s="27"/>
      <c r="IF9" s="27"/>
      <c r="IG9" s="27"/>
      <c r="IH9" s="27"/>
      <c r="II9" s="27"/>
      <c r="IJ9" s="27"/>
      <c r="IK9" s="27"/>
      <c r="IL9" s="27"/>
      <c r="IM9" s="27"/>
      <c r="IN9" s="27"/>
      <c r="IO9" s="27"/>
      <c r="IP9" s="27"/>
      <c r="IQ9" s="27"/>
      <c r="IR9" s="27"/>
      <c r="IS9" s="27"/>
      <c r="IT9" s="27"/>
      <c r="IU9" s="27"/>
      <c r="IV9" s="27"/>
    </row>
    <row r="10" spans="1:256" x14ac:dyDescent="0.25">
      <c r="A10" s="27"/>
      <c r="C10" s="46" t="s">
        <v>30</v>
      </c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7"/>
      <c r="CJ10" s="27"/>
      <c r="CK10" s="27"/>
      <c r="CL10" s="27"/>
      <c r="CM10" s="27"/>
      <c r="CN10" s="27"/>
      <c r="CO10" s="27"/>
      <c r="CP10" s="27"/>
      <c r="CQ10" s="27"/>
      <c r="CR10" s="27"/>
      <c r="CS10" s="27"/>
      <c r="CT10" s="27"/>
      <c r="CU10" s="27"/>
      <c r="CV10" s="27"/>
      <c r="CW10" s="27"/>
      <c r="CX10" s="27"/>
      <c r="CY10" s="27"/>
      <c r="CZ10" s="27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7"/>
      <c r="DL10" s="27"/>
      <c r="DM10" s="27"/>
      <c r="DN10" s="27"/>
      <c r="DO10" s="27"/>
      <c r="DP10" s="27"/>
      <c r="DQ10" s="27"/>
      <c r="DR10" s="27"/>
      <c r="DS10" s="27"/>
      <c r="DT10" s="27"/>
      <c r="DU10" s="27"/>
      <c r="DV10" s="27"/>
      <c r="DW10" s="27"/>
      <c r="DX10" s="27"/>
      <c r="DY10" s="27"/>
      <c r="DZ10" s="27"/>
      <c r="EA10" s="27"/>
      <c r="EB10" s="27"/>
      <c r="EC10" s="27"/>
      <c r="ED10" s="27"/>
      <c r="EE10" s="27"/>
      <c r="EF10" s="27"/>
      <c r="EG10" s="27"/>
      <c r="EH10" s="27"/>
      <c r="EI10" s="27"/>
      <c r="EJ10" s="27"/>
      <c r="EK10" s="27"/>
      <c r="EL10" s="27"/>
      <c r="EM10" s="27"/>
      <c r="EN10" s="27"/>
      <c r="EO10" s="27"/>
      <c r="EP10" s="27"/>
      <c r="EQ10" s="27"/>
      <c r="ER10" s="27"/>
      <c r="ES10" s="27"/>
      <c r="ET10" s="27"/>
      <c r="EU10" s="27"/>
      <c r="EV10" s="27"/>
      <c r="EW10" s="27"/>
      <c r="EX10" s="27"/>
      <c r="EY10" s="27"/>
      <c r="EZ10" s="27"/>
      <c r="FA10" s="27"/>
      <c r="FB10" s="27"/>
      <c r="FC10" s="27"/>
      <c r="FD10" s="27"/>
      <c r="FE10" s="27"/>
      <c r="FF10" s="27"/>
      <c r="FG10" s="27"/>
      <c r="FH10" s="27"/>
      <c r="FI10" s="27"/>
      <c r="FJ10" s="27"/>
      <c r="FK10" s="27"/>
      <c r="FL10" s="27"/>
      <c r="FM10" s="27"/>
      <c r="FN10" s="27"/>
      <c r="FO10" s="27"/>
      <c r="FP10" s="27"/>
      <c r="FQ10" s="27"/>
      <c r="FR10" s="27"/>
      <c r="FS10" s="27"/>
      <c r="FT10" s="27"/>
      <c r="FU10" s="27"/>
      <c r="FV10" s="27"/>
      <c r="FW10" s="27"/>
      <c r="FX10" s="27"/>
      <c r="FY10" s="27"/>
      <c r="FZ10" s="27"/>
      <c r="GA10" s="27"/>
      <c r="GB10" s="27"/>
      <c r="GC10" s="27"/>
      <c r="GD10" s="27"/>
      <c r="GE10" s="27"/>
      <c r="GF10" s="27"/>
      <c r="GG10" s="27"/>
      <c r="GH10" s="27"/>
      <c r="GI10" s="27"/>
      <c r="GJ10" s="27"/>
      <c r="GK10" s="27"/>
      <c r="GL10" s="27"/>
      <c r="GM10" s="27"/>
      <c r="GN10" s="27"/>
      <c r="GO10" s="27"/>
      <c r="GP10" s="27"/>
      <c r="GQ10" s="27"/>
      <c r="GR10" s="27"/>
      <c r="GS10" s="27"/>
      <c r="GT10" s="27"/>
      <c r="GU10" s="27"/>
      <c r="GV10" s="27"/>
      <c r="GW10" s="27"/>
      <c r="GX10" s="27"/>
      <c r="GY10" s="27"/>
      <c r="GZ10" s="27"/>
      <c r="HA10" s="27"/>
      <c r="HB10" s="27"/>
      <c r="HC10" s="27"/>
      <c r="HD10" s="27"/>
      <c r="HE10" s="27"/>
      <c r="HF10" s="27"/>
      <c r="HG10" s="27"/>
      <c r="HH10" s="27"/>
      <c r="HI10" s="27"/>
      <c r="HJ10" s="27"/>
      <c r="HK10" s="27"/>
      <c r="HL10" s="27"/>
      <c r="HM10" s="27"/>
      <c r="HN10" s="27"/>
      <c r="HO10" s="27"/>
      <c r="HP10" s="27"/>
      <c r="HQ10" s="27"/>
      <c r="HR10" s="27"/>
      <c r="HS10" s="27"/>
      <c r="HT10" s="27"/>
      <c r="HU10" s="27"/>
      <c r="HV10" s="27"/>
      <c r="HW10" s="27"/>
      <c r="HX10" s="27"/>
      <c r="HY10" s="27"/>
      <c r="HZ10" s="27"/>
      <c r="IA10" s="27"/>
      <c r="IB10" s="27"/>
      <c r="IC10" s="27"/>
      <c r="ID10" s="27"/>
      <c r="IE10" s="27"/>
      <c r="IF10" s="27"/>
      <c r="IG10" s="27"/>
      <c r="IH10" s="27"/>
      <c r="II10" s="27"/>
      <c r="IJ10" s="27"/>
      <c r="IK10" s="27"/>
      <c r="IL10" s="27"/>
      <c r="IM10" s="27"/>
      <c r="IN10" s="27"/>
      <c r="IO10" s="27"/>
      <c r="IP10" s="27"/>
      <c r="IQ10" s="27"/>
      <c r="IR10" s="27"/>
      <c r="IS10" s="27"/>
      <c r="IT10" s="27"/>
      <c r="IU10" s="27"/>
      <c r="IV10" s="27"/>
    </row>
    <row r="11" spans="1:256" x14ac:dyDescent="0.25">
      <c r="A11" s="27"/>
      <c r="C11" s="46" t="s">
        <v>32</v>
      </c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7"/>
      <c r="CJ11" s="27"/>
      <c r="CK11" s="27"/>
      <c r="CL11" s="27"/>
      <c r="CM11" s="27"/>
      <c r="CN11" s="27"/>
      <c r="CO11" s="27"/>
      <c r="CP11" s="27"/>
      <c r="CQ11" s="27"/>
      <c r="CR11" s="27"/>
      <c r="CS11" s="27"/>
      <c r="CT11" s="27"/>
      <c r="CU11" s="27"/>
      <c r="CV11" s="27"/>
      <c r="CW11" s="27"/>
      <c r="CX11" s="27"/>
      <c r="CY11" s="27"/>
      <c r="CZ11" s="27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7"/>
      <c r="DL11" s="27"/>
      <c r="DM11" s="27"/>
      <c r="DN11" s="27"/>
      <c r="DO11" s="27"/>
      <c r="DP11" s="27"/>
      <c r="DQ11" s="27"/>
      <c r="DR11" s="27"/>
      <c r="DS11" s="27"/>
      <c r="DT11" s="27"/>
      <c r="DU11" s="27"/>
      <c r="DV11" s="27"/>
      <c r="DW11" s="27"/>
      <c r="DX11" s="27"/>
      <c r="DY11" s="27"/>
      <c r="DZ11" s="27"/>
      <c r="EA11" s="27"/>
      <c r="EB11" s="27"/>
      <c r="EC11" s="27"/>
      <c r="ED11" s="27"/>
      <c r="EE11" s="27"/>
      <c r="EF11" s="27"/>
      <c r="EG11" s="27"/>
      <c r="EH11" s="27"/>
      <c r="EI11" s="27"/>
      <c r="EJ11" s="27"/>
      <c r="EK11" s="27"/>
      <c r="EL11" s="27"/>
      <c r="EM11" s="27"/>
      <c r="EN11" s="27"/>
      <c r="EO11" s="27"/>
      <c r="EP11" s="27"/>
      <c r="EQ11" s="27"/>
      <c r="ER11" s="27"/>
      <c r="ES11" s="27"/>
      <c r="ET11" s="27"/>
      <c r="EU11" s="27"/>
      <c r="EV11" s="27"/>
      <c r="EW11" s="27"/>
      <c r="EX11" s="27"/>
      <c r="EY11" s="27"/>
      <c r="EZ11" s="27"/>
      <c r="FA11" s="27"/>
      <c r="FB11" s="27"/>
      <c r="FC11" s="27"/>
      <c r="FD11" s="27"/>
      <c r="FE11" s="27"/>
      <c r="FF11" s="27"/>
      <c r="FG11" s="27"/>
      <c r="FH11" s="27"/>
      <c r="FI11" s="27"/>
      <c r="FJ11" s="27"/>
      <c r="FK11" s="27"/>
      <c r="FL11" s="27"/>
      <c r="FM11" s="27"/>
      <c r="FN11" s="27"/>
      <c r="FO11" s="27"/>
      <c r="FP11" s="27"/>
      <c r="FQ11" s="27"/>
      <c r="FR11" s="27"/>
      <c r="FS11" s="27"/>
      <c r="FT11" s="27"/>
      <c r="FU11" s="27"/>
      <c r="FV11" s="27"/>
      <c r="FW11" s="27"/>
      <c r="FX11" s="27"/>
      <c r="FY11" s="27"/>
      <c r="FZ11" s="27"/>
      <c r="GA11" s="27"/>
      <c r="GB11" s="27"/>
      <c r="GC11" s="27"/>
      <c r="GD11" s="27"/>
      <c r="GE11" s="27"/>
      <c r="GF11" s="27"/>
      <c r="GG11" s="27"/>
      <c r="GH11" s="27"/>
      <c r="GI11" s="27"/>
      <c r="GJ11" s="27"/>
      <c r="GK11" s="27"/>
      <c r="GL11" s="27"/>
      <c r="GM11" s="27"/>
      <c r="GN11" s="27"/>
      <c r="GO11" s="27"/>
      <c r="GP11" s="27"/>
      <c r="GQ11" s="27"/>
      <c r="GR11" s="27"/>
      <c r="GS11" s="27"/>
      <c r="GT11" s="27"/>
      <c r="GU11" s="27"/>
      <c r="GV11" s="27"/>
      <c r="GW11" s="27"/>
      <c r="GX11" s="27"/>
      <c r="GY11" s="27"/>
      <c r="GZ11" s="27"/>
      <c r="HA11" s="27"/>
      <c r="HB11" s="27"/>
      <c r="HC11" s="27"/>
      <c r="HD11" s="27"/>
      <c r="HE11" s="27"/>
      <c r="HF11" s="27"/>
      <c r="HG11" s="27"/>
      <c r="HH11" s="27"/>
      <c r="HI11" s="27"/>
      <c r="HJ11" s="27"/>
      <c r="HK11" s="27"/>
      <c r="HL11" s="27"/>
      <c r="HM11" s="27"/>
      <c r="HN11" s="27"/>
      <c r="HO11" s="27"/>
      <c r="HP11" s="27"/>
      <c r="HQ11" s="27"/>
      <c r="HR11" s="27"/>
      <c r="HS11" s="27"/>
      <c r="HT11" s="27"/>
      <c r="HU11" s="27"/>
      <c r="HV11" s="27"/>
      <c r="HW11" s="27"/>
      <c r="HX11" s="27"/>
      <c r="HY11" s="27"/>
      <c r="HZ11" s="27"/>
      <c r="IA11" s="27"/>
      <c r="IB11" s="27"/>
      <c r="IC11" s="27"/>
      <c r="ID11" s="27"/>
      <c r="IE11" s="27"/>
      <c r="IF11" s="27"/>
      <c r="IG11" s="27"/>
      <c r="IH11" s="27"/>
      <c r="II11" s="27"/>
      <c r="IJ11" s="27"/>
      <c r="IK11" s="27"/>
      <c r="IL11" s="27"/>
      <c r="IM11" s="27"/>
      <c r="IN11" s="27"/>
      <c r="IO11" s="27"/>
      <c r="IP11" s="27"/>
      <c r="IQ11" s="27"/>
      <c r="IR11" s="27"/>
      <c r="IS11" s="27"/>
      <c r="IT11" s="27"/>
      <c r="IU11" s="27"/>
      <c r="IV11" s="27"/>
    </row>
    <row r="12" spans="1:256" ht="15.75" x14ac:dyDescent="0.25">
      <c r="A12" s="27"/>
      <c r="B12" s="31"/>
      <c r="C12" s="46" t="s">
        <v>37</v>
      </c>
      <c r="D12" s="42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27"/>
      <c r="BT12" s="27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7"/>
      <c r="CJ12" s="27"/>
      <c r="CK12" s="27"/>
      <c r="CL12" s="27"/>
      <c r="CM12" s="27"/>
      <c r="CN12" s="27"/>
      <c r="CO12" s="27"/>
      <c r="CP12" s="27"/>
      <c r="CQ12" s="27"/>
      <c r="CR12" s="27"/>
      <c r="CS12" s="27"/>
      <c r="CT12" s="27"/>
      <c r="CU12" s="27"/>
      <c r="CV12" s="27"/>
      <c r="CW12" s="27"/>
      <c r="CX12" s="27"/>
      <c r="CY12" s="27"/>
      <c r="CZ12" s="27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7"/>
      <c r="DL12" s="27"/>
      <c r="DM12" s="27"/>
      <c r="DN12" s="27"/>
      <c r="DO12" s="27"/>
      <c r="DP12" s="27"/>
      <c r="DQ12" s="27"/>
      <c r="DR12" s="27"/>
      <c r="DS12" s="27"/>
      <c r="DT12" s="27"/>
      <c r="DU12" s="27"/>
      <c r="DV12" s="27"/>
      <c r="DW12" s="27"/>
      <c r="DX12" s="27"/>
      <c r="DY12" s="27"/>
      <c r="DZ12" s="27"/>
      <c r="EA12" s="27"/>
      <c r="EB12" s="27"/>
      <c r="EC12" s="27"/>
      <c r="ED12" s="27"/>
      <c r="EE12" s="27"/>
      <c r="EF12" s="27"/>
      <c r="EG12" s="27"/>
      <c r="EH12" s="27"/>
      <c r="EI12" s="27"/>
      <c r="EJ12" s="27"/>
      <c r="EK12" s="27"/>
      <c r="EL12" s="27"/>
      <c r="EM12" s="27"/>
      <c r="EN12" s="27"/>
      <c r="EO12" s="27"/>
      <c r="EP12" s="27"/>
      <c r="EQ12" s="27"/>
      <c r="ER12" s="27"/>
      <c r="ES12" s="27"/>
      <c r="ET12" s="27"/>
      <c r="EU12" s="27"/>
      <c r="EV12" s="27"/>
      <c r="EW12" s="27"/>
      <c r="EX12" s="27"/>
      <c r="EY12" s="27"/>
      <c r="EZ12" s="27"/>
      <c r="FA12" s="27"/>
      <c r="FB12" s="27"/>
      <c r="FC12" s="27"/>
      <c r="FD12" s="27"/>
      <c r="FE12" s="27"/>
      <c r="FF12" s="27"/>
      <c r="FG12" s="27"/>
      <c r="FH12" s="27"/>
      <c r="FI12" s="27"/>
      <c r="FJ12" s="27"/>
      <c r="FK12" s="27"/>
      <c r="FL12" s="27"/>
      <c r="FM12" s="27"/>
      <c r="FN12" s="27"/>
      <c r="FO12" s="27"/>
      <c r="FP12" s="27"/>
      <c r="FQ12" s="27"/>
      <c r="FR12" s="27"/>
      <c r="FS12" s="27"/>
      <c r="FT12" s="27"/>
      <c r="FU12" s="27"/>
      <c r="FV12" s="27"/>
      <c r="FW12" s="27"/>
      <c r="FX12" s="27"/>
      <c r="FY12" s="27"/>
      <c r="FZ12" s="27"/>
      <c r="GA12" s="27"/>
      <c r="GB12" s="27"/>
      <c r="GC12" s="27"/>
      <c r="GD12" s="27"/>
      <c r="GE12" s="27"/>
      <c r="GF12" s="27"/>
      <c r="GG12" s="27"/>
      <c r="GH12" s="27"/>
      <c r="GI12" s="27"/>
      <c r="GJ12" s="27"/>
      <c r="GK12" s="27"/>
      <c r="GL12" s="27"/>
      <c r="GM12" s="27"/>
      <c r="GN12" s="27"/>
      <c r="GO12" s="27"/>
      <c r="GP12" s="27"/>
      <c r="GQ12" s="27"/>
      <c r="GR12" s="27"/>
      <c r="GS12" s="27"/>
      <c r="GT12" s="27"/>
      <c r="GU12" s="27"/>
      <c r="GV12" s="27"/>
      <c r="GW12" s="27"/>
      <c r="GX12" s="27"/>
      <c r="GY12" s="27"/>
      <c r="GZ12" s="27"/>
      <c r="HA12" s="27"/>
      <c r="HB12" s="27"/>
      <c r="HC12" s="27"/>
      <c r="HD12" s="27"/>
      <c r="HE12" s="27"/>
      <c r="HF12" s="27"/>
      <c r="HG12" s="27"/>
      <c r="HH12" s="27"/>
      <c r="HI12" s="27"/>
      <c r="HJ12" s="27"/>
      <c r="HK12" s="27"/>
      <c r="HL12" s="27"/>
      <c r="HM12" s="27"/>
      <c r="HN12" s="27"/>
      <c r="HO12" s="27"/>
      <c r="HP12" s="27"/>
      <c r="HQ12" s="27"/>
      <c r="HR12" s="27"/>
      <c r="HS12" s="27"/>
      <c r="HT12" s="27"/>
      <c r="HU12" s="27"/>
      <c r="HV12" s="27"/>
      <c r="HW12" s="27"/>
      <c r="HX12" s="27"/>
      <c r="HY12" s="27"/>
      <c r="HZ12" s="27"/>
      <c r="IA12" s="27"/>
      <c r="IB12" s="27"/>
      <c r="IC12" s="27"/>
      <c r="ID12" s="27"/>
      <c r="IE12" s="27"/>
      <c r="IF12" s="27"/>
      <c r="IG12" s="27"/>
      <c r="IH12" s="27"/>
      <c r="II12" s="27"/>
      <c r="IJ12" s="27"/>
      <c r="IK12" s="27"/>
      <c r="IL12" s="27"/>
      <c r="IM12" s="27"/>
      <c r="IN12" s="27"/>
      <c r="IO12" s="27"/>
      <c r="IP12" s="27"/>
      <c r="IQ12" s="27"/>
      <c r="IR12" s="27"/>
      <c r="IS12" s="27"/>
      <c r="IT12" s="27"/>
      <c r="IU12" s="27"/>
      <c r="IV12" s="27"/>
    </row>
    <row r="13" spans="1:256" ht="15.75" x14ac:dyDescent="0.25">
      <c r="A13" s="27"/>
      <c r="B13" s="31"/>
      <c r="D13" s="42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7"/>
      <c r="CJ13" s="27"/>
      <c r="CK13" s="27"/>
      <c r="CL13" s="27"/>
      <c r="CM13" s="27"/>
      <c r="CN13" s="27"/>
      <c r="CO13" s="27"/>
      <c r="CP13" s="27"/>
      <c r="CQ13" s="27"/>
      <c r="CR13" s="27"/>
      <c r="CS13" s="27"/>
      <c r="CT13" s="27"/>
      <c r="CU13" s="27"/>
      <c r="CV13" s="27"/>
      <c r="CW13" s="27"/>
      <c r="CX13" s="27"/>
      <c r="CY13" s="27"/>
      <c r="CZ13" s="27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7"/>
      <c r="DL13" s="27"/>
      <c r="DM13" s="27"/>
      <c r="DN13" s="27"/>
      <c r="DO13" s="27"/>
      <c r="DP13" s="27"/>
      <c r="DQ13" s="27"/>
      <c r="DR13" s="27"/>
      <c r="DS13" s="27"/>
      <c r="DT13" s="27"/>
      <c r="DU13" s="27"/>
      <c r="DV13" s="27"/>
      <c r="DW13" s="27"/>
      <c r="DX13" s="27"/>
      <c r="DY13" s="27"/>
      <c r="DZ13" s="27"/>
      <c r="EA13" s="27"/>
      <c r="EB13" s="27"/>
      <c r="EC13" s="27"/>
      <c r="ED13" s="27"/>
      <c r="EE13" s="27"/>
      <c r="EF13" s="27"/>
      <c r="EG13" s="27"/>
      <c r="EH13" s="27"/>
      <c r="EI13" s="27"/>
      <c r="EJ13" s="27"/>
      <c r="EK13" s="27"/>
      <c r="EL13" s="27"/>
      <c r="EM13" s="27"/>
      <c r="EN13" s="27"/>
      <c r="EO13" s="27"/>
      <c r="EP13" s="27"/>
      <c r="EQ13" s="27"/>
      <c r="ER13" s="27"/>
      <c r="ES13" s="27"/>
      <c r="ET13" s="27"/>
      <c r="EU13" s="27"/>
      <c r="EV13" s="27"/>
      <c r="EW13" s="27"/>
      <c r="EX13" s="27"/>
      <c r="EY13" s="27"/>
      <c r="EZ13" s="27"/>
      <c r="FA13" s="27"/>
      <c r="FB13" s="27"/>
      <c r="FC13" s="27"/>
      <c r="FD13" s="27"/>
      <c r="FE13" s="27"/>
      <c r="FF13" s="27"/>
      <c r="FG13" s="27"/>
      <c r="FH13" s="27"/>
      <c r="FI13" s="27"/>
      <c r="FJ13" s="27"/>
      <c r="FK13" s="27"/>
      <c r="FL13" s="27"/>
      <c r="FM13" s="27"/>
      <c r="FN13" s="27"/>
      <c r="FO13" s="27"/>
      <c r="FP13" s="27"/>
      <c r="FQ13" s="27"/>
      <c r="FR13" s="27"/>
      <c r="FS13" s="27"/>
      <c r="FT13" s="27"/>
      <c r="FU13" s="27"/>
      <c r="FV13" s="27"/>
      <c r="FW13" s="27"/>
      <c r="FX13" s="27"/>
      <c r="FY13" s="27"/>
      <c r="FZ13" s="27"/>
      <c r="GA13" s="27"/>
      <c r="GB13" s="27"/>
      <c r="GC13" s="27"/>
      <c r="GD13" s="27"/>
      <c r="GE13" s="27"/>
      <c r="GF13" s="27"/>
      <c r="GG13" s="27"/>
      <c r="GH13" s="27"/>
      <c r="GI13" s="27"/>
      <c r="GJ13" s="27"/>
      <c r="GK13" s="27"/>
      <c r="GL13" s="27"/>
      <c r="GM13" s="27"/>
      <c r="GN13" s="27"/>
      <c r="GO13" s="27"/>
      <c r="GP13" s="27"/>
      <c r="GQ13" s="27"/>
      <c r="GR13" s="27"/>
      <c r="GS13" s="27"/>
      <c r="GT13" s="27"/>
      <c r="GU13" s="27"/>
      <c r="GV13" s="27"/>
      <c r="GW13" s="27"/>
      <c r="GX13" s="27"/>
      <c r="GY13" s="27"/>
      <c r="GZ13" s="27"/>
      <c r="HA13" s="27"/>
      <c r="HB13" s="27"/>
      <c r="HC13" s="27"/>
      <c r="HD13" s="27"/>
      <c r="HE13" s="27"/>
      <c r="HF13" s="27"/>
      <c r="HG13" s="27"/>
      <c r="HH13" s="27"/>
      <c r="HI13" s="27"/>
      <c r="HJ13" s="27"/>
      <c r="HK13" s="27"/>
      <c r="HL13" s="27"/>
      <c r="HM13" s="27"/>
      <c r="HN13" s="27"/>
      <c r="HO13" s="27"/>
      <c r="HP13" s="27"/>
      <c r="HQ13" s="27"/>
      <c r="HR13" s="27"/>
      <c r="HS13" s="27"/>
      <c r="HT13" s="27"/>
      <c r="HU13" s="27"/>
      <c r="HV13" s="27"/>
      <c r="HW13" s="27"/>
      <c r="HX13" s="27"/>
      <c r="HY13" s="27"/>
      <c r="HZ13" s="27"/>
      <c r="IA13" s="27"/>
      <c r="IB13" s="27"/>
      <c r="IC13" s="27"/>
      <c r="ID13" s="27"/>
      <c r="IE13" s="27"/>
      <c r="IF13" s="27"/>
      <c r="IG13" s="27"/>
      <c r="IH13" s="27"/>
      <c r="II13" s="27"/>
      <c r="IJ13" s="27"/>
      <c r="IK13" s="27"/>
      <c r="IL13" s="27"/>
      <c r="IM13" s="27"/>
      <c r="IN13" s="27"/>
      <c r="IO13" s="27"/>
      <c r="IP13" s="27"/>
      <c r="IQ13" s="27"/>
      <c r="IR13" s="27"/>
      <c r="IS13" s="27"/>
      <c r="IT13" s="27"/>
      <c r="IU13" s="27"/>
      <c r="IV13" s="27"/>
    </row>
    <row r="14" spans="1:256" ht="25.5" x14ac:dyDescent="0.25">
      <c r="A14" s="27"/>
      <c r="B14" s="31" t="s">
        <v>31</v>
      </c>
      <c r="C14" s="33" t="s">
        <v>29</v>
      </c>
      <c r="D14" s="42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27"/>
      <c r="CX14" s="27"/>
      <c r="CY14" s="27"/>
      <c r="CZ14" s="27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7"/>
      <c r="DL14" s="27"/>
      <c r="DM14" s="27"/>
      <c r="DN14" s="27"/>
      <c r="DO14" s="27"/>
      <c r="DP14" s="27"/>
      <c r="DQ14" s="27"/>
      <c r="DR14" s="27"/>
      <c r="DS14" s="27"/>
      <c r="DT14" s="27"/>
      <c r="DU14" s="27"/>
      <c r="DV14" s="27"/>
      <c r="DW14" s="27"/>
      <c r="DX14" s="27"/>
      <c r="DY14" s="27"/>
      <c r="DZ14" s="27"/>
      <c r="EA14" s="27"/>
      <c r="EB14" s="27"/>
      <c r="EC14" s="27"/>
      <c r="ED14" s="27"/>
      <c r="EE14" s="27"/>
      <c r="EF14" s="27"/>
      <c r="EG14" s="27"/>
      <c r="EH14" s="27"/>
      <c r="EI14" s="27"/>
      <c r="EJ14" s="27"/>
      <c r="EK14" s="27"/>
      <c r="EL14" s="27"/>
      <c r="EM14" s="27"/>
      <c r="EN14" s="27"/>
      <c r="EO14" s="27"/>
      <c r="EP14" s="27"/>
      <c r="EQ14" s="27"/>
      <c r="ER14" s="27"/>
      <c r="ES14" s="27"/>
      <c r="ET14" s="27"/>
      <c r="EU14" s="27"/>
      <c r="EV14" s="27"/>
      <c r="EW14" s="27"/>
      <c r="EX14" s="27"/>
      <c r="EY14" s="27"/>
      <c r="EZ14" s="27"/>
      <c r="FA14" s="27"/>
      <c r="FB14" s="27"/>
      <c r="FC14" s="27"/>
      <c r="FD14" s="27"/>
      <c r="FE14" s="27"/>
      <c r="FF14" s="27"/>
      <c r="FG14" s="27"/>
      <c r="FH14" s="27"/>
      <c r="FI14" s="27"/>
      <c r="FJ14" s="27"/>
      <c r="FK14" s="27"/>
      <c r="FL14" s="27"/>
      <c r="FM14" s="27"/>
      <c r="FN14" s="27"/>
      <c r="FO14" s="27"/>
      <c r="FP14" s="27"/>
      <c r="FQ14" s="27"/>
      <c r="FR14" s="27"/>
      <c r="FS14" s="27"/>
      <c r="FT14" s="27"/>
      <c r="FU14" s="27"/>
      <c r="FV14" s="27"/>
      <c r="FW14" s="27"/>
      <c r="FX14" s="27"/>
      <c r="FY14" s="27"/>
      <c r="FZ14" s="27"/>
      <c r="GA14" s="27"/>
      <c r="GB14" s="27"/>
      <c r="GC14" s="27"/>
      <c r="GD14" s="27"/>
      <c r="GE14" s="27"/>
      <c r="GF14" s="27"/>
      <c r="GG14" s="27"/>
      <c r="GH14" s="27"/>
      <c r="GI14" s="27"/>
      <c r="GJ14" s="27"/>
      <c r="GK14" s="27"/>
      <c r="GL14" s="27"/>
      <c r="GM14" s="27"/>
      <c r="GN14" s="27"/>
      <c r="GO14" s="27"/>
      <c r="GP14" s="27"/>
      <c r="GQ14" s="27"/>
      <c r="GR14" s="27"/>
      <c r="GS14" s="27"/>
      <c r="GT14" s="27"/>
      <c r="GU14" s="27"/>
      <c r="GV14" s="27"/>
      <c r="GW14" s="27"/>
      <c r="GX14" s="27"/>
      <c r="GY14" s="27"/>
      <c r="GZ14" s="27"/>
      <c r="HA14" s="27"/>
      <c r="HB14" s="27"/>
      <c r="HC14" s="27"/>
      <c r="HD14" s="27"/>
      <c r="HE14" s="27"/>
      <c r="HF14" s="27"/>
      <c r="HG14" s="27"/>
      <c r="HH14" s="27"/>
      <c r="HI14" s="27"/>
      <c r="HJ14" s="27"/>
      <c r="HK14" s="27"/>
      <c r="HL14" s="27"/>
      <c r="HM14" s="27"/>
      <c r="HN14" s="27"/>
      <c r="HO14" s="27"/>
      <c r="HP14" s="27"/>
      <c r="HQ14" s="27"/>
      <c r="HR14" s="27"/>
      <c r="HS14" s="27"/>
      <c r="HT14" s="27"/>
      <c r="HU14" s="27"/>
      <c r="HV14" s="27"/>
      <c r="HW14" s="27"/>
      <c r="HX14" s="27"/>
      <c r="HY14" s="27"/>
      <c r="HZ14" s="27"/>
      <c r="IA14" s="27"/>
      <c r="IB14" s="27"/>
      <c r="IC14" s="27"/>
      <c r="ID14" s="27"/>
      <c r="IE14" s="27"/>
      <c r="IF14" s="27"/>
      <c r="IG14" s="27"/>
      <c r="IH14" s="27"/>
      <c r="II14" s="27"/>
      <c r="IJ14" s="27"/>
      <c r="IK14" s="27"/>
      <c r="IL14" s="27"/>
      <c r="IM14" s="27"/>
      <c r="IN14" s="27"/>
      <c r="IO14" s="27"/>
      <c r="IP14" s="27"/>
      <c r="IQ14" s="27"/>
      <c r="IR14" s="27"/>
      <c r="IS14" s="27"/>
      <c r="IT14" s="27"/>
      <c r="IU14" s="27"/>
      <c r="IV14" s="27"/>
    </row>
    <row r="15" spans="1:256" ht="25.5" x14ac:dyDescent="0.25">
      <c r="A15" s="27"/>
      <c r="B15" s="31"/>
      <c r="C15" s="33" t="s">
        <v>33</v>
      </c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27"/>
      <c r="BT15" s="27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7"/>
      <c r="CJ15" s="27"/>
      <c r="CK15" s="27"/>
      <c r="CL15" s="27"/>
      <c r="CM15" s="27"/>
      <c r="CN15" s="27"/>
      <c r="CO15" s="27"/>
      <c r="CP15" s="27"/>
      <c r="CQ15" s="27"/>
      <c r="CR15" s="27"/>
      <c r="CS15" s="27"/>
      <c r="CT15" s="27"/>
      <c r="CU15" s="27"/>
      <c r="CV15" s="27"/>
      <c r="CW15" s="27"/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7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7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7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7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7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7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7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7"/>
      <c r="GS15" s="27"/>
      <c r="GT15" s="27"/>
      <c r="GU15" s="27"/>
      <c r="GV15" s="27"/>
      <c r="GW15" s="27"/>
      <c r="GX15" s="27"/>
      <c r="GY15" s="27"/>
      <c r="GZ15" s="27"/>
      <c r="HA15" s="27"/>
      <c r="HB15" s="27"/>
      <c r="HC15" s="27"/>
      <c r="HD15" s="27"/>
      <c r="HE15" s="27"/>
      <c r="HF15" s="27"/>
      <c r="HG15" s="27"/>
      <c r="HH15" s="27"/>
      <c r="HI15" s="27"/>
      <c r="HJ15" s="27"/>
      <c r="HK15" s="27"/>
      <c r="HL15" s="27"/>
      <c r="HM15" s="27"/>
      <c r="HN15" s="27"/>
      <c r="HO15" s="27"/>
      <c r="HP15" s="27"/>
      <c r="HQ15" s="27"/>
      <c r="HR15" s="27"/>
      <c r="HS15" s="27"/>
      <c r="HT15" s="27"/>
      <c r="HU15" s="27"/>
      <c r="HV15" s="27"/>
      <c r="HW15" s="27"/>
      <c r="HX15" s="27"/>
      <c r="HY15" s="27"/>
      <c r="HZ15" s="27"/>
      <c r="IA15" s="27"/>
      <c r="IB15" s="27"/>
      <c r="IC15" s="27"/>
      <c r="ID15" s="27"/>
      <c r="IE15" s="27"/>
      <c r="IF15" s="27"/>
      <c r="IG15" s="27"/>
      <c r="IH15" s="27"/>
      <c r="II15" s="27"/>
      <c r="IJ15" s="27"/>
      <c r="IK15" s="27"/>
      <c r="IL15" s="27"/>
      <c r="IM15" s="27"/>
      <c r="IN15" s="27"/>
      <c r="IO15" s="27"/>
      <c r="IP15" s="27"/>
      <c r="IQ15" s="27"/>
      <c r="IR15" s="27"/>
      <c r="IS15" s="27"/>
      <c r="IT15" s="27"/>
      <c r="IU15" s="27"/>
      <c r="IV15" s="27"/>
    </row>
    <row r="16" spans="1:256" ht="38.25" x14ac:dyDescent="0.25">
      <c r="A16" s="27"/>
      <c r="B16" s="31"/>
      <c r="C16" s="33" t="s">
        <v>34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27"/>
      <c r="BT16" s="27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7"/>
      <c r="CJ16" s="27"/>
      <c r="CK16" s="27"/>
      <c r="CL16" s="27"/>
      <c r="CM16" s="27"/>
      <c r="CN16" s="27"/>
      <c r="CO16" s="27"/>
      <c r="CP16" s="27"/>
      <c r="CQ16" s="27"/>
      <c r="CR16" s="27"/>
      <c r="CS16" s="27"/>
      <c r="CT16" s="27"/>
      <c r="CU16" s="27"/>
      <c r="CV16" s="27"/>
      <c r="CW16" s="27"/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7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7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7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7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7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7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7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7"/>
      <c r="GS16" s="27"/>
      <c r="GT16" s="27"/>
      <c r="GU16" s="27"/>
      <c r="GV16" s="27"/>
      <c r="GW16" s="27"/>
      <c r="GX16" s="27"/>
      <c r="GY16" s="27"/>
      <c r="GZ16" s="27"/>
      <c r="HA16" s="27"/>
      <c r="HB16" s="27"/>
      <c r="HC16" s="27"/>
      <c r="HD16" s="27"/>
      <c r="HE16" s="27"/>
      <c r="HF16" s="27"/>
      <c r="HG16" s="27"/>
      <c r="HH16" s="27"/>
      <c r="HI16" s="27"/>
      <c r="HJ16" s="27"/>
      <c r="HK16" s="27"/>
      <c r="HL16" s="27"/>
      <c r="HM16" s="27"/>
      <c r="HN16" s="27"/>
      <c r="HO16" s="27"/>
      <c r="HP16" s="27"/>
      <c r="HQ16" s="27"/>
      <c r="HR16" s="27"/>
      <c r="HS16" s="27"/>
      <c r="HT16" s="27"/>
      <c r="HU16" s="27"/>
      <c r="HV16" s="27"/>
      <c r="HW16" s="27"/>
      <c r="HX16" s="27"/>
      <c r="HY16" s="27"/>
      <c r="HZ16" s="27"/>
      <c r="IA16" s="27"/>
      <c r="IB16" s="27"/>
      <c r="IC16" s="27"/>
      <c r="ID16" s="27"/>
      <c r="IE16" s="27"/>
      <c r="IF16" s="27"/>
      <c r="IG16" s="27"/>
      <c r="IH16" s="27"/>
      <c r="II16" s="27"/>
      <c r="IJ16" s="27"/>
      <c r="IK16" s="27"/>
      <c r="IL16" s="27"/>
      <c r="IM16" s="27"/>
      <c r="IN16" s="27"/>
      <c r="IO16" s="27"/>
      <c r="IP16" s="27"/>
      <c r="IQ16" s="27"/>
      <c r="IR16" s="27"/>
      <c r="IS16" s="27"/>
      <c r="IT16" s="27"/>
      <c r="IU16" s="27"/>
      <c r="IV16" s="27"/>
    </row>
    <row r="17" spans="1:256" ht="15.75" x14ac:dyDescent="0.25">
      <c r="A17" s="27"/>
      <c r="B17" s="31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  <c r="DU17" s="27"/>
      <c r="DV17" s="27"/>
      <c r="DW17" s="27"/>
      <c r="DX17" s="27"/>
      <c r="DY17" s="27"/>
      <c r="DZ17" s="27"/>
      <c r="EA17" s="27"/>
      <c r="EB17" s="27"/>
      <c r="EC17" s="27"/>
      <c r="ED17" s="27"/>
      <c r="EE17" s="27"/>
      <c r="EF17" s="27"/>
      <c r="EG17" s="27"/>
      <c r="EH17" s="27"/>
      <c r="EI17" s="27"/>
      <c r="EJ17" s="27"/>
      <c r="EK17" s="27"/>
      <c r="EL17" s="27"/>
      <c r="EM17" s="27"/>
      <c r="EN17" s="27"/>
      <c r="EO17" s="27"/>
      <c r="EP17" s="27"/>
      <c r="EQ17" s="27"/>
      <c r="ER17" s="27"/>
      <c r="ES17" s="27"/>
      <c r="ET17" s="27"/>
      <c r="EU17" s="27"/>
      <c r="EV17" s="27"/>
      <c r="EW17" s="27"/>
      <c r="EX17" s="27"/>
      <c r="EY17" s="27"/>
      <c r="EZ17" s="27"/>
      <c r="FA17" s="27"/>
      <c r="FB17" s="27"/>
      <c r="FC17" s="27"/>
      <c r="FD17" s="27"/>
      <c r="FE17" s="27"/>
      <c r="FF17" s="27"/>
      <c r="FG17" s="27"/>
      <c r="FH17" s="27"/>
      <c r="FI17" s="27"/>
      <c r="FJ17" s="27"/>
      <c r="FK17" s="27"/>
      <c r="FL17" s="27"/>
      <c r="FM17" s="27"/>
      <c r="FN17" s="27"/>
      <c r="FO17" s="27"/>
      <c r="FP17" s="27"/>
      <c r="FQ17" s="27"/>
      <c r="FR17" s="27"/>
      <c r="FS17" s="27"/>
      <c r="FT17" s="27"/>
      <c r="FU17" s="27"/>
      <c r="FV17" s="27"/>
      <c r="FW17" s="27"/>
      <c r="FX17" s="27"/>
      <c r="FY17" s="27"/>
      <c r="FZ17" s="27"/>
      <c r="GA17" s="27"/>
      <c r="GB17" s="27"/>
      <c r="GC17" s="27"/>
      <c r="GD17" s="27"/>
      <c r="GE17" s="27"/>
      <c r="GF17" s="27"/>
      <c r="GG17" s="27"/>
      <c r="GH17" s="27"/>
      <c r="GI17" s="27"/>
      <c r="GJ17" s="27"/>
      <c r="GK17" s="27"/>
      <c r="GL17" s="27"/>
      <c r="GM17" s="27"/>
      <c r="GN17" s="27"/>
      <c r="GO17" s="27"/>
      <c r="GP17" s="27"/>
      <c r="GQ17" s="27"/>
      <c r="GR17" s="27"/>
      <c r="GS17" s="27"/>
      <c r="GT17" s="27"/>
      <c r="GU17" s="27"/>
      <c r="GV17" s="27"/>
      <c r="GW17" s="27"/>
      <c r="GX17" s="27"/>
      <c r="GY17" s="27"/>
      <c r="GZ17" s="27"/>
      <c r="HA17" s="27"/>
      <c r="HB17" s="27"/>
      <c r="HC17" s="27"/>
      <c r="HD17" s="27"/>
      <c r="HE17" s="27"/>
      <c r="HF17" s="27"/>
      <c r="HG17" s="27"/>
      <c r="HH17" s="27"/>
      <c r="HI17" s="27"/>
      <c r="HJ17" s="27"/>
      <c r="HK17" s="27"/>
      <c r="HL17" s="27"/>
      <c r="HM17" s="27"/>
      <c r="HN17" s="27"/>
      <c r="HO17" s="27"/>
      <c r="HP17" s="27"/>
      <c r="HQ17" s="27"/>
      <c r="HR17" s="27"/>
      <c r="HS17" s="27"/>
      <c r="HT17" s="27"/>
      <c r="HU17" s="27"/>
      <c r="HV17" s="27"/>
      <c r="HW17" s="27"/>
      <c r="HX17" s="27"/>
      <c r="HY17" s="27"/>
      <c r="HZ17" s="27"/>
      <c r="IA17" s="27"/>
      <c r="IB17" s="27"/>
      <c r="IC17" s="27"/>
      <c r="ID17" s="27"/>
      <c r="IE17" s="27"/>
      <c r="IF17" s="27"/>
      <c r="IG17" s="27"/>
      <c r="IH17" s="27"/>
      <c r="II17" s="27"/>
      <c r="IJ17" s="27"/>
      <c r="IK17" s="27"/>
      <c r="IL17" s="27"/>
      <c r="IM17" s="27"/>
      <c r="IN17" s="27"/>
      <c r="IO17" s="27"/>
      <c r="IP17" s="27"/>
      <c r="IQ17" s="27"/>
      <c r="IR17" s="27"/>
      <c r="IS17" s="27"/>
      <c r="IT17" s="27"/>
      <c r="IU17" s="27"/>
      <c r="IV17" s="27"/>
    </row>
    <row r="18" spans="1:256" ht="15.75" x14ac:dyDescent="0.25">
      <c r="A18" s="27"/>
      <c r="B18" s="31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27"/>
      <c r="BT18" s="27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7"/>
      <c r="CJ18" s="27"/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27"/>
      <c r="CX18" s="27"/>
      <c r="CY18" s="27"/>
      <c r="CZ18" s="27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7"/>
      <c r="DL18" s="27"/>
      <c r="DM18" s="27"/>
      <c r="DN18" s="27"/>
      <c r="DO18" s="27"/>
      <c r="DP18" s="27"/>
      <c r="DQ18" s="27"/>
      <c r="DR18" s="27"/>
      <c r="DS18" s="27"/>
      <c r="DT18" s="27"/>
      <c r="DU18" s="27"/>
      <c r="DV18" s="27"/>
      <c r="DW18" s="27"/>
      <c r="DX18" s="27"/>
      <c r="DY18" s="27"/>
      <c r="DZ18" s="27"/>
      <c r="EA18" s="27"/>
      <c r="EB18" s="27"/>
      <c r="EC18" s="27"/>
      <c r="ED18" s="27"/>
      <c r="EE18" s="27"/>
      <c r="EF18" s="27"/>
      <c r="EG18" s="27"/>
      <c r="EH18" s="27"/>
      <c r="EI18" s="27"/>
      <c r="EJ18" s="27"/>
      <c r="EK18" s="27"/>
      <c r="EL18" s="27"/>
      <c r="EM18" s="27"/>
      <c r="EN18" s="27"/>
      <c r="EO18" s="27"/>
      <c r="EP18" s="27"/>
      <c r="EQ18" s="27"/>
      <c r="ER18" s="27"/>
      <c r="ES18" s="27"/>
      <c r="ET18" s="27"/>
      <c r="EU18" s="27"/>
      <c r="EV18" s="27"/>
      <c r="EW18" s="27"/>
      <c r="EX18" s="27"/>
      <c r="EY18" s="27"/>
      <c r="EZ18" s="27"/>
      <c r="FA18" s="27"/>
      <c r="FB18" s="27"/>
      <c r="FC18" s="27"/>
      <c r="FD18" s="27"/>
      <c r="FE18" s="27"/>
      <c r="FF18" s="27"/>
      <c r="FG18" s="27"/>
      <c r="FH18" s="27"/>
      <c r="FI18" s="27"/>
      <c r="FJ18" s="27"/>
      <c r="FK18" s="27"/>
      <c r="FL18" s="27"/>
      <c r="FM18" s="27"/>
      <c r="FN18" s="27"/>
      <c r="FO18" s="27"/>
      <c r="FP18" s="27"/>
      <c r="FQ18" s="27"/>
      <c r="FR18" s="27"/>
      <c r="FS18" s="27"/>
      <c r="FT18" s="27"/>
      <c r="FU18" s="27"/>
      <c r="FV18" s="27"/>
      <c r="FW18" s="27"/>
      <c r="FX18" s="27"/>
      <c r="FY18" s="27"/>
      <c r="FZ18" s="27"/>
      <c r="GA18" s="27"/>
      <c r="GB18" s="27"/>
      <c r="GC18" s="27"/>
      <c r="GD18" s="27"/>
      <c r="GE18" s="27"/>
      <c r="GF18" s="27"/>
      <c r="GG18" s="27"/>
      <c r="GH18" s="27"/>
      <c r="GI18" s="27"/>
      <c r="GJ18" s="27"/>
      <c r="GK18" s="27"/>
      <c r="GL18" s="27"/>
      <c r="GM18" s="27"/>
      <c r="GN18" s="27"/>
      <c r="GO18" s="27"/>
      <c r="GP18" s="27"/>
      <c r="GQ18" s="27"/>
      <c r="GR18" s="27"/>
      <c r="GS18" s="27"/>
      <c r="GT18" s="27"/>
      <c r="GU18" s="27"/>
      <c r="GV18" s="27"/>
      <c r="GW18" s="27"/>
      <c r="GX18" s="27"/>
      <c r="GY18" s="27"/>
      <c r="GZ18" s="27"/>
      <c r="HA18" s="27"/>
      <c r="HB18" s="27"/>
      <c r="HC18" s="27"/>
      <c r="HD18" s="27"/>
      <c r="HE18" s="27"/>
      <c r="HF18" s="27"/>
      <c r="HG18" s="27"/>
      <c r="HH18" s="27"/>
      <c r="HI18" s="27"/>
      <c r="HJ18" s="27"/>
      <c r="HK18" s="27"/>
      <c r="HL18" s="27"/>
      <c r="HM18" s="27"/>
      <c r="HN18" s="27"/>
      <c r="HO18" s="27"/>
      <c r="HP18" s="27"/>
      <c r="HQ18" s="27"/>
      <c r="HR18" s="27"/>
      <c r="HS18" s="27"/>
      <c r="HT18" s="27"/>
      <c r="HU18" s="27"/>
      <c r="HV18" s="27"/>
      <c r="HW18" s="27"/>
      <c r="HX18" s="27"/>
      <c r="HY18" s="27"/>
      <c r="HZ18" s="27"/>
      <c r="IA18" s="27"/>
      <c r="IB18" s="27"/>
      <c r="IC18" s="27"/>
      <c r="ID18" s="27"/>
      <c r="IE18" s="27"/>
      <c r="IF18" s="27"/>
      <c r="IG18" s="27"/>
      <c r="IH18" s="27"/>
      <c r="II18" s="27"/>
      <c r="IJ18" s="27"/>
      <c r="IK18" s="27"/>
      <c r="IL18" s="27"/>
      <c r="IM18" s="27"/>
      <c r="IN18" s="27"/>
      <c r="IO18" s="27"/>
      <c r="IP18" s="27"/>
      <c r="IQ18" s="27"/>
      <c r="IR18" s="27"/>
      <c r="IS18" s="27"/>
      <c r="IT18" s="27"/>
      <c r="IU18" s="27"/>
      <c r="IV18" s="27"/>
    </row>
    <row r="19" spans="1:256" ht="15.75" x14ac:dyDescent="0.25">
      <c r="A19" s="27"/>
      <c r="B19" s="31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27"/>
      <c r="BT19" s="27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7"/>
      <c r="CJ19" s="27"/>
      <c r="CK19" s="27"/>
      <c r="CL19" s="27"/>
      <c r="CM19" s="27"/>
      <c r="CN19" s="27"/>
      <c r="CO19" s="27"/>
      <c r="CP19" s="27"/>
      <c r="CQ19" s="27"/>
      <c r="CR19" s="27"/>
      <c r="CS19" s="27"/>
      <c r="CT19" s="27"/>
      <c r="CU19" s="27"/>
      <c r="CV19" s="27"/>
      <c r="CW19" s="27"/>
      <c r="CX19" s="27"/>
      <c r="CY19" s="27"/>
      <c r="CZ19" s="27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7"/>
      <c r="DL19" s="27"/>
      <c r="DM19" s="27"/>
      <c r="DN19" s="27"/>
      <c r="DO19" s="27"/>
      <c r="DP19" s="27"/>
      <c r="DQ19" s="27"/>
      <c r="DR19" s="27"/>
      <c r="DS19" s="27"/>
      <c r="DT19" s="27"/>
      <c r="DU19" s="27"/>
      <c r="DV19" s="27"/>
      <c r="DW19" s="27"/>
      <c r="DX19" s="27"/>
      <c r="DY19" s="27"/>
      <c r="DZ19" s="27"/>
      <c r="EA19" s="27"/>
      <c r="EB19" s="27"/>
      <c r="EC19" s="27"/>
      <c r="ED19" s="27"/>
      <c r="EE19" s="27"/>
      <c r="EF19" s="27"/>
      <c r="EG19" s="27"/>
      <c r="EH19" s="27"/>
      <c r="EI19" s="27"/>
      <c r="EJ19" s="27"/>
      <c r="EK19" s="27"/>
      <c r="EL19" s="27"/>
      <c r="EM19" s="27"/>
      <c r="EN19" s="27"/>
      <c r="EO19" s="27"/>
      <c r="EP19" s="27"/>
      <c r="EQ19" s="27"/>
      <c r="ER19" s="27"/>
      <c r="ES19" s="27"/>
      <c r="ET19" s="27"/>
      <c r="EU19" s="27"/>
      <c r="EV19" s="27"/>
      <c r="EW19" s="27"/>
      <c r="EX19" s="27"/>
      <c r="EY19" s="27"/>
      <c r="EZ19" s="27"/>
      <c r="FA19" s="27"/>
      <c r="FB19" s="27"/>
      <c r="FC19" s="27"/>
      <c r="FD19" s="27"/>
      <c r="FE19" s="27"/>
      <c r="FF19" s="27"/>
      <c r="FG19" s="27"/>
      <c r="FH19" s="27"/>
      <c r="FI19" s="27"/>
      <c r="FJ19" s="27"/>
      <c r="FK19" s="27"/>
      <c r="FL19" s="27"/>
      <c r="FM19" s="27"/>
      <c r="FN19" s="27"/>
      <c r="FO19" s="27"/>
      <c r="FP19" s="27"/>
      <c r="FQ19" s="27"/>
      <c r="FR19" s="27"/>
      <c r="FS19" s="27"/>
      <c r="FT19" s="27"/>
      <c r="FU19" s="27"/>
      <c r="FV19" s="27"/>
      <c r="FW19" s="27"/>
      <c r="FX19" s="27"/>
      <c r="FY19" s="27"/>
      <c r="FZ19" s="27"/>
      <c r="GA19" s="27"/>
      <c r="GB19" s="27"/>
      <c r="GC19" s="27"/>
      <c r="GD19" s="27"/>
      <c r="GE19" s="27"/>
      <c r="GF19" s="27"/>
      <c r="GG19" s="27"/>
      <c r="GH19" s="27"/>
      <c r="GI19" s="27"/>
      <c r="GJ19" s="27"/>
      <c r="GK19" s="27"/>
      <c r="GL19" s="27"/>
      <c r="GM19" s="27"/>
      <c r="GN19" s="27"/>
      <c r="GO19" s="27"/>
      <c r="GP19" s="27"/>
      <c r="GQ19" s="27"/>
      <c r="GR19" s="27"/>
      <c r="GS19" s="27"/>
      <c r="GT19" s="27"/>
      <c r="GU19" s="27"/>
      <c r="GV19" s="27"/>
      <c r="GW19" s="27"/>
      <c r="GX19" s="27"/>
      <c r="GY19" s="27"/>
      <c r="GZ19" s="27"/>
      <c r="HA19" s="27"/>
      <c r="HB19" s="27"/>
      <c r="HC19" s="27"/>
      <c r="HD19" s="27"/>
      <c r="HE19" s="27"/>
      <c r="HF19" s="27"/>
      <c r="HG19" s="27"/>
      <c r="HH19" s="27"/>
      <c r="HI19" s="27"/>
      <c r="HJ19" s="27"/>
      <c r="HK19" s="27"/>
      <c r="HL19" s="27"/>
      <c r="HM19" s="27"/>
      <c r="HN19" s="27"/>
      <c r="HO19" s="27"/>
      <c r="HP19" s="27"/>
      <c r="HQ19" s="27"/>
      <c r="HR19" s="27"/>
      <c r="HS19" s="27"/>
      <c r="HT19" s="27"/>
      <c r="HU19" s="27"/>
      <c r="HV19" s="27"/>
      <c r="HW19" s="27"/>
      <c r="HX19" s="27"/>
      <c r="HY19" s="27"/>
      <c r="HZ19" s="27"/>
      <c r="IA19" s="27"/>
      <c r="IB19" s="27"/>
      <c r="IC19" s="27"/>
      <c r="ID19" s="27"/>
      <c r="IE19" s="27"/>
      <c r="IF19" s="27"/>
      <c r="IG19" s="27"/>
      <c r="IH19" s="27"/>
      <c r="II19" s="27"/>
      <c r="IJ19" s="27"/>
      <c r="IK19" s="27"/>
      <c r="IL19" s="27"/>
      <c r="IM19" s="27"/>
      <c r="IN19" s="27"/>
      <c r="IO19" s="27"/>
      <c r="IP19" s="27"/>
      <c r="IQ19" s="27"/>
      <c r="IR19" s="27"/>
      <c r="IS19" s="27"/>
      <c r="IT19" s="27"/>
      <c r="IU19" s="27"/>
      <c r="IV19" s="27"/>
    </row>
    <row r="20" spans="1:256" x14ac:dyDescent="0.25">
      <c r="A20" s="27"/>
      <c r="B20" s="27"/>
      <c r="C20" s="28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27"/>
      <c r="BT20" s="27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7"/>
      <c r="CJ20" s="27"/>
      <c r="CK20" s="27"/>
      <c r="CL20" s="27"/>
      <c r="CM20" s="27"/>
      <c r="CN20" s="27"/>
      <c r="CO20" s="27"/>
      <c r="CP20" s="27"/>
      <c r="CQ20" s="27"/>
      <c r="CR20" s="27"/>
      <c r="CS20" s="27"/>
      <c r="CT20" s="27"/>
      <c r="CU20" s="27"/>
      <c r="CV20" s="27"/>
      <c r="CW20" s="27"/>
      <c r="CX20" s="27"/>
      <c r="CY20" s="27"/>
      <c r="CZ20" s="27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7"/>
      <c r="DL20" s="27"/>
      <c r="DM20" s="27"/>
      <c r="DN20" s="27"/>
      <c r="DO20" s="27"/>
      <c r="DP20" s="27"/>
      <c r="DQ20" s="27"/>
      <c r="DR20" s="27"/>
      <c r="DS20" s="27"/>
      <c r="DT20" s="27"/>
      <c r="DU20" s="27"/>
      <c r="DV20" s="27"/>
      <c r="DW20" s="27"/>
      <c r="DX20" s="27"/>
      <c r="DY20" s="27"/>
      <c r="DZ20" s="27"/>
      <c r="EA20" s="27"/>
      <c r="EB20" s="27"/>
      <c r="EC20" s="27"/>
      <c r="ED20" s="27"/>
      <c r="EE20" s="27"/>
      <c r="EF20" s="27"/>
      <c r="EG20" s="27"/>
      <c r="EH20" s="27"/>
      <c r="EI20" s="27"/>
      <c r="EJ20" s="27"/>
      <c r="EK20" s="27"/>
      <c r="EL20" s="27"/>
      <c r="EM20" s="27"/>
      <c r="EN20" s="27"/>
      <c r="EO20" s="27"/>
      <c r="EP20" s="27"/>
      <c r="EQ20" s="27"/>
      <c r="ER20" s="27"/>
      <c r="ES20" s="27"/>
      <c r="ET20" s="27"/>
      <c r="EU20" s="27"/>
      <c r="EV20" s="27"/>
      <c r="EW20" s="27"/>
      <c r="EX20" s="27"/>
      <c r="EY20" s="27"/>
      <c r="EZ20" s="27"/>
      <c r="FA20" s="27"/>
      <c r="FB20" s="27"/>
      <c r="FC20" s="27"/>
      <c r="FD20" s="27"/>
      <c r="FE20" s="27"/>
      <c r="FF20" s="27"/>
      <c r="FG20" s="27"/>
      <c r="FH20" s="27"/>
      <c r="FI20" s="27"/>
      <c r="FJ20" s="27"/>
      <c r="FK20" s="27"/>
      <c r="FL20" s="27"/>
      <c r="FM20" s="27"/>
      <c r="FN20" s="27"/>
      <c r="FO20" s="27"/>
      <c r="FP20" s="27"/>
      <c r="FQ20" s="27"/>
      <c r="FR20" s="27"/>
      <c r="FS20" s="27"/>
      <c r="FT20" s="27"/>
      <c r="FU20" s="27"/>
      <c r="FV20" s="27"/>
      <c r="FW20" s="27"/>
      <c r="FX20" s="27"/>
      <c r="FY20" s="27"/>
      <c r="FZ20" s="27"/>
      <c r="GA20" s="27"/>
      <c r="GB20" s="27"/>
      <c r="GC20" s="27"/>
      <c r="GD20" s="27"/>
      <c r="GE20" s="27"/>
      <c r="GF20" s="27"/>
      <c r="GG20" s="27"/>
      <c r="GH20" s="27"/>
      <c r="GI20" s="27"/>
      <c r="GJ20" s="27"/>
      <c r="GK20" s="27"/>
      <c r="GL20" s="27"/>
      <c r="GM20" s="27"/>
      <c r="GN20" s="27"/>
      <c r="GO20" s="27"/>
      <c r="GP20" s="27"/>
      <c r="GQ20" s="27"/>
      <c r="GR20" s="27"/>
      <c r="GS20" s="27"/>
      <c r="GT20" s="27"/>
      <c r="GU20" s="27"/>
      <c r="GV20" s="27"/>
      <c r="GW20" s="27"/>
      <c r="GX20" s="27"/>
      <c r="GY20" s="27"/>
      <c r="GZ20" s="27"/>
      <c r="HA20" s="27"/>
      <c r="HB20" s="27"/>
      <c r="HC20" s="27"/>
      <c r="HD20" s="27"/>
      <c r="HE20" s="27"/>
      <c r="HF20" s="27"/>
      <c r="HG20" s="27"/>
      <c r="HH20" s="27"/>
      <c r="HI20" s="27"/>
      <c r="HJ20" s="27"/>
      <c r="HK20" s="27"/>
      <c r="HL20" s="27"/>
      <c r="HM20" s="27"/>
      <c r="HN20" s="27"/>
      <c r="HO20" s="27"/>
      <c r="HP20" s="27"/>
      <c r="HQ20" s="27"/>
      <c r="HR20" s="27"/>
      <c r="HS20" s="27"/>
      <c r="HT20" s="27"/>
      <c r="HU20" s="27"/>
      <c r="HV20" s="27"/>
      <c r="HW20" s="27"/>
      <c r="HX20" s="27"/>
      <c r="HY20" s="27"/>
      <c r="HZ20" s="27"/>
      <c r="IA20" s="27"/>
      <c r="IB20" s="27"/>
      <c r="IC20" s="27"/>
      <c r="ID20" s="27"/>
      <c r="IE20" s="27"/>
      <c r="IF20" s="27"/>
      <c r="IG20" s="27"/>
      <c r="IH20" s="27"/>
      <c r="II20" s="27"/>
      <c r="IJ20" s="27"/>
      <c r="IK20" s="27"/>
      <c r="IL20" s="27"/>
      <c r="IM20" s="27"/>
      <c r="IN20" s="27"/>
      <c r="IO20" s="27"/>
      <c r="IP20" s="27"/>
      <c r="IQ20" s="27"/>
      <c r="IR20" s="27"/>
      <c r="IS20" s="27"/>
      <c r="IT20" s="27"/>
      <c r="IU20" s="27"/>
      <c r="IV20" s="27"/>
    </row>
    <row r="21" spans="1:256" ht="18" x14ac:dyDescent="0.25">
      <c r="A21" s="34" t="s">
        <v>16</v>
      </c>
      <c r="B21" s="27"/>
      <c r="C21" s="28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27"/>
      <c r="BT21" s="27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7"/>
      <c r="CJ21" s="27"/>
      <c r="CK21" s="27"/>
      <c r="CL21" s="27"/>
      <c r="CM21" s="27"/>
      <c r="CN21" s="27"/>
      <c r="CO21" s="27"/>
      <c r="CP21" s="27"/>
      <c r="CQ21" s="27"/>
      <c r="CR21" s="27"/>
      <c r="CS21" s="27"/>
      <c r="CT21" s="27"/>
      <c r="CU21" s="27"/>
      <c r="CV21" s="27"/>
      <c r="CW21" s="27"/>
      <c r="CX21" s="27"/>
      <c r="CY21" s="27"/>
      <c r="CZ21" s="27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7"/>
      <c r="DL21" s="27"/>
      <c r="DM21" s="27"/>
      <c r="DN21" s="27"/>
      <c r="DO21" s="27"/>
      <c r="DP21" s="27"/>
      <c r="DQ21" s="27"/>
      <c r="DR21" s="27"/>
      <c r="DS21" s="27"/>
      <c r="DT21" s="27"/>
      <c r="DU21" s="27"/>
      <c r="DV21" s="27"/>
      <c r="DW21" s="27"/>
      <c r="DX21" s="27"/>
      <c r="DY21" s="27"/>
      <c r="DZ21" s="27"/>
      <c r="EA21" s="27"/>
      <c r="EB21" s="27"/>
      <c r="EC21" s="27"/>
      <c r="ED21" s="27"/>
      <c r="EE21" s="27"/>
      <c r="EF21" s="27"/>
      <c r="EG21" s="27"/>
      <c r="EH21" s="27"/>
      <c r="EI21" s="27"/>
      <c r="EJ21" s="27"/>
      <c r="EK21" s="27"/>
      <c r="EL21" s="27"/>
      <c r="EM21" s="27"/>
      <c r="EN21" s="27"/>
      <c r="EO21" s="27"/>
      <c r="EP21" s="27"/>
      <c r="EQ21" s="27"/>
      <c r="ER21" s="27"/>
      <c r="ES21" s="27"/>
      <c r="ET21" s="27"/>
      <c r="EU21" s="27"/>
      <c r="EV21" s="27"/>
      <c r="EW21" s="27"/>
      <c r="EX21" s="27"/>
      <c r="EY21" s="27"/>
      <c r="EZ21" s="27"/>
      <c r="FA21" s="27"/>
      <c r="FB21" s="27"/>
      <c r="FC21" s="27"/>
      <c r="FD21" s="27"/>
      <c r="FE21" s="27"/>
      <c r="FF21" s="27"/>
      <c r="FG21" s="27"/>
      <c r="FH21" s="27"/>
      <c r="FI21" s="27"/>
      <c r="FJ21" s="27"/>
      <c r="FK21" s="27"/>
      <c r="FL21" s="27"/>
      <c r="FM21" s="27"/>
      <c r="FN21" s="27"/>
      <c r="FO21" s="27"/>
      <c r="FP21" s="27"/>
      <c r="FQ21" s="27"/>
      <c r="FR21" s="27"/>
      <c r="FS21" s="27"/>
      <c r="FT21" s="27"/>
      <c r="FU21" s="27"/>
      <c r="FV21" s="27"/>
      <c r="FW21" s="27"/>
      <c r="FX21" s="27"/>
      <c r="FY21" s="27"/>
      <c r="FZ21" s="27"/>
      <c r="GA21" s="27"/>
      <c r="GB21" s="27"/>
      <c r="GC21" s="27"/>
      <c r="GD21" s="27"/>
      <c r="GE21" s="27"/>
      <c r="GF21" s="27"/>
      <c r="GG21" s="27"/>
      <c r="GH21" s="27"/>
      <c r="GI21" s="27"/>
      <c r="GJ21" s="27"/>
      <c r="GK21" s="27"/>
      <c r="GL21" s="27"/>
      <c r="GM21" s="27"/>
      <c r="GN21" s="27"/>
      <c r="GO21" s="27"/>
      <c r="GP21" s="27"/>
      <c r="GQ21" s="27"/>
      <c r="GR21" s="27"/>
      <c r="GS21" s="27"/>
      <c r="GT21" s="27"/>
      <c r="GU21" s="27"/>
      <c r="GV21" s="27"/>
      <c r="GW21" s="27"/>
      <c r="GX21" s="27"/>
      <c r="GY21" s="27"/>
      <c r="GZ21" s="27"/>
      <c r="HA21" s="27"/>
      <c r="HB21" s="27"/>
      <c r="HC21" s="27"/>
      <c r="HD21" s="27"/>
      <c r="HE21" s="27"/>
      <c r="HF21" s="27"/>
      <c r="HG21" s="27"/>
      <c r="HH21" s="27"/>
      <c r="HI21" s="27"/>
      <c r="HJ21" s="27"/>
      <c r="HK21" s="27"/>
      <c r="HL21" s="27"/>
      <c r="HM21" s="27"/>
      <c r="HN21" s="27"/>
      <c r="HO21" s="27"/>
      <c r="HP21" s="27"/>
      <c r="HQ21" s="27"/>
      <c r="HR21" s="27"/>
      <c r="HS21" s="27"/>
      <c r="HT21" s="27"/>
      <c r="HU21" s="27"/>
      <c r="HV21" s="27"/>
      <c r="HW21" s="27"/>
      <c r="HX21" s="27"/>
      <c r="HY21" s="27"/>
      <c r="HZ21" s="27"/>
      <c r="IA21" s="27"/>
      <c r="IB21" s="27"/>
      <c r="IC21" s="27"/>
      <c r="ID21" s="27"/>
      <c r="IE21" s="27"/>
      <c r="IF21" s="27"/>
      <c r="IG21" s="27"/>
      <c r="IH21" s="27"/>
      <c r="II21" s="27"/>
      <c r="IJ21" s="27"/>
      <c r="IK21" s="27"/>
      <c r="IL21" s="27"/>
      <c r="IM21" s="27"/>
      <c r="IN21" s="27"/>
      <c r="IO21" s="27"/>
      <c r="IP21" s="27"/>
      <c r="IQ21" s="27"/>
      <c r="IR21" s="27"/>
      <c r="IS21" s="27"/>
      <c r="IT21" s="27"/>
      <c r="IU21" s="27"/>
      <c r="IV21" s="27"/>
    </row>
    <row r="22" spans="1:256" ht="13.5" thickBot="1" x14ac:dyDescent="0.3">
      <c r="A22" s="35"/>
      <c r="B22" s="35" t="s">
        <v>17</v>
      </c>
      <c r="C22" s="36" t="s">
        <v>18</v>
      </c>
      <c r="D22" s="35" t="s">
        <v>19</v>
      </c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  <c r="DU22" s="27"/>
      <c r="DV22" s="27"/>
      <c r="DW22" s="27"/>
      <c r="DX22" s="27"/>
      <c r="DY22" s="27"/>
      <c r="DZ22" s="27"/>
      <c r="EA22" s="27"/>
      <c r="EB22" s="27"/>
      <c r="EC22" s="27"/>
      <c r="ED22" s="27"/>
      <c r="EE22" s="27"/>
      <c r="EF22" s="27"/>
      <c r="EG22" s="27"/>
      <c r="EH22" s="27"/>
      <c r="EI22" s="27"/>
      <c r="EJ22" s="27"/>
      <c r="EK22" s="27"/>
      <c r="EL22" s="27"/>
      <c r="EM22" s="27"/>
      <c r="EN22" s="27"/>
      <c r="EO22" s="27"/>
      <c r="EP22" s="27"/>
      <c r="EQ22" s="27"/>
      <c r="ER22" s="27"/>
      <c r="ES22" s="27"/>
      <c r="ET22" s="27"/>
      <c r="EU22" s="27"/>
      <c r="EV22" s="27"/>
      <c r="EW22" s="27"/>
      <c r="EX22" s="27"/>
      <c r="EY22" s="27"/>
      <c r="EZ22" s="27"/>
      <c r="FA22" s="27"/>
      <c r="FB22" s="27"/>
      <c r="FC22" s="27"/>
      <c r="FD22" s="27"/>
      <c r="FE22" s="27"/>
      <c r="FF22" s="27"/>
      <c r="FG22" s="27"/>
      <c r="FH22" s="27"/>
      <c r="FI22" s="27"/>
      <c r="FJ22" s="27"/>
      <c r="FK22" s="27"/>
      <c r="FL22" s="27"/>
      <c r="FM22" s="27"/>
      <c r="FN22" s="27"/>
      <c r="FO22" s="27"/>
      <c r="FP22" s="27"/>
      <c r="FQ22" s="27"/>
      <c r="FR22" s="27"/>
      <c r="FS22" s="27"/>
      <c r="FT22" s="27"/>
      <c r="FU22" s="27"/>
      <c r="FV22" s="27"/>
      <c r="FW22" s="27"/>
      <c r="FX22" s="27"/>
      <c r="FY22" s="27"/>
      <c r="FZ22" s="27"/>
      <c r="GA22" s="27"/>
      <c r="GB22" s="27"/>
      <c r="GC22" s="27"/>
      <c r="GD22" s="27"/>
      <c r="GE22" s="27"/>
      <c r="GF22" s="27"/>
      <c r="GG22" s="27"/>
      <c r="GH22" s="27"/>
      <c r="GI22" s="27"/>
      <c r="GJ22" s="27"/>
      <c r="GK22" s="27"/>
      <c r="GL22" s="27"/>
      <c r="GM22" s="27"/>
      <c r="GN22" s="27"/>
      <c r="GO22" s="27"/>
      <c r="GP22" s="27"/>
      <c r="GQ22" s="27"/>
      <c r="GR22" s="27"/>
      <c r="GS22" s="27"/>
      <c r="GT22" s="27"/>
      <c r="GU22" s="27"/>
      <c r="GV22" s="27"/>
      <c r="GW22" s="27"/>
      <c r="GX22" s="27"/>
      <c r="GY22" s="27"/>
      <c r="GZ22" s="27"/>
      <c r="HA22" s="27"/>
      <c r="HB22" s="27"/>
      <c r="HC22" s="27"/>
      <c r="HD22" s="27"/>
      <c r="HE22" s="27"/>
      <c r="HF22" s="27"/>
      <c r="HG22" s="27"/>
      <c r="HH22" s="27"/>
      <c r="HI22" s="27"/>
      <c r="HJ22" s="27"/>
      <c r="HK22" s="27"/>
      <c r="HL22" s="27"/>
      <c r="HM22" s="27"/>
      <c r="HN22" s="27"/>
      <c r="HO22" s="27"/>
      <c r="HP22" s="27"/>
      <c r="HQ22" s="27"/>
      <c r="HR22" s="27"/>
      <c r="HS22" s="27"/>
      <c r="HT22" s="27"/>
      <c r="HU22" s="27"/>
      <c r="HV22" s="27"/>
      <c r="HW22" s="27"/>
      <c r="HX22" s="27"/>
      <c r="HY22" s="27"/>
      <c r="HZ22" s="27"/>
      <c r="IA22" s="27"/>
      <c r="IB22" s="27"/>
      <c r="IC22" s="27"/>
      <c r="ID22" s="27"/>
      <c r="IE22" s="27"/>
      <c r="IF22" s="27"/>
      <c r="IG22" s="27"/>
      <c r="IH22" s="27"/>
      <c r="II22" s="27"/>
      <c r="IJ22" s="27"/>
      <c r="IK22" s="27"/>
      <c r="IL22" s="27"/>
      <c r="IM22" s="27"/>
      <c r="IN22" s="27"/>
      <c r="IO22" s="27"/>
      <c r="IP22" s="27"/>
      <c r="IQ22" s="27"/>
      <c r="IR22" s="27"/>
      <c r="IS22" s="27"/>
      <c r="IT22" s="27"/>
      <c r="IU22" s="27"/>
      <c r="IV22" s="27"/>
    </row>
    <row r="23" spans="1:256" x14ac:dyDescent="0.25">
      <c r="A23" s="27"/>
      <c r="B23" s="37">
        <v>43139</v>
      </c>
      <c r="C23" s="33" t="s">
        <v>24</v>
      </c>
      <c r="D23" s="38" t="s">
        <v>25</v>
      </c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27"/>
      <c r="BT23" s="27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7"/>
      <c r="CJ23" s="27"/>
      <c r="CK23" s="27"/>
      <c r="CL23" s="27"/>
      <c r="CM23" s="27"/>
      <c r="CN23" s="27"/>
      <c r="CO23" s="27"/>
      <c r="CP23" s="27"/>
      <c r="CQ23" s="27"/>
      <c r="CR23" s="27"/>
      <c r="CS23" s="27"/>
      <c r="CT23" s="27"/>
      <c r="CU23" s="27"/>
      <c r="CV23" s="27"/>
      <c r="CW23" s="27"/>
      <c r="CX23" s="27"/>
      <c r="CY23" s="27"/>
      <c r="CZ23" s="27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7"/>
      <c r="DL23" s="27"/>
      <c r="DM23" s="27"/>
      <c r="DN23" s="27"/>
      <c r="DO23" s="27"/>
      <c r="DP23" s="27"/>
      <c r="DQ23" s="27"/>
      <c r="DR23" s="27"/>
      <c r="DS23" s="27"/>
      <c r="DT23" s="27"/>
      <c r="DU23" s="27"/>
      <c r="DV23" s="27"/>
      <c r="DW23" s="27"/>
      <c r="DX23" s="27"/>
      <c r="DY23" s="27"/>
      <c r="DZ23" s="27"/>
      <c r="EA23" s="27"/>
      <c r="EB23" s="27"/>
      <c r="EC23" s="27"/>
      <c r="ED23" s="27"/>
      <c r="EE23" s="27"/>
      <c r="EF23" s="27"/>
      <c r="EG23" s="27"/>
      <c r="EH23" s="27"/>
      <c r="EI23" s="27"/>
      <c r="EJ23" s="27"/>
      <c r="EK23" s="27"/>
      <c r="EL23" s="27"/>
      <c r="EM23" s="27"/>
      <c r="EN23" s="27"/>
      <c r="EO23" s="27"/>
      <c r="EP23" s="27"/>
      <c r="EQ23" s="27"/>
      <c r="ER23" s="27"/>
      <c r="ES23" s="27"/>
      <c r="ET23" s="27"/>
      <c r="EU23" s="27"/>
      <c r="EV23" s="27"/>
      <c r="EW23" s="27"/>
      <c r="EX23" s="27"/>
      <c r="EY23" s="27"/>
      <c r="EZ23" s="27"/>
      <c r="FA23" s="27"/>
      <c r="FB23" s="27"/>
      <c r="FC23" s="27"/>
      <c r="FD23" s="27"/>
      <c r="FE23" s="27"/>
      <c r="FF23" s="27"/>
      <c r="FG23" s="27"/>
      <c r="FH23" s="27"/>
      <c r="FI23" s="27"/>
      <c r="FJ23" s="27"/>
      <c r="FK23" s="27"/>
      <c r="FL23" s="27"/>
      <c r="FM23" s="27"/>
      <c r="FN23" s="27"/>
      <c r="FO23" s="27"/>
      <c r="FP23" s="27"/>
      <c r="FQ23" s="27"/>
      <c r="FR23" s="27"/>
      <c r="FS23" s="27"/>
      <c r="FT23" s="27"/>
      <c r="FU23" s="27"/>
      <c r="FV23" s="27"/>
      <c r="FW23" s="27"/>
      <c r="FX23" s="27"/>
      <c r="FY23" s="27"/>
      <c r="FZ23" s="27"/>
      <c r="GA23" s="27"/>
      <c r="GB23" s="27"/>
      <c r="GC23" s="27"/>
      <c r="GD23" s="27"/>
      <c r="GE23" s="27"/>
      <c r="GF23" s="27"/>
      <c r="GG23" s="27"/>
      <c r="GH23" s="27"/>
      <c r="GI23" s="27"/>
      <c r="GJ23" s="27"/>
      <c r="GK23" s="27"/>
      <c r="GL23" s="27"/>
      <c r="GM23" s="27"/>
      <c r="GN23" s="27"/>
      <c r="GO23" s="27"/>
      <c r="GP23" s="27"/>
      <c r="GQ23" s="27"/>
      <c r="GR23" s="27"/>
      <c r="GS23" s="27"/>
      <c r="GT23" s="27"/>
      <c r="GU23" s="27"/>
      <c r="GV23" s="27"/>
      <c r="GW23" s="27"/>
      <c r="GX23" s="27"/>
      <c r="GY23" s="27"/>
      <c r="GZ23" s="27"/>
      <c r="HA23" s="27"/>
      <c r="HB23" s="27"/>
      <c r="HC23" s="27"/>
      <c r="HD23" s="27"/>
      <c r="HE23" s="27"/>
      <c r="HF23" s="27"/>
      <c r="HG23" s="27"/>
      <c r="HH23" s="27"/>
      <c r="HI23" s="27"/>
      <c r="HJ23" s="27"/>
      <c r="HK23" s="27"/>
      <c r="HL23" s="27"/>
      <c r="HM23" s="27"/>
      <c r="HN23" s="27"/>
      <c r="HO23" s="27"/>
      <c r="HP23" s="27"/>
      <c r="HQ23" s="27"/>
      <c r="HR23" s="27"/>
      <c r="HS23" s="27"/>
      <c r="HT23" s="27"/>
      <c r="HU23" s="27"/>
      <c r="HV23" s="27"/>
      <c r="HW23" s="27"/>
      <c r="HX23" s="27"/>
      <c r="HY23" s="27"/>
      <c r="HZ23" s="27"/>
      <c r="IA23" s="27"/>
      <c r="IB23" s="27"/>
      <c r="IC23" s="27"/>
      <c r="ID23" s="27"/>
      <c r="IE23" s="27"/>
      <c r="IF23" s="27"/>
      <c r="IG23" s="27"/>
      <c r="IH23" s="27"/>
      <c r="II23" s="27"/>
      <c r="IJ23" s="27"/>
      <c r="IK23" s="27"/>
      <c r="IL23" s="27"/>
      <c r="IM23" s="27"/>
      <c r="IN23" s="27"/>
      <c r="IO23" s="27"/>
      <c r="IP23" s="27"/>
      <c r="IQ23" s="27"/>
      <c r="IR23" s="27"/>
      <c r="IS23" s="27"/>
      <c r="IT23" s="27"/>
      <c r="IU23" s="27"/>
      <c r="IV23" s="27"/>
    </row>
    <row r="24" spans="1:256" ht="38.25" x14ac:dyDescent="0.25">
      <c r="A24" s="27"/>
      <c r="B24" s="39"/>
      <c r="C24" s="33" t="s">
        <v>36</v>
      </c>
      <c r="D24" s="38" t="s">
        <v>25</v>
      </c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27"/>
      <c r="DO24" s="27"/>
      <c r="DP24" s="27"/>
      <c r="DQ24" s="27"/>
      <c r="DR24" s="27"/>
      <c r="DS24" s="27"/>
      <c r="DT24" s="27"/>
      <c r="DU24" s="27"/>
      <c r="DV24" s="27"/>
      <c r="DW24" s="27"/>
      <c r="DX24" s="27"/>
      <c r="DY24" s="27"/>
      <c r="DZ24" s="27"/>
      <c r="EA24" s="27"/>
      <c r="EB24" s="27"/>
      <c r="EC24" s="27"/>
      <c r="ED24" s="27"/>
      <c r="EE24" s="27"/>
      <c r="EF24" s="27"/>
      <c r="EG24" s="27"/>
      <c r="EH24" s="27"/>
      <c r="EI24" s="27"/>
      <c r="EJ24" s="27"/>
      <c r="EK24" s="27"/>
      <c r="EL24" s="27"/>
      <c r="EM24" s="27"/>
      <c r="EN24" s="27"/>
      <c r="EO24" s="27"/>
      <c r="EP24" s="27"/>
      <c r="EQ24" s="27"/>
      <c r="ER24" s="27"/>
      <c r="ES24" s="27"/>
      <c r="ET24" s="27"/>
      <c r="EU24" s="27"/>
      <c r="EV24" s="27"/>
      <c r="EW24" s="27"/>
      <c r="EX24" s="27"/>
      <c r="EY24" s="27"/>
      <c r="EZ24" s="27"/>
      <c r="FA24" s="27"/>
      <c r="FB24" s="27"/>
      <c r="FC24" s="27"/>
      <c r="FD24" s="27"/>
      <c r="FE24" s="27"/>
      <c r="FF24" s="27"/>
      <c r="FG24" s="27"/>
      <c r="FH24" s="27"/>
      <c r="FI24" s="27"/>
      <c r="FJ24" s="27"/>
      <c r="FK24" s="27"/>
      <c r="FL24" s="27"/>
      <c r="FM24" s="27"/>
      <c r="FN24" s="27"/>
      <c r="FO24" s="27"/>
      <c r="FP24" s="27"/>
      <c r="FQ24" s="27"/>
      <c r="FR24" s="27"/>
      <c r="FS24" s="27"/>
      <c r="FT24" s="27"/>
      <c r="FU24" s="27"/>
      <c r="FV24" s="27"/>
      <c r="FW24" s="27"/>
      <c r="FX24" s="27"/>
      <c r="FY24" s="27"/>
      <c r="FZ24" s="27"/>
      <c r="GA24" s="27"/>
      <c r="GB24" s="27"/>
      <c r="GC24" s="27"/>
      <c r="GD24" s="27"/>
      <c r="GE24" s="27"/>
      <c r="GF24" s="27"/>
      <c r="GG24" s="27"/>
      <c r="GH24" s="27"/>
      <c r="GI24" s="27"/>
      <c r="GJ24" s="27"/>
      <c r="GK24" s="27"/>
      <c r="GL24" s="27"/>
      <c r="GM24" s="27"/>
      <c r="GN24" s="27"/>
      <c r="GO24" s="27"/>
      <c r="GP24" s="27"/>
      <c r="GQ24" s="27"/>
      <c r="GR24" s="27"/>
      <c r="GS24" s="27"/>
      <c r="GT24" s="27"/>
      <c r="GU24" s="27"/>
      <c r="GV24" s="27"/>
      <c r="GW24" s="27"/>
      <c r="GX24" s="27"/>
      <c r="GY24" s="27"/>
      <c r="GZ24" s="27"/>
      <c r="HA24" s="27"/>
      <c r="HB24" s="27"/>
      <c r="HC24" s="27"/>
      <c r="HD24" s="27"/>
      <c r="HE24" s="27"/>
      <c r="HF24" s="27"/>
      <c r="HG24" s="27"/>
      <c r="HH24" s="27"/>
      <c r="HI24" s="27"/>
      <c r="HJ24" s="27"/>
      <c r="HK24" s="27"/>
      <c r="HL24" s="27"/>
      <c r="HM24" s="27"/>
      <c r="HN24" s="27"/>
      <c r="HO24" s="27"/>
      <c r="HP24" s="27"/>
      <c r="HQ24" s="27"/>
      <c r="HR24" s="27"/>
      <c r="HS24" s="27"/>
      <c r="HT24" s="27"/>
      <c r="HU24" s="27"/>
      <c r="HV24" s="27"/>
      <c r="HW24" s="27"/>
      <c r="HX24" s="27"/>
      <c r="HY24" s="27"/>
      <c r="HZ24" s="27"/>
      <c r="IA24" s="27"/>
      <c r="IB24" s="27"/>
      <c r="IC24" s="27"/>
      <c r="ID24" s="27"/>
      <c r="IE24" s="27"/>
      <c r="IF24" s="27"/>
      <c r="IG24" s="27"/>
      <c r="IH24" s="27"/>
      <c r="II24" s="27"/>
      <c r="IJ24" s="27"/>
      <c r="IK24" s="27"/>
      <c r="IL24" s="27"/>
      <c r="IM24" s="27"/>
      <c r="IN24" s="27"/>
      <c r="IO24" s="27"/>
      <c r="IP24" s="27"/>
      <c r="IQ24" s="27"/>
      <c r="IR24" s="27"/>
      <c r="IS24" s="27"/>
      <c r="IT24" s="27"/>
      <c r="IU24" s="27"/>
      <c r="IV24" s="27"/>
    </row>
    <row r="25" spans="1:256" x14ac:dyDescent="0.25">
      <c r="A25" s="27"/>
      <c r="B25" s="27"/>
      <c r="C25" s="28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  <c r="DU25" s="27"/>
      <c r="DV25" s="27"/>
      <c r="DW25" s="27"/>
      <c r="DX25" s="27"/>
      <c r="DY25" s="27"/>
      <c r="DZ25" s="27"/>
      <c r="EA25" s="27"/>
      <c r="EB25" s="27"/>
      <c r="EC25" s="27"/>
      <c r="ED25" s="27"/>
      <c r="EE25" s="27"/>
      <c r="EF25" s="27"/>
      <c r="EG25" s="27"/>
      <c r="EH25" s="27"/>
      <c r="EI25" s="27"/>
      <c r="EJ25" s="27"/>
      <c r="EK25" s="27"/>
      <c r="EL25" s="27"/>
      <c r="EM25" s="27"/>
      <c r="EN25" s="27"/>
      <c r="EO25" s="27"/>
      <c r="EP25" s="27"/>
      <c r="EQ25" s="27"/>
      <c r="ER25" s="27"/>
      <c r="ES25" s="27"/>
      <c r="ET25" s="27"/>
      <c r="EU25" s="27"/>
      <c r="EV25" s="27"/>
      <c r="EW25" s="27"/>
      <c r="EX25" s="27"/>
      <c r="EY25" s="27"/>
      <c r="EZ25" s="27"/>
      <c r="FA25" s="27"/>
      <c r="FB25" s="27"/>
      <c r="FC25" s="27"/>
      <c r="FD25" s="27"/>
      <c r="FE25" s="27"/>
      <c r="FF25" s="27"/>
      <c r="FG25" s="27"/>
      <c r="FH25" s="27"/>
      <c r="FI25" s="27"/>
      <c r="FJ25" s="27"/>
      <c r="FK25" s="27"/>
      <c r="FL25" s="27"/>
      <c r="FM25" s="27"/>
      <c r="FN25" s="27"/>
      <c r="FO25" s="27"/>
      <c r="FP25" s="27"/>
      <c r="FQ25" s="27"/>
      <c r="FR25" s="27"/>
      <c r="FS25" s="27"/>
      <c r="FT25" s="27"/>
      <c r="FU25" s="27"/>
      <c r="FV25" s="27"/>
      <c r="FW25" s="27"/>
      <c r="FX25" s="27"/>
      <c r="FY25" s="27"/>
      <c r="FZ25" s="27"/>
      <c r="GA25" s="27"/>
      <c r="GB25" s="27"/>
      <c r="GC25" s="27"/>
      <c r="GD25" s="27"/>
      <c r="GE25" s="27"/>
      <c r="GF25" s="27"/>
      <c r="GG25" s="27"/>
      <c r="GH25" s="27"/>
      <c r="GI25" s="27"/>
      <c r="GJ25" s="27"/>
      <c r="GK25" s="27"/>
      <c r="GL25" s="27"/>
      <c r="GM25" s="27"/>
      <c r="GN25" s="27"/>
      <c r="GO25" s="27"/>
      <c r="GP25" s="27"/>
      <c r="GQ25" s="27"/>
      <c r="GR25" s="27"/>
      <c r="GS25" s="27"/>
      <c r="GT25" s="27"/>
      <c r="GU25" s="27"/>
      <c r="GV25" s="27"/>
      <c r="GW25" s="27"/>
      <c r="GX25" s="27"/>
      <c r="GY25" s="27"/>
      <c r="GZ25" s="27"/>
      <c r="HA25" s="27"/>
      <c r="HB25" s="27"/>
      <c r="HC25" s="27"/>
      <c r="HD25" s="27"/>
      <c r="HE25" s="27"/>
      <c r="HF25" s="27"/>
      <c r="HG25" s="27"/>
      <c r="HH25" s="27"/>
      <c r="HI25" s="27"/>
      <c r="HJ25" s="27"/>
      <c r="HK25" s="27"/>
      <c r="HL25" s="27"/>
      <c r="HM25" s="27"/>
      <c r="HN25" s="27"/>
      <c r="HO25" s="27"/>
      <c r="HP25" s="27"/>
      <c r="HQ25" s="27"/>
      <c r="HR25" s="27"/>
      <c r="HS25" s="27"/>
      <c r="HT25" s="27"/>
      <c r="HU25" s="27"/>
      <c r="HV25" s="27"/>
      <c r="HW25" s="27"/>
      <c r="HX25" s="27"/>
      <c r="HY25" s="27"/>
      <c r="HZ25" s="27"/>
      <c r="IA25" s="27"/>
      <c r="IB25" s="27"/>
      <c r="IC25" s="27"/>
      <c r="ID25" s="27"/>
      <c r="IE25" s="27"/>
      <c r="IF25" s="27"/>
      <c r="IG25" s="27"/>
      <c r="IH25" s="27"/>
      <c r="II25" s="27"/>
      <c r="IJ25" s="27"/>
      <c r="IK25" s="27"/>
      <c r="IL25" s="27"/>
      <c r="IM25" s="27"/>
      <c r="IN25" s="27"/>
      <c r="IO25" s="27"/>
      <c r="IP25" s="27"/>
      <c r="IQ25" s="27"/>
      <c r="IR25" s="27"/>
      <c r="IS25" s="27"/>
      <c r="IT25" s="27"/>
      <c r="IU25" s="27"/>
      <c r="IV25" s="27"/>
    </row>
    <row r="26" spans="1:256" x14ac:dyDescent="0.25">
      <c r="A26" s="27"/>
      <c r="B26" s="27"/>
      <c r="C26" s="28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27"/>
      <c r="BT26" s="27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7"/>
      <c r="CJ26" s="27"/>
      <c r="CK26" s="27"/>
      <c r="CL26" s="27"/>
      <c r="CM26" s="27"/>
      <c r="CN26" s="27"/>
      <c r="CO26" s="27"/>
      <c r="CP26" s="27"/>
      <c r="CQ26" s="27"/>
      <c r="CR26" s="27"/>
      <c r="CS26" s="27"/>
      <c r="CT26" s="27"/>
      <c r="CU26" s="27"/>
      <c r="CV26" s="27"/>
      <c r="CW26" s="27"/>
      <c r="CX26" s="27"/>
      <c r="CY26" s="27"/>
      <c r="CZ26" s="27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7"/>
      <c r="DL26" s="27"/>
      <c r="DM26" s="27"/>
      <c r="DN26" s="27"/>
      <c r="DO26" s="27"/>
      <c r="DP26" s="27"/>
      <c r="DQ26" s="27"/>
      <c r="DR26" s="27"/>
      <c r="DS26" s="27"/>
      <c r="DT26" s="27"/>
      <c r="DU26" s="27"/>
      <c r="DV26" s="27"/>
      <c r="DW26" s="27"/>
      <c r="DX26" s="27"/>
      <c r="DY26" s="27"/>
      <c r="DZ26" s="27"/>
      <c r="EA26" s="27"/>
      <c r="EB26" s="27"/>
      <c r="EC26" s="27"/>
      <c r="ED26" s="27"/>
      <c r="EE26" s="27"/>
      <c r="EF26" s="27"/>
      <c r="EG26" s="27"/>
      <c r="EH26" s="27"/>
      <c r="EI26" s="27"/>
      <c r="EJ26" s="27"/>
      <c r="EK26" s="27"/>
      <c r="EL26" s="27"/>
      <c r="EM26" s="27"/>
      <c r="EN26" s="27"/>
      <c r="EO26" s="27"/>
      <c r="EP26" s="27"/>
      <c r="EQ26" s="27"/>
      <c r="ER26" s="27"/>
      <c r="ES26" s="27"/>
      <c r="ET26" s="27"/>
      <c r="EU26" s="27"/>
      <c r="EV26" s="27"/>
      <c r="EW26" s="27"/>
      <c r="EX26" s="27"/>
      <c r="EY26" s="27"/>
      <c r="EZ26" s="27"/>
      <c r="FA26" s="27"/>
      <c r="FB26" s="27"/>
      <c r="FC26" s="27"/>
      <c r="FD26" s="27"/>
      <c r="FE26" s="27"/>
      <c r="FF26" s="27"/>
      <c r="FG26" s="27"/>
      <c r="FH26" s="27"/>
      <c r="FI26" s="27"/>
      <c r="FJ26" s="27"/>
      <c r="FK26" s="27"/>
      <c r="FL26" s="27"/>
      <c r="FM26" s="27"/>
      <c r="FN26" s="27"/>
      <c r="FO26" s="27"/>
      <c r="FP26" s="27"/>
      <c r="FQ26" s="27"/>
      <c r="FR26" s="27"/>
      <c r="FS26" s="27"/>
      <c r="FT26" s="27"/>
      <c r="FU26" s="27"/>
      <c r="FV26" s="27"/>
      <c r="FW26" s="27"/>
      <c r="FX26" s="27"/>
      <c r="FY26" s="27"/>
      <c r="FZ26" s="27"/>
      <c r="GA26" s="27"/>
      <c r="GB26" s="27"/>
      <c r="GC26" s="27"/>
      <c r="GD26" s="27"/>
      <c r="GE26" s="27"/>
      <c r="GF26" s="27"/>
      <c r="GG26" s="27"/>
      <c r="GH26" s="27"/>
      <c r="GI26" s="27"/>
      <c r="GJ26" s="27"/>
      <c r="GK26" s="27"/>
      <c r="GL26" s="27"/>
      <c r="GM26" s="27"/>
      <c r="GN26" s="27"/>
      <c r="GO26" s="27"/>
      <c r="GP26" s="27"/>
      <c r="GQ26" s="27"/>
      <c r="GR26" s="27"/>
      <c r="GS26" s="27"/>
      <c r="GT26" s="27"/>
      <c r="GU26" s="27"/>
      <c r="GV26" s="27"/>
      <c r="GW26" s="27"/>
      <c r="GX26" s="27"/>
      <c r="GY26" s="27"/>
      <c r="GZ26" s="27"/>
      <c r="HA26" s="27"/>
      <c r="HB26" s="27"/>
      <c r="HC26" s="27"/>
      <c r="HD26" s="27"/>
      <c r="HE26" s="27"/>
      <c r="HF26" s="27"/>
      <c r="HG26" s="27"/>
      <c r="HH26" s="27"/>
      <c r="HI26" s="27"/>
      <c r="HJ26" s="27"/>
      <c r="HK26" s="27"/>
      <c r="HL26" s="27"/>
      <c r="HM26" s="27"/>
      <c r="HN26" s="27"/>
      <c r="HO26" s="27"/>
      <c r="HP26" s="27"/>
      <c r="HQ26" s="27"/>
      <c r="HR26" s="27"/>
      <c r="HS26" s="27"/>
      <c r="HT26" s="27"/>
      <c r="HU26" s="27"/>
      <c r="HV26" s="27"/>
      <c r="HW26" s="27"/>
      <c r="HX26" s="27"/>
      <c r="HY26" s="27"/>
      <c r="HZ26" s="27"/>
      <c r="IA26" s="27"/>
      <c r="IB26" s="27"/>
      <c r="IC26" s="27"/>
      <c r="ID26" s="27"/>
      <c r="IE26" s="27"/>
      <c r="IF26" s="27"/>
      <c r="IG26" s="27"/>
      <c r="IH26" s="27"/>
      <c r="II26" s="27"/>
      <c r="IJ26" s="27"/>
      <c r="IK26" s="27"/>
      <c r="IL26" s="27"/>
      <c r="IM26" s="27"/>
      <c r="IN26" s="27"/>
      <c r="IO26" s="27"/>
      <c r="IP26" s="27"/>
      <c r="IQ26" s="27"/>
      <c r="IR26" s="27"/>
      <c r="IS26" s="27"/>
      <c r="IT26" s="27"/>
      <c r="IU26" s="27"/>
      <c r="IV26" s="27"/>
    </row>
    <row r="27" spans="1:256" x14ac:dyDescent="0.25">
      <c r="A27" s="27"/>
      <c r="B27" s="40"/>
      <c r="C27" s="28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27"/>
      <c r="BT27" s="27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7"/>
      <c r="CJ27" s="27"/>
      <c r="CK27" s="27"/>
      <c r="CL27" s="27"/>
      <c r="CM27" s="27"/>
      <c r="CN27" s="27"/>
      <c r="CO27" s="27"/>
      <c r="CP27" s="27"/>
      <c r="CQ27" s="27"/>
      <c r="CR27" s="27"/>
      <c r="CS27" s="27"/>
      <c r="CT27" s="27"/>
      <c r="CU27" s="27"/>
      <c r="CV27" s="27"/>
      <c r="CW27" s="27"/>
      <c r="CX27" s="27"/>
      <c r="CY27" s="27"/>
      <c r="CZ27" s="27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7"/>
      <c r="DL27" s="27"/>
      <c r="DM27" s="27"/>
      <c r="DN27" s="27"/>
      <c r="DO27" s="27"/>
      <c r="DP27" s="27"/>
      <c r="DQ27" s="27"/>
      <c r="DR27" s="27"/>
      <c r="DS27" s="27"/>
      <c r="DT27" s="27"/>
      <c r="DU27" s="27"/>
      <c r="DV27" s="27"/>
      <c r="DW27" s="27"/>
      <c r="DX27" s="27"/>
      <c r="DY27" s="27"/>
      <c r="DZ27" s="27"/>
      <c r="EA27" s="27"/>
      <c r="EB27" s="27"/>
      <c r="EC27" s="27"/>
      <c r="ED27" s="27"/>
      <c r="EE27" s="27"/>
      <c r="EF27" s="27"/>
      <c r="EG27" s="27"/>
      <c r="EH27" s="27"/>
      <c r="EI27" s="27"/>
      <c r="EJ27" s="27"/>
      <c r="EK27" s="27"/>
      <c r="EL27" s="27"/>
      <c r="EM27" s="27"/>
      <c r="EN27" s="27"/>
      <c r="EO27" s="27"/>
      <c r="EP27" s="27"/>
      <c r="EQ27" s="27"/>
      <c r="ER27" s="27"/>
      <c r="ES27" s="27"/>
      <c r="ET27" s="27"/>
      <c r="EU27" s="27"/>
      <c r="EV27" s="27"/>
      <c r="EW27" s="27"/>
      <c r="EX27" s="27"/>
      <c r="EY27" s="27"/>
      <c r="EZ27" s="27"/>
      <c r="FA27" s="27"/>
      <c r="FB27" s="27"/>
      <c r="FC27" s="27"/>
      <c r="FD27" s="27"/>
      <c r="FE27" s="27"/>
      <c r="FF27" s="27"/>
      <c r="FG27" s="27"/>
      <c r="FH27" s="27"/>
      <c r="FI27" s="27"/>
      <c r="FJ27" s="27"/>
      <c r="FK27" s="27"/>
      <c r="FL27" s="27"/>
      <c r="FM27" s="27"/>
      <c r="FN27" s="27"/>
      <c r="FO27" s="27"/>
      <c r="FP27" s="27"/>
      <c r="FQ27" s="27"/>
      <c r="FR27" s="27"/>
      <c r="FS27" s="27"/>
      <c r="FT27" s="27"/>
      <c r="FU27" s="27"/>
      <c r="FV27" s="27"/>
      <c r="FW27" s="27"/>
      <c r="FX27" s="27"/>
      <c r="FY27" s="27"/>
      <c r="FZ27" s="27"/>
      <c r="GA27" s="27"/>
      <c r="GB27" s="27"/>
      <c r="GC27" s="27"/>
      <c r="GD27" s="27"/>
      <c r="GE27" s="27"/>
      <c r="GF27" s="27"/>
      <c r="GG27" s="27"/>
      <c r="GH27" s="27"/>
      <c r="GI27" s="27"/>
      <c r="GJ27" s="27"/>
      <c r="GK27" s="27"/>
      <c r="GL27" s="27"/>
      <c r="GM27" s="27"/>
      <c r="GN27" s="27"/>
      <c r="GO27" s="27"/>
      <c r="GP27" s="27"/>
      <c r="GQ27" s="27"/>
      <c r="GR27" s="27"/>
      <c r="GS27" s="27"/>
      <c r="GT27" s="27"/>
      <c r="GU27" s="27"/>
      <c r="GV27" s="27"/>
      <c r="GW27" s="27"/>
      <c r="GX27" s="27"/>
      <c r="GY27" s="27"/>
      <c r="GZ27" s="27"/>
      <c r="HA27" s="27"/>
      <c r="HB27" s="27"/>
      <c r="HC27" s="27"/>
      <c r="HD27" s="27"/>
      <c r="HE27" s="27"/>
      <c r="HF27" s="27"/>
      <c r="HG27" s="27"/>
      <c r="HH27" s="27"/>
      <c r="HI27" s="27"/>
      <c r="HJ27" s="27"/>
      <c r="HK27" s="27"/>
      <c r="HL27" s="27"/>
      <c r="HM27" s="27"/>
      <c r="HN27" s="27"/>
      <c r="HO27" s="27"/>
      <c r="HP27" s="27"/>
      <c r="HQ27" s="27"/>
      <c r="HR27" s="27"/>
      <c r="HS27" s="27"/>
      <c r="HT27" s="27"/>
      <c r="HU27" s="27"/>
      <c r="HV27" s="27"/>
      <c r="HW27" s="27"/>
      <c r="HX27" s="27"/>
      <c r="HY27" s="27"/>
      <c r="HZ27" s="27"/>
      <c r="IA27" s="27"/>
      <c r="IB27" s="27"/>
      <c r="IC27" s="27"/>
      <c r="ID27" s="27"/>
      <c r="IE27" s="27"/>
      <c r="IF27" s="27"/>
      <c r="IG27" s="27"/>
      <c r="IH27" s="27"/>
      <c r="II27" s="27"/>
      <c r="IJ27" s="27"/>
      <c r="IK27" s="27"/>
      <c r="IL27" s="27"/>
      <c r="IM27" s="27"/>
      <c r="IN27" s="27"/>
      <c r="IO27" s="27"/>
      <c r="IP27" s="27"/>
      <c r="IQ27" s="27"/>
      <c r="IR27" s="27"/>
      <c r="IS27" s="27"/>
      <c r="IT27" s="27"/>
      <c r="IU27" s="27"/>
      <c r="IV27" s="27"/>
    </row>
    <row r="28" spans="1:256" x14ac:dyDescent="0.25">
      <c r="A28" s="27"/>
      <c r="B28" s="27"/>
      <c r="C28" s="28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27"/>
      <c r="BT28" s="27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7"/>
      <c r="CJ28" s="27"/>
      <c r="CK28" s="27"/>
      <c r="CL28" s="27"/>
      <c r="CM28" s="27"/>
      <c r="CN28" s="27"/>
      <c r="CO28" s="27"/>
      <c r="CP28" s="27"/>
      <c r="CQ28" s="27"/>
      <c r="CR28" s="27"/>
      <c r="CS28" s="27"/>
      <c r="CT28" s="27"/>
      <c r="CU28" s="27"/>
      <c r="CV28" s="27"/>
      <c r="CW28" s="27"/>
      <c r="CX28" s="27"/>
      <c r="CY28" s="27"/>
      <c r="CZ28" s="27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7"/>
      <c r="DL28" s="27"/>
      <c r="DM28" s="27"/>
      <c r="DN28" s="27"/>
      <c r="DO28" s="27"/>
      <c r="DP28" s="27"/>
      <c r="DQ28" s="27"/>
      <c r="DR28" s="27"/>
      <c r="DS28" s="27"/>
      <c r="DT28" s="27"/>
      <c r="DU28" s="27"/>
      <c r="DV28" s="27"/>
      <c r="DW28" s="27"/>
      <c r="DX28" s="27"/>
      <c r="DY28" s="27"/>
      <c r="DZ28" s="27"/>
      <c r="EA28" s="27"/>
      <c r="EB28" s="27"/>
      <c r="EC28" s="27"/>
      <c r="ED28" s="27"/>
      <c r="EE28" s="27"/>
      <c r="EF28" s="27"/>
      <c r="EG28" s="27"/>
      <c r="EH28" s="27"/>
      <c r="EI28" s="27"/>
      <c r="EJ28" s="27"/>
      <c r="EK28" s="27"/>
      <c r="EL28" s="27"/>
      <c r="EM28" s="27"/>
      <c r="EN28" s="27"/>
      <c r="EO28" s="27"/>
      <c r="EP28" s="27"/>
      <c r="EQ28" s="27"/>
      <c r="ER28" s="27"/>
      <c r="ES28" s="27"/>
      <c r="ET28" s="27"/>
      <c r="EU28" s="27"/>
      <c r="EV28" s="27"/>
      <c r="EW28" s="27"/>
      <c r="EX28" s="27"/>
      <c r="EY28" s="27"/>
      <c r="EZ28" s="27"/>
      <c r="FA28" s="27"/>
      <c r="FB28" s="27"/>
      <c r="FC28" s="27"/>
      <c r="FD28" s="27"/>
      <c r="FE28" s="27"/>
      <c r="FF28" s="27"/>
      <c r="FG28" s="27"/>
      <c r="FH28" s="27"/>
      <c r="FI28" s="27"/>
      <c r="FJ28" s="27"/>
      <c r="FK28" s="27"/>
      <c r="FL28" s="27"/>
      <c r="FM28" s="27"/>
      <c r="FN28" s="27"/>
      <c r="FO28" s="27"/>
      <c r="FP28" s="27"/>
      <c r="FQ28" s="27"/>
      <c r="FR28" s="27"/>
      <c r="FS28" s="27"/>
      <c r="FT28" s="27"/>
      <c r="FU28" s="27"/>
      <c r="FV28" s="27"/>
      <c r="FW28" s="27"/>
      <c r="FX28" s="27"/>
      <c r="FY28" s="27"/>
      <c r="FZ28" s="27"/>
      <c r="GA28" s="27"/>
      <c r="GB28" s="27"/>
      <c r="GC28" s="27"/>
      <c r="GD28" s="27"/>
      <c r="GE28" s="27"/>
      <c r="GF28" s="27"/>
      <c r="GG28" s="27"/>
      <c r="GH28" s="27"/>
      <c r="GI28" s="27"/>
      <c r="GJ28" s="27"/>
      <c r="GK28" s="27"/>
      <c r="GL28" s="27"/>
      <c r="GM28" s="27"/>
      <c r="GN28" s="27"/>
      <c r="GO28" s="27"/>
      <c r="GP28" s="27"/>
      <c r="GQ28" s="27"/>
      <c r="GR28" s="27"/>
      <c r="GS28" s="27"/>
      <c r="GT28" s="27"/>
      <c r="GU28" s="27"/>
      <c r="GV28" s="27"/>
      <c r="GW28" s="27"/>
      <c r="GX28" s="27"/>
      <c r="GY28" s="27"/>
      <c r="GZ28" s="27"/>
      <c r="HA28" s="27"/>
      <c r="HB28" s="27"/>
      <c r="HC28" s="27"/>
      <c r="HD28" s="27"/>
      <c r="HE28" s="27"/>
      <c r="HF28" s="27"/>
      <c r="HG28" s="27"/>
      <c r="HH28" s="27"/>
      <c r="HI28" s="27"/>
      <c r="HJ28" s="27"/>
      <c r="HK28" s="27"/>
      <c r="HL28" s="27"/>
      <c r="HM28" s="27"/>
      <c r="HN28" s="27"/>
      <c r="HO28" s="27"/>
      <c r="HP28" s="27"/>
      <c r="HQ28" s="27"/>
      <c r="HR28" s="27"/>
      <c r="HS28" s="27"/>
      <c r="HT28" s="27"/>
      <c r="HU28" s="27"/>
      <c r="HV28" s="27"/>
      <c r="HW28" s="27"/>
      <c r="HX28" s="27"/>
      <c r="HY28" s="27"/>
      <c r="HZ28" s="27"/>
      <c r="IA28" s="27"/>
      <c r="IB28" s="27"/>
      <c r="IC28" s="27"/>
      <c r="ID28" s="27"/>
      <c r="IE28" s="27"/>
      <c r="IF28" s="27"/>
      <c r="IG28" s="27"/>
      <c r="IH28" s="27"/>
      <c r="II28" s="27"/>
      <c r="IJ28" s="27"/>
      <c r="IK28" s="27"/>
      <c r="IL28" s="27"/>
      <c r="IM28" s="27"/>
      <c r="IN28" s="27"/>
      <c r="IO28" s="27"/>
      <c r="IP28" s="27"/>
      <c r="IQ28" s="27"/>
      <c r="IR28" s="27"/>
      <c r="IS28" s="27"/>
      <c r="IT28" s="27"/>
      <c r="IU28" s="27"/>
      <c r="IV28" s="27"/>
    </row>
    <row r="29" spans="1:256" x14ac:dyDescent="0.25">
      <c r="A29" s="27"/>
      <c r="B29" s="27"/>
      <c r="C29" s="28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7"/>
      <c r="CL29" s="27"/>
      <c r="CM29" s="27"/>
      <c r="CN29" s="27"/>
      <c r="CO29" s="27"/>
      <c r="CP29" s="27"/>
      <c r="CQ29" s="27"/>
      <c r="CR29" s="27"/>
      <c r="CS29" s="27"/>
      <c r="CT29" s="27"/>
      <c r="CU29" s="27"/>
      <c r="CV29" s="27"/>
      <c r="CW29" s="27"/>
      <c r="CX29" s="27"/>
      <c r="CY29" s="27"/>
      <c r="CZ29" s="27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7"/>
      <c r="DL29" s="27"/>
      <c r="DM29" s="27"/>
      <c r="DN29" s="27"/>
      <c r="DO29" s="27"/>
      <c r="DP29" s="27"/>
      <c r="DQ29" s="27"/>
      <c r="DR29" s="27"/>
      <c r="DS29" s="27"/>
      <c r="DT29" s="27"/>
      <c r="DU29" s="27"/>
      <c r="DV29" s="27"/>
      <c r="DW29" s="27"/>
      <c r="DX29" s="27"/>
      <c r="DY29" s="27"/>
      <c r="DZ29" s="27"/>
      <c r="EA29" s="27"/>
      <c r="EB29" s="27"/>
      <c r="EC29" s="27"/>
      <c r="ED29" s="27"/>
      <c r="EE29" s="27"/>
      <c r="EF29" s="27"/>
      <c r="EG29" s="27"/>
      <c r="EH29" s="27"/>
      <c r="EI29" s="27"/>
      <c r="EJ29" s="27"/>
      <c r="EK29" s="27"/>
      <c r="EL29" s="27"/>
      <c r="EM29" s="27"/>
      <c r="EN29" s="27"/>
      <c r="EO29" s="27"/>
      <c r="EP29" s="27"/>
      <c r="EQ29" s="27"/>
      <c r="ER29" s="27"/>
      <c r="ES29" s="27"/>
      <c r="ET29" s="27"/>
      <c r="EU29" s="27"/>
      <c r="EV29" s="27"/>
      <c r="EW29" s="27"/>
      <c r="EX29" s="27"/>
      <c r="EY29" s="27"/>
      <c r="EZ29" s="27"/>
      <c r="FA29" s="27"/>
      <c r="FB29" s="27"/>
      <c r="FC29" s="27"/>
      <c r="FD29" s="27"/>
      <c r="FE29" s="27"/>
      <c r="FF29" s="27"/>
      <c r="FG29" s="27"/>
      <c r="FH29" s="27"/>
      <c r="FI29" s="27"/>
      <c r="FJ29" s="27"/>
      <c r="FK29" s="27"/>
      <c r="FL29" s="27"/>
      <c r="FM29" s="27"/>
      <c r="FN29" s="27"/>
      <c r="FO29" s="27"/>
      <c r="FP29" s="27"/>
      <c r="FQ29" s="27"/>
      <c r="FR29" s="27"/>
      <c r="FS29" s="27"/>
      <c r="FT29" s="27"/>
      <c r="FU29" s="27"/>
      <c r="FV29" s="27"/>
      <c r="FW29" s="27"/>
      <c r="FX29" s="27"/>
      <c r="FY29" s="27"/>
      <c r="FZ29" s="27"/>
      <c r="GA29" s="27"/>
      <c r="GB29" s="27"/>
      <c r="GC29" s="27"/>
      <c r="GD29" s="27"/>
      <c r="GE29" s="27"/>
      <c r="GF29" s="27"/>
      <c r="GG29" s="27"/>
      <c r="GH29" s="27"/>
      <c r="GI29" s="27"/>
      <c r="GJ29" s="27"/>
      <c r="GK29" s="27"/>
      <c r="GL29" s="27"/>
      <c r="GM29" s="27"/>
      <c r="GN29" s="27"/>
      <c r="GO29" s="27"/>
      <c r="GP29" s="27"/>
      <c r="GQ29" s="27"/>
      <c r="GR29" s="27"/>
      <c r="GS29" s="27"/>
      <c r="GT29" s="27"/>
      <c r="GU29" s="27"/>
      <c r="GV29" s="27"/>
      <c r="GW29" s="27"/>
      <c r="GX29" s="27"/>
      <c r="GY29" s="27"/>
      <c r="GZ29" s="27"/>
      <c r="HA29" s="27"/>
      <c r="HB29" s="27"/>
      <c r="HC29" s="27"/>
      <c r="HD29" s="27"/>
      <c r="HE29" s="27"/>
      <c r="HF29" s="27"/>
      <c r="HG29" s="27"/>
      <c r="HH29" s="27"/>
      <c r="HI29" s="27"/>
      <c r="HJ29" s="27"/>
      <c r="HK29" s="27"/>
      <c r="HL29" s="27"/>
      <c r="HM29" s="27"/>
      <c r="HN29" s="27"/>
      <c r="HO29" s="27"/>
      <c r="HP29" s="27"/>
      <c r="HQ29" s="27"/>
      <c r="HR29" s="27"/>
      <c r="HS29" s="27"/>
      <c r="HT29" s="27"/>
      <c r="HU29" s="27"/>
      <c r="HV29" s="27"/>
      <c r="HW29" s="27"/>
      <c r="HX29" s="27"/>
      <c r="HY29" s="27"/>
      <c r="HZ29" s="27"/>
      <c r="IA29" s="27"/>
      <c r="IB29" s="27"/>
      <c r="IC29" s="27"/>
      <c r="ID29" s="27"/>
      <c r="IE29" s="27"/>
      <c r="IF29" s="27"/>
      <c r="IG29" s="27"/>
      <c r="IH29" s="27"/>
      <c r="II29" s="27"/>
      <c r="IJ29" s="27"/>
      <c r="IK29" s="27"/>
      <c r="IL29" s="27"/>
      <c r="IM29" s="27"/>
      <c r="IN29" s="27"/>
      <c r="IO29" s="27"/>
      <c r="IP29" s="27"/>
      <c r="IQ29" s="27"/>
      <c r="IR29" s="27"/>
      <c r="IS29" s="27"/>
      <c r="IT29" s="27"/>
      <c r="IU29" s="27"/>
      <c r="IV29" s="27"/>
    </row>
    <row r="30" spans="1:256" x14ac:dyDescent="0.25">
      <c r="A30" s="27"/>
      <c r="B30" s="27"/>
      <c r="C30" s="28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27"/>
      <c r="BT30" s="27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7"/>
      <c r="CJ30" s="27"/>
      <c r="CK30" s="27"/>
      <c r="CL30" s="27"/>
      <c r="CM30" s="27"/>
      <c r="CN30" s="27"/>
      <c r="CO30" s="27"/>
      <c r="CP30" s="27"/>
      <c r="CQ30" s="27"/>
      <c r="CR30" s="27"/>
      <c r="CS30" s="27"/>
      <c r="CT30" s="27"/>
      <c r="CU30" s="27"/>
      <c r="CV30" s="27"/>
      <c r="CW30" s="27"/>
      <c r="CX30" s="27"/>
      <c r="CY30" s="27"/>
      <c r="CZ30" s="27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7"/>
      <c r="DL30" s="27"/>
      <c r="DM30" s="27"/>
      <c r="DN30" s="27"/>
      <c r="DO30" s="27"/>
      <c r="DP30" s="27"/>
      <c r="DQ30" s="27"/>
      <c r="DR30" s="27"/>
      <c r="DS30" s="27"/>
      <c r="DT30" s="27"/>
      <c r="DU30" s="27"/>
      <c r="DV30" s="27"/>
      <c r="DW30" s="27"/>
      <c r="DX30" s="27"/>
      <c r="DY30" s="27"/>
      <c r="DZ30" s="27"/>
      <c r="EA30" s="27"/>
      <c r="EB30" s="27"/>
      <c r="EC30" s="27"/>
      <c r="ED30" s="27"/>
      <c r="EE30" s="27"/>
      <c r="EF30" s="27"/>
      <c r="EG30" s="27"/>
      <c r="EH30" s="27"/>
      <c r="EI30" s="27"/>
      <c r="EJ30" s="27"/>
      <c r="EK30" s="27"/>
      <c r="EL30" s="27"/>
      <c r="EM30" s="27"/>
      <c r="EN30" s="27"/>
      <c r="EO30" s="27"/>
      <c r="EP30" s="27"/>
      <c r="EQ30" s="27"/>
      <c r="ER30" s="27"/>
      <c r="ES30" s="27"/>
      <c r="ET30" s="27"/>
      <c r="EU30" s="27"/>
      <c r="EV30" s="27"/>
      <c r="EW30" s="27"/>
      <c r="EX30" s="27"/>
      <c r="EY30" s="27"/>
      <c r="EZ30" s="27"/>
      <c r="FA30" s="27"/>
      <c r="FB30" s="27"/>
      <c r="FC30" s="27"/>
      <c r="FD30" s="27"/>
      <c r="FE30" s="27"/>
      <c r="FF30" s="27"/>
      <c r="FG30" s="27"/>
      <c r="FH30" s="27"/>
      <c r="FI30" s="27"/>
      <c r="FJ30" s="27"/>
      <c r="FK30" s="27"/>
      <c r="FL30" s="27"/>
      <c r="FM30" s="27"/>
      <c r="FN30" s="27"/>
      <c r="FO30" s="27"/>
      <c r="FP30" s="27"/>
      <c r="FQ30" s="27"/>
      <c r="FR30" s="27"/>
      <c r="FS30" s="27"/>
      <c r="FT30" s="27"/>
      <c r="FU30" s="27"/>
      <c r="FV30" s="27"/>
      <c r="FW30" s="27"/>
      <c r="FX30" s="27"/>
      <c r="FY30" s="27"/>
      <c r="FZ30" s="27"/>
      <c r="GA30" s="27"/>
      <c r="GB30" s="27"/>
      <c r="GC30" s="27"/>
      <c r="GD30" s="27"/>
      <c r="GE30" s="27"/>
      <c r="GF30" s="27"/>
      <c r="GG30" s="27"/>
      <c r="GH30" s="27"/>
      <c r="GI30" s="27"/>
      <c r="GJ30" s="27"/>
      <c r="GK30" s="27"/>
      <c r="GL30" s="27"/>
      <c r="GM30" s="27"/>
      <c r="GN30" s="27"/>
      <c r="GO30" s="27"/>
      <c r="GP30" s="27"/>
      <c r="GQ30" s="27"/>
      <c r="GR30" s="27"/>
      <c r="GS30" s="27"/>
      <c r="GT30" s="27"/>
      <c r="GU30" s="27"/>
      <c r="GV30" s="27"/>
      <c r="GW30" s="27"/>
      <c r="GX30" s="27"/>
      <c r="GY30" s="27"/>
      <c r="GZ30" s="27"/>
      <c r="HA30" s="27"/>
      <c r="HB30" s="27"/>
      <c r="HC30" s="27"/>
      <c r="HD30" s="27"/>
      <c r="HE30" s="27"/>
      <c r="HF30" s="27"/>
      <c r="HG30" s="27"/>
      <c r="HH30" s="27"/>
      <c r="HI30" s="27"/>
      <c r="HJ30" s="27"/>
      <c r="HK30" s="27"/>
      <c r="HL30" s="27"/>
      <c r="HM30" s="27"/>
      <c r="HN30" s="27"/>
      <c r="HO30" s="27"/>
      <c r="HP30" s="27"/>
      <c r="HQ30" s="27"/>
      <c r="HR30" s="27"/>
      <c r="HS30" s="27"/>
      <c r="HT30" s="27"/>
      <c r="HU30" s="27"/>
      <c r="HV30" s="27"/>
      <c r="HW30" s="27"/>
      <c r="HX30" s="27"/>
      <c r="HY30" s="27"/>
      <c r="HZ30" s="27"/>
      <c r="IA30" s="27"/>
      <c r="IB30" s="27"/>
      <c r="IC30" s="27"/>
      <c r="ID30" s="27"/>
      <c r="IE30" s="27"/>
      <c r="IF30" s="27"/>
      <c r="IG30" s="27"/>
      <c r="IH30" s="27"/>
      <c r="II30" s="27"/>
      <c r="IJ30" s="27"/>
      <c r="IK30" s="27"/>
      <c r="IL30" s="27"/>
      <c r="IM30" s="27"/>
      <c r="IN30" s="27"/>
      <c r="IO30" s="27"/>
      <c r="IP30" s="27"/>
      <c r="IQ30" s="27"/>
      <c r="IR30" s="27"/>
      <c r="IS30" s="27"/>
      <c r="IT30" s="27"/>
      <c r="IU30" s="27"/>
      <c r="IV30" s="27"/>
    </row>
    <row r="31" spans="1:256" x14ac:dyDescent="0.25">
      <c r="A31" s="27"/>
      <c r="B31" s="27"/>
      <c r="C31" s="28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27"/>
      <c r="BT31" s="27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7"/>
      <c r="CJ31" s="27"/>
      <c r="CK31" s="27"/>
      <c r="CL31" s="27"/>
      <c r="CM31" s="27"/>
      <c r="CN31" s="27"/>
      <c r="CO31" s="27"/>
      <c r="CP31" s="27"/>
      <c r="CQ31" s="27"/>
      <c r="CR31" s="27"/>
      <c r="CS31" s="27"/>
      <c r="CT31" s="27"/>
      <c r="CU31" s="27"/>
      <c r="CV31" s="27"/>
      <c r="CW31" s="27"/>
      <c r="CX31" s="27"/>
      <c r="CY31" s="27"/>
      <c r="CZ31" s="27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7"/>
      <c r="DL31" s="27"/>
      <c r="DM31" s="27"/>
      <c r="DN31" s="27"/>
      <c r="DO31" s="27"/>
      <c r="DP31" s="27"/>
      <c r="DQ31" s="27"/>
      <c r="DR31" s="27"/>
      <c r="DS31" s="27"/>
      <c r="DT31" s="27"/>
      <c r="DU31" s="27"/>
      <c r="DV31" s="27"/>
      <c r="DW31" s="27"/>
      <c r="DX31" s="27"/>
      <c r="DY31" s="27"/>
      <c r="DZ31" s="27"/>
      <c r="EA31" s="27"/>
      <c r="EB31" s="27"/>
      <c r="EC31" s="27"/>
      <c r="ED31" s="27"/>
      <c r="EE31" s="27"/>
      <c r="EF31" s="27"/>
      <c r="EG31" s="27"/>
      <c r="EH31" s="27"/>
      <c r="EI31" s="27"/>
      <c r="EJ31" s="27"/>
      <c r="EK31" s="27"/>
      <c r="EL31" s="27"/>
      <c r="EM31" s="27"/>
      <c r="EN31" s="27"/>
      <c r="EO31" s="27"/>
      <c r="EP31" s="27"/>
      <c r="EQ31" s="27"/>
      <c r="ER31" s="27"/>
      <c r="ES31" s="27"/>
      <c r="ET31" s="27"/>
      <c r="EU31" s="27"/>
      <c r="EV31" s="27"/>
      <c r="EW31" s="27"/>
      <c r="EX31" s="27"/>
      <c r="EY31" s="27"/>
      <c r="EZ31" s="27"/>
      <c r="FA31" s="27"/>
      <c r="FB31" s="27"/>
      <c r="FC31" s="27"/>
      <c r="FD31" s="27"/>
      <c r="FE31" s="27"/>
      <c r="FF31" s="27"/>
      <c r="FG31" s="27"/>
      <c r="FH31" s="27"/>
      <c r="FI31" s="27"/>
      <c r="FJ31" s="27"/>
      <c r="FK31" s="27"/>
      <c r="FL31" s="27"/>
      <c r="FM31" s="27"/>
      <c r="FN31" s="27"/>
      <c r="FO31" s="27"/>
      <c r="FP31" s="27"/>
      <c r="FQ31" s="27"/>
      <c r="FR31" s="27"/>
      <c r="FS31" s="27"/>
      <c r="FT31" s="27"/>
      <c r="FU31" s="27"/>
      <c r="FV31" s="27"/>
      <c r="FW31" s="27"/>
      <c r="FX31" s="27"/>
      <c r="FY31" s="27"/>
      <c r="FZ31" s="27"/>
      <c r="GA31" s="27"/>
      <c r="GB31" s="27"/>
      <c r="GC31" s="27"/>
      <c r="GD31" s="27"/>
      <c r="GE31" s="27"/>
      <c r="GF31" s="27"/>
      <c r="GG31" s="27"/>
      <c r="GH31" s="27"/>
      <c r="GI31" s="27"/>
      <c r="GJ31" s="27"/>
      <c r="GK31" s="27"/>
      <c r="GL31" s="27"/>
      <c r="GM31" s="27"/>
      <c r="GN31" s="27"/>
      <c r="GO31" s="27"/>
      <c r="GP31" s="27"/>
      <c r="GQ31" s="27"/>
      <c r="GR31" s="27"/>
      <c r="GS31" s="27"/>
      <c r="GT31" s="27"/>
      <c r="GU31" s="27"/>
      <c r="GV31" s="27"/>
      <c r="GW31" s="27"/>
      <c r="GX31" s="27"/>
      <c r="GY31" s="27"/>
      <c r="GZ31" s="27"/>
      <c r="HA31" s="27"/>
      <c r="HB31" s="27"/>
      <c r="HC31" s="27"/>
      <c r="HD31" s="27"/>
      <c r="HE31" s="27"/>
      <c r="HF31" s="27"/>
      <c r="HG31" s="27"/>
      <c r="HH31" s="27"/>
      <c r="HI31" s="27"/>
      <c r="HJ31" s="27"/>
      <c r="HK31" s="27"/>
      <c r="HL31" s="27"/>
      <c r="HM31" s="27"/>
      <c r="HN31" s="27"/>
      <c r="HO31" s="27"/>
      <c r="HP31" s="27"/>
      <c r="HQ31" s="27"/>
      <c r="HR31" s="27"/>
      <c r="HS31" s="27"/>
      <c r="HT31" s="27"/>
      <c r="HU31" s="27"/>
      <c r="HV31" s="27"/>
      <c r="HW31" s="27"/>
      <c r="HX31" s="27"/>
      <c r="HY31" s="27"/>
      <c r="HZ31" s="27"/>
      <c r="IA31" s="27"/>
      <c r="IB31" s="27"/>
      <c r="IC31" s="27"/>
      <c r="ID31" s="27"/>
      <c r="IE31" s="27"/>
      <c r="IF31" s="27"/>
      <c r="IG31" s="27"/>
      <c r="IH31" s="27"/>
      <c r="II31" s="27"/>
      <c r="IJ31" s="27"/>
      <c r="IK31" s="27"/>
      <c r="IL31" s="27"/>
      <c r="IM31" s="27"/>
      <c r="IN31" s="27"/>
      <c r="IO31" s="27"/>
      <c r="IP31" s="27"/>
      <c r="IQ31" s="27"/>
      <c r="IR31" s="27"/>
      <c r="IS31" s="27"/>
      <c r="IT31" s="27"/>
      <c r="IU31" s="27"/>
      <c r="IV31" s="27"/>
    </row>
    <row r="32" spans="1:256" x14ac:dyDescent="0.25">
      <c r="A32" s="27"/>
      <c r="B32" s="27"/>
      <c r="C32" s="28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27"/>
      <c r="BT32" s="27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7"/>
      <c r="CJ32" s="27"/>
      <c r="CK32" s="27"/>
      <c r="CL32" s="27"/>
      <c r="CM32" s="27"/>
      <c r="CN32" s="27"/>
      <c r="CO32" s="27"/>
      <c r="CP32" s="27"/>
      <c r="CQ32" s="27"/>
      <c r="CR32" s="27"/>
      <c r="CS32" s="27"/>
      <c r="CT32" s="27"/>
      <c r="CU32" s="27"/>
      <c r="CV32" s="27"/>
      <c r="CW32" s="27"/>
      <c r="CX32" s="27"/>
      <c r="CY32" s="27"/>
      <c r="CZ32" s="27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7"/>
      <c r="DL32" s="27"/>
      <c r="DM32" s="27"/>
      <c r="DN32" s="27"/>
      <c r="DO32" s="27"/>
      <c r="DP32" s="27"/>
      <c r="DQ32" s="27"/>
      <c r="DR32" s="27"/>
      <c r="DS32" s="27"/>
      <c r="DT32" s="27"/>
      <c r="DU32" s="27"/>
      <c r="DV32" s="27"/>
      <c r="DW32" s="27"/>
      <c r="DX32" s="27"/>
      <c r="DY32" s="27"/>
      <c r="DZ32" s="27"/>
      <c r="EA32" s="27"/>
      <c r="EB32" s="27"/>
      <c r="EC32" s="27"/>
      <c r="ED32" s="27"/>
      <c r="EE32" s="27"/>
      <c r="EF32" s="27"/>
      <c r="EG32" s="27"/>
      <c r="EH32" s="27"/>
      <c r="EI32" s="27"/>
      <c r="EJ32" s="27"/>
      <c r="EK32" s="27"/>
      <c r="EL32" s="27"/>
      <c r="EM32" s="27"/>
      <c r="EN32" s="27"/>
      <c r="EO32" s="27"/>
      <c r="EP32" s="27"/>
      <c r="EQ32" s="27"/>
      <c r="ER32" s="27"/>
      <c r="ES32" s="27"/>
      <c r="ET32" s="27"/>
      <c r="EU32" s="27"/>
      <c r="EV32" s="27"/>
      <c r="EW32" s="27"/>
      <c r="EX32" s="27"/>
      <c r="EY32" s="27"/>
      <c r="EZ32" s="27"/>
      <c r="FA32" s="27"/>
      <c r="FB32" s="27"/>
      <c r="FC32" s="27"/>
      <c r="FD32" s="27"/>
      <c r="FE32" s="27"/>
      <c r="FF32" s="27"/>
      <c r="FG32" s="27"/>
      <c r="FH32" s="27"/>
      <c r="FI32" s="27"/>
      <c r="FJ32" s="27"/>
      <c r="FK32" s="27"/>
      <c r="FL32" s="27"/>
      <c r="FM32" s="27"/>
      <c r="FN32" s="27"/>
      <c r="FO32" s="27"/>
      <c r="FP32" s="27"/>
      <c r="FQ32" s="27"/>
      <c r="FR32" s="27"/>
      <c r="FS32" s="27"/>
      <c r="FT32" s="27"/>
      <c r="FU32" s="27"/>
      <c r="FV32" s="27"/>
      <c r="FW32" s="27"/>
      <c r="FX32" s="27"/>
      <c r="FY32" s="27"/>
      <c r="FZ32" s="27"/>
      <c r="GA32" s="27"/>
      <c r="GB32" s="27"/>
      <c r="GC32" s="27"/>
      <c r="GD32" s="27"/>
      <c r="GE32" s="27"/>
      <c r="GF32" s="27"/>
      <c r="GG32" s="27"/>
      <c r="GH32" s="27"/>
      <c r="GI32" s="27"/>
      <c r="GJ32" s="27"/>
      <c r="GK32" s="27"/>
      <c r="GL32" s="27"/>
      <c r="GM32" s="27"/>
      <c r="GN32" s="27"/>
      <c r="GO32" s="27"/>
      <c r="GP32" s="27"/>
      <c r="GQ32" s="27"/>
      <c r="GR32" s="27"/>
      <c r="GS32" s="27"/>
      <c r="GT32" s="27"/>
      <c r="GU32" s="27"/>
      <c r="GV32" s="27"/>
      <c r="GW32" s="27"/>
      <c r="GX32" s="27"/>
      <c r="GY32" s="27"/>
      <c r="GZ32" s="27"/>
      <c r="HA32" s="27"/>
      <c r="HB32" s="27"/>
      <c r="HC32" s="27"/>
      <c r="HD32" s="27"/>
      <c r="HE32" s="27"/>
      <c r="HF32" s="27"/>
      <c r="HG32" s="27"/>
      <c r="HH32" s="27"/>
      <c r="HI32" s="27"/>
      <c r="HJ32" s="27"/>
      <c r="HK32" s="27"/>
      <c r="HL32" s="27"/>
      <c r="HM32" s="27"/>
      <c r="HN32" s="27"/>
      <c r="HO32" s="27"/>
      <c r="HP32" s="27"/>
      <c r="HQ32" s="27"/>
      <c r="HR32" s="27"/>
      <c r="HS32" s="27"/>
      <c r="HT32" s="27"/>
      <c r="HU32" s="27"/>
      <c r="HV32" s="27"/>
      <c r="HW32" s="27"/>
      <c r="HX32" s="27"/>
      <c r="HY32" s="27"/>
      <c r="HZ32" s="27"/>
      <c r="IA32" s="27"/>
      <c r="IB32" s="27"/>
      <c r="IC32" s="27"/>
      <c r="ID32" s="27"/>
      <c r="IE32" s="27"/>
      <c r="IF32" s="27"/>
      <c r="IG32" s="27"/>
      <c r="IH32" s="27"/>
      <c r="II32" s="27"/>
      <c r="IJ32" s="27"/>
      <c r="IK32" s="27"/>
      <c r="IL32" s="27"/>
      <c r="IM32" s="27"/>
      <c r="IN32" s="27"/>
      <c r="IO32" s="27"/>
      <c r="IP32" s="27"/>
      <c r="IQ32" s="27"/>
      <c r="IR32" s="27"/>
      <c r="IS32" s="27"/>
      <c r="IT32" s="27"/>
      <c r="IU32" s="27"/>
      <c r="IV32" s="27"/>
    </row>
    <row r="33" spans="1:256" x14ac:dyDescent="0.25">
      <c r="A33" s="27"/>
      <c r="B33" s="27"/>
      <c r="C33" s="28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27"/>
      <c r="BT33" s="27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7"/>
      <c r="CJ33" s="27"/>
      <c r="CK33" s="27"/>
      <c r="CL33" s="27"/>
      <c r="CM33" s="27"/>
      <c r="CN33" s="27"/>
      <c r="CO33" s="27"/>
      <c r="CP33" s="27"/>
      <c r="CQ33" s="27"/>
      <c r="CR33" s="27"/>
      <c r="CS33" s="27"/>
      <c r="CT33" s="27"/>
      <c r="CU33" s="27"/>
      <c r="CV33" s="27"/>
      <c r="CW33" s="27"/>
      <c r="CX33" s="27"/>
      <c r="CY33" s="27"/>
      <c r="CZ33" s="27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7"/>
      <c r="DL33" s="27"/>
      <c r="DM33" s="27"/>
      <c r="DN33" s="27"/>
      <c r="DO33" s="27"/>
      <c r="DP33" s="27"/>
      <c r="DQ33" s="27"/>
      <c r="DR33" s="27"/>
      <c r="DS33" s="27"/>
      <c r="DT33" s="27"/>
      <c r="DU33" s="27"/>
      <c r="DV33" s="27"/>
      <c r="DW33" s="27"/>
      <c r="DX33" s="27"/>
      <c r="DY33" s="27"/>
      <c r="DZ33" s="27"/>
      <c r="EA33" s="27"/>
      <c r="EB33" s="27"/>
      <c r="EC33" s="27"/>
      <c r="ED33" s="27"/>
      <c r="EE33" s="27"/>
      <c r="EF33" s="27"/>
      <c r="EG33" s="27"/>
      <c r="EH33" s="27"/>
      <c r="EI33" s="27"/>
      <c r="EJ33" s="27"/>
      <c r="EK33" s="27"/>
      <c r="EL33" s="27"/>
      <c r="EM33" s="27"/>
      <c r="EN33" s="27"/>
      <c r="EO33" s="27"/>
      <c r="EP33" s="27"/>
      <c r="EQ33" s="27"/>
      <c r="ER33" s="27"/>
      <c r="ES33" s="27"/>
      <c r="ET33" s="27"/>
      <c r="EU33" s="27"/>
      <c r="EV33" s="27"/>
      <c r="EW33" s="27"/>
      <c r="EX33" s="27"/>
      <c r="EY33" s="27"/>
      <c r="EZ33" s="27"/>
      <c r="FA33" s="27"/>
      <c r="FB33" s="27"/>
      <c r="FC33" s="27"/>
      <c r="FD33" s="27"/>
      <c r="FE33" s="27"/>
      <c r="FF33" s="27"/>
      <c r="FG33" s="27"/>
      <c r="FH33" s="27"/>
      <c r="FI33" s="27"/>
      <c r="FJ33" s="27"/>
      <c r="FK33" s="27"/>
      <c r="FL33" s="27"/>
      <c r="FM33" s="27"/>
      <c r="FN33" s="27"/>
      <c r="FO33" s="27"/>
      <c r="FP33" s="27"/>
      <c r="FQ33" s="27"/>
      <c r="FR33" s="27"/>
      <c r="FS33" s="27"/>
      <c r="FT33" s="27"/>
      <c r="FU33" s="27"/>
      <c r="FV33" s="27"/>
      <c r="FW33" s="27"/>
      <c r="FX33" s="27"/>
      <c r="FY33" s="27"/>
      <c r="FZ33" s="27"/>
      <c r="GA33" s="27"/>
      <c r="GB33" s="27"/>
      <c r="GC33" s="27"/>
      <c r="GD33" s="27"/>
      <c r="GE33" s="27"/>
      <c r="GF33" s="27"/>
      <c r="GG33" s="27"/>
      <c r="GH33" s="27"/>
      <c r="GI33" s="27"/>
      <c r="GJ33" s="27"/>
      <c r="GK33" s="27"/>
      <c r="GL33" s="27"/>
      <c r="GM33" s="27"/>
      <c r="GN33" s="27"/>
      <c r="GO33" s="27"/>
      <c r="GP33" s="27"/>
      <c r="GQ33" s="27"/>
      <c r="GR33" s="27"/>
      <c r="GS33" s="27"/>
      <c r="GT33" s="27"/>
      <c r="GU33" s="27"/>
      <c r="GV33" s="27"/>
      <c r="GW33" s="27"/>
      <c r="GX33" s="27"/>
      <c r="GY33" s="27"/>
      <c r="GZ33" s="27"/>
      <c r="HA33" s="27"/>
      <c r="HB33" s="27"/>
      <c r="HC33" s="27"/>
      <c r="HD33" s="27"/>
      <c r="HE33" s="27"/>
      <c r="HF33" s="27"/>
      <c r="HG33" s="27"/>
      <c r="HH33" s="27"/>
      <c r="HI33" s="27"/>
      <c r="HJ33" s="27"/>
      <c r="HK33" s="27"/>
      <c r="HL33" s="27"/>
      <c r="HM33" s="27"/>
      <c r="HN33" s="27"/>
      <c r="HO33" s="27"/>
      <c r="HP33" s="27"/>
      <c r="HQ33" s="27"/>
      <c r="HR33" s="27"/>
      <c r="HS33" s="27"/>
      <c r="HT33" s="27"/>
      <c r="HU33" s="27"/>
      <c r="HV33" s="27"/>
      <c r="HW33" s="27"/>
      <c r="HX33" s="27"/>
      <c r="HY33" s="27"/>
      <c r="HZ33" s="27"/>
      <c r="IA33" s="27"/>
      <c r="IB33" s="27"/>
      <c r="IC33" s="27"/>
      <c r="ID33" s="27"/>
      <c r="IE33" s="27"/>
      <c r="IF33" s="27"/>
      <c r="IG33" s="27"/>
      <c r="IH33" s="27"/>
      <c r="II33" s="27"/>
      <c r="IJ33" s="27"/>
      <c r="IK33" s="27"/>
      <c r="IL33" s="27"/>
      <c r="IM33" s="27"/>
      <c r="IN33" s="27"/>
      <c r="IO33" s="27"/>
      <c r="IP33" s="27"/>
      <c r="IQ33" s="27"/>
      <c r="IR33" s="27"/>
      <c r="IS33" s="27"/>
      <c r="IT33" s="27"/>
      <c r="IU33" s="27"/>
      <c r="IV33" s="27"/>
    </row>
    <row r="34" spans="1:256" x14ac:dyDescent="0.25">
      <c r="A34" s="27"/>
      <c r="B34" s="27"/>
      <c r="C34" s="28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27"/>
      <c r="AF34" s="27"/>
      <c r="AG34" s="27"/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7"/>
      <c r="CJ34" s="27"/>
      <c r="CK34" s="27"/>
      <c r="CL34" s="27"/>
      <c r="CM34" s="27"/>
      <c r="CN34" s="27"/>
      <c r="CO34" s="27"/>
      <c r="CP34" s="27"/>
      <c r="CQ34" s="27"/>
      <c r="CR34" s="27"/>
      <c r="CS34" s="27"/>
      <c r="CT34" s="27"/>
      <c r="CU34" s="27"/>
      <c r="CV34" s="27"/>
      <c r="CW34" s="27"/>
      <c r="CX34" s="27"/>
      <c r="CY34" s="27"/>
      <c r="CZ34" s="27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7"/>
      <c r="DL34" s="27"/>
      <c r="DM34" s="27"/>
      <c r="DN34" s="27"/>
      <c r="DO34" s="27"/>
      <c r="DP34" s="27"/>
      <c r="DQ34" s="27"/>
      <c r="DR34" s="27"/>
      <c r="DS34" s="27"/>
      <c r="DT34" s="27"/>
      <c r="DU34" s="27"/>
      <c r="DV34" s="27"/>
      <c r="DW34" s="27"/>
      <c r="DX34" s="27"/>
      <c r="DY34" s="27"/>
      <c r="DZ34" s="27"/>
      <c r="EA34" s="27"/>
      <c r="EB34" s="27"/>
      <c r="EC34" s="27"/>
      <c r="ED34" s="27"/>
      <c r="EE34" s="27"/>
      <c r="EF34" s="27"/>
      <c r="EG34" s="27"/>
      <c r="EH34" s="27"/>
      <c r="EI34" s="27"/>
      <c r="EJ34" s="27"/>
      <c r="EK34" s="27"/>
      <c r="EL34" s="27"/>
      <c r="EM34" s="27"/>
      <c r="EN34" s="27"/>
      <c r="EO34" s="27"/>
      <c r="EP34" s="27"/>
      <c r="EQ34" s="27"/>
      <c r="ER34" s="27"/>
      <c r="ES34" s="27"/>
      <c r="ET34" s="27"/>
      <c r="EU34" s="27"/>
      <c r="EV34" s="27"/>
      <c r="EW34" s="27"/>
      <c r="EX34" s="27"/>
      <c r="EY34" s="27"/>
      <c r="EZ34" s="27"/>
      <c r="FA34" s="27"/>
      <c r="FB34" s="27"/>
      <c r="FC34" s="27"/>
      <c r="FD34" s="27"/>
      <c r="FE34" s="27"/>
      <c r="FF34" s="27"/>
      <c r="FG34" s="27"/>
      <c r="FH34" s="27"/>
      <c r="FI34" s="27"/>
      <c r="FJ34" s="27"/>
      <c r="FK34" s="27"/>
      <c r="FL34" s="27"/>
      <c r="FM34" s="27"/>
      <c r="FN34" s="27"/>
      <c r="FO34" s="27"/>
      <c r="FP34" s="27"/>
      <c r="FQ34" s="27"/>
      <c r="FR34" s="27"/>
      <c r="FS34" s="27"/>
      <c r="FT34" s="27"/>
      <c r="FU34" s="27"/>
      <c r="FV34" s="27"/>
      <c r="FW34" s="27"/>
      <c r="FX34" s="27"/>
      <c r="FY34" s="27"/>
      <c r="FZ34" s="27"/>
      <c r="GA34" s="27"/>
      <c r="GB34" s="27"/>
      <c r="GC34" s="27"/>
      <c r="GD34" s="27"/>
      <c r="GE34" s="27"/>
      <c r="GF34" s="27"/>
      <c r="GG34" s="27"/>
      <c r="GH34" s="27"/>
      <c r="GI34" s="27"/>
      <c r="GJ34" s="27"/>
      <c r="GK34" s="27"/>
      <c r="GL34" s="27"/>
      <c r="GM34" s="27"/>
      <c r="GN34" s="27"/>
      <c r="GO34" s="27"/>
      <c r="GP34" s="27"/>
      <c r="GQ34" s="27"/>
      <c r="GR34" s="27"/>
      <c r="GS34" s="27"/>
      <c r="GT34" s="27"/>
      <c r="GU34" s="27"/>
      <c r="GV34" s="27"/>
      <c r="GW34" s="27"/>
      <c r="GX34" s="27"/>
      <c r="GY34" s="27"/>
      <c r="GZ34" s="27"/>
      <c r="HA34" s="27"/>
      <c r="HB34" s="27"/>
      <c r="HC34" s="27"/>
      <c r="HD34" s="27"/>
      <c r="HE34" s="27"/>
      <c r="HF34" s="27"/>
      <c r="HG34" s="27"/>
      <c r="HH34" s="27"/>
      <c r="HI34" s="27"/>
      <c r="HJ34" s="27"/>
      <c r="HK34" s="27"/>
      <c r="HL34" s="27"/>
      <c r="HM34" s="27"/>
      <c r="HN34" s="27"/>
      <c r="HO34" s="27"/>
      <c r="HP34" s="27"/>
      <c r="HQ34" s="27"/>
      <c r="HR34" s="27"/>
      <c r="HS34" s="27"/>
      <c r="HT34" s="27"/>
      <c r="HU34" s="27"/>
      <c r="HV34" s="27"/>
      <c r="HW34" s="27"/>
      <c r="HX34" s="27"/>
      <c r="HY34" s="27"/>
      <c r="HZ34" s="27"/>
      <c r="IA34" s="27"/>
      <c r="IB34" s="27"/>
      <c r="IC34" s="27"/>
      <c r="ID34" s="27"/>
      <c r="IE34" s="27"/>
      <c r="IF34" s="27"/>
      <c r="IG34" s="27"/>
      <c r="IH34" s="27"/>
      <c r="II34" s="27"/>
      <c r="IJ34" s="27"/>
      <c r="IK34" s="27"/>
      <c r="IL34" s="27"/>
      <c r="IM34" s="27"/>
      <c r="IN34" s="27"/>
      <c r="IO34" s="27"/>
      <c r="IP34" s="27"/>
      <c r="IQ34" s="27"/>
      <c r="IR34" s="27"/>
      <c r="IS34" s="27"/>
      <c r="IT34" s="27"/>
      <c r="IU34" s="27"/>
      <c r="IV34" s="27"/>
    </row>
    <row r="35" spans="1:256" x14ac:dyDescent="0.25">
      <c r="A35" s="27"/>
      <c r="B35" s="27"/>
      <c r="C35" s="28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  <c r="AF35" s="27"/>
      <c r="AG35" s="27"/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27"/>
      <c r="BT35" s="27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7"/>
      <c r="CJ35" s="27"/>
      <c r="CK35" s="27"/>
      <c r="CL35" s="27"/>
      <c r="CM35" s="27"/>
      <c r="CN35" s="27"/>
      <c r="CO35" s="27"/>
      <c r="CP35" s="27"/>
      <c r="CQ35" s="27"/>
      <c r="CR35" s="27"/>
      <c r="CS35" s="27"/>
      <c r="CT35" s="27"/>
      <c r="CU35" s="27"/>
      <c r="CV35" s="27"/>
      <c r="CW35" s="27"/>
      <c r="CX35" s="27"/>
      <c r="CY35" s="27"/>
      <c r="CZ35" s="27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7"/>
      <c r="DL35" s="27"/>
      <c r="DM35" s="27"/>
      <c r="DN35" s="27"/>
      <c r="DO35" s="27"/>
      <c r="DP35" s="27"/>
      <c r="DQ35" s="27"/>
      <c r="DR35" s="27"/>
      <c r="DS35" s="27"/>
      <c r="DT35" s="27"/>
      <c r="DU35" s="27"/>
      <c r="DV35" s="27"/>
      <c r="DW35" s="27"/>
      <c r="DX35" s="27"/>
      <c r="DY35" s="27"/>
      <c r="DZ35" s="27"/>
      <c r="EA35" s="27"/>
      <c r="EB35" s="27"/>
      <c r="EC35" s="27"/>
      <c r="ED35" s="27"/>
      <c r="EE35" s="27"/>
      <c r="EF35" s="27"/>
      <c r="EG35" s="27"/>
      <c r="EH35" s="27"/>
      <c r="EI35" s="27"/>
      <c r="EJ35" s="27"/>
      <c r="EK35" s="27"/>
      <c r="EL35" s="27"/>
      <c r="EM35" s="27"/>
      <c r="EN35" s="27"/>
      <c r="EO35" s="27"/>
      <c r="EP35" s="27"/>
      <c r="EQ35" s="27"/>
      <c r="ER35" s="27"/>
      <c r="ES35" s="27"/>
      <c r="ET35" s="27"/>
      <c r="EU35" s="27"/>
      <c r="EV35" s="27"/>
      <c r="EW35" s="27"/>
      <c r="EX35" s="27"/>
      <c r="EY35" s="27"/>
      <c r="EZ35" s="27"/>
      <c r="FA35" s="27"/>
      <c r="FB35" s="27"/>
      <c r="FC35" s="27"/>
      <c r="FD35" s="27"/>
      <c r="FE35" s="27"/>
      <c r="FF35" s="27"/>
      <c r="FG35" s="27"/>
      <c r="FH35" s="27"/>
      <c r="FI35" s="27"/>
      <c r="FJ35" s="27"/>
      <c r="FK35" s="27"/>
      <c r="FL35" s="27"/>
      <c r="FM35" s="27"/>
      <c r="FN35" s="27"/>
      <c r="FO35" s="27"/>
      <c r="FP35" s="27"/>
      <c r="FQ35" s="27"/>
      <c r="FR35" s="27"/>
      <c r="FS35" s="27"/>
      <c r="FT35" s="27"/>
      <c r="FU35" s="27"/>
      <c r="FV35" s="27"/>
      <c r="FW35" s="27"/>
      <c r="FX35" s="27"/>
      <c r="FY35" s="27"/>
      <c r="FZ35" s="27"/>
      <c r="GA35" s="27"/>
      <c r="GB35" s="27"/>
      <c r="GC35" s="27"/>
      <c r="GD35" s="27"/>
      <c r="GE35" s="27"/>
      <c r="GF35" s="27"/>
      <c r="GG35" s="27"/>
      <c r="GH35" s="27"/>
      <c r="GI35" s="27"/>
      <c r="GJ35" s="27"/>
      <c r="GK35" s="27"/>
      <c r="GL35" s="27"/>
      <c r="GM35" s="27"/>
      <c r="GN35" s="27"/>
      <c r="GO35" s="27"/>
      <c r="GP35" s="27"/>
      <c r="GQ35" s="27"/>
      <c r="GR35" s="27"/>
      <c r="GS35" s="27"/>
      <c r="GT35" s="27"/>
      <c r="GU35" s="27"/>
      <c r="GV35" s="27"/>
      <c r="GW35" s="27"/>
      <c r="GX35" s="27"/>
      <c r="GY35" s="27"/>
      <c r="GZ35" s="27"/>
      <c r="HA35" s="27"/>
      <c r="HB35" s="27"/>
      <c r="HC35" s="27"/>
      <c r="HD35" s="27"/>
      <c r="HE35" s="27"/>
      <c r="HF35" s="27"/>
      <c r="HG35" s="27"/>
      <c r="HH35" s="27"/>
      <c r="HI35" s="27"/>
      <c r="HJ35" s="27"/>
      <c r="HK35" s="27"/>
      <c r="HL35" s="27"/>
      <c r="HM35" s="27"/>
      <c r="HN35" s="27"/>
      <c r="HO35" s="27"/>
      <c r="HP35" s="27"/>
      <c r="HQ35" s="27"/>
      <c r="HR35" s="27"/>
      <c r="HS35" s="27"/>
      <c r="HT35" s="27"/>
      <c r="HU35" s="27"/>
      <c r="HV35" s="27"/>
      <c r="HW35" s="27"/>
      <c r="HX35" s="27"/>
      <c r="HY35" s="27"/>
      <c r="HZ35" s="27"/>
      <c r="IA35" s="27"/>
      <c r="IB35" s="27"/>
      <c r="IC35" s="27"/>
      <c r="ID35" s="27"/>
      <c r="IE35" s="27"/>
      <c r="IF35" s="27"/>
      <c r="IG35" s="27"/>
      <c r="IH35" s="27"/>
      <c r="II35" s="27"/>
      <c r="IJ35" s="27"/>
      <c r="IK35" s="27"/>
      <c r="IL35" s="27"/>
      <c r="IM35" s="27"/>
      <c r="IN35" s="27"/>
      <c r="IO35" s="27"/>
      <c r="IP35" s="27"/>
      <c r="IQ35" s="27"/>
      <c r="IR35" s="27"/>
      <c r="IS35" s="27"/>
      <c r="IT35" s="27"/>
      <c r="IU35" s="27"/>
      <c r="IV35" s="27"/>
    </row>
    <row r="36" spans="1:256" x14ac:dyDescent="0.25">
      <c r="A36" s="27"/>
      <c r="B36" s="27"/>
      <c r="C36" s="28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  <c r="AF36" s="27"/>
      <c r="AG36" s="27"/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27"/>
      <c r="BT36" s="27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7"/>
      <c r="CJ36" s="27"/>
      <c r="CK36" s="27"/>
      <c r="CL36" s="27"/>
      <c r="CM36" s="27"/>
      <c r="CN36" s="27"/>
      <c r="CO36" s="27"/>
      <c r="CP36" s="27"/>
      <c r="CQ36" s="27"/>
      <c r="CR36" s="27"/>
      <c r="CS36" s="27"/>
      <c r="CT36" s="27"/>
      <c r="CU36" s="27"/>
      <c r="CV36" s="27"/>
      <c r="CW36" s="27"/>
      <c r="CX36" s="27"/>
      <c r="CY36" s="27"/>
      <c r="CZ36" s="27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7"/>
      <c r="DL36" s="27"/>
      <c r="DM36" s="27"/>
      <c r="DN36" s="27"/>
      <c r="DO36" s="27"/>
      <c r="DP36" s="27"/>
      <c r="DQ36" s="27"/>
      <c r="DR36" s="27"/>
      <c r="DS36" s="27"/>
      <c r="DT36" s="27"/>
      <c r="DU36" s="27"/>
      <c r="DV36" s="27"/>
      <c r="DW36" s="27"/>
      <c r="DX36" s="27"/>
      <c r="DY36" s="27"/>
      <c r="DZ36" s="27"/>
      <c r="EA36" s="27"/>
      <c r="EB36" s="27"/>
      <c r="EC36" s="27"/>
      <c r="ED36" s="27"/>
      <c r="EE36" s="27"/>
      <c r="EF36" s="27"/>
      <c r="EG36" s="27"/>
      <c r="EH36" s="27"/>
      <c r="EI36" s="27"/>
      <c r="EJ36" s="27"/>
      <c r="EK36" s="27"/>
      <c r="EL36" s="27"/>
      <c r="EM36" s="27"/>
      <c r="EN36" s="27"/>
      <c r="EO36" s="27"/>
      <c r="EP36" s="27"/>
      <c r="EQ36" s="27"/>
      <c r="ER36" s="27"/>
      <c r="ES36" s="27"/>
      <c r="ET36" s="27"/>
      <c r="EU36" s="27"/>
      <c r="EV36" s="27"/>
      <c r="EW36" s="27"/>
      <c r="EX36" s="27"/>
      <c r="EY36" s="27"/>
      <c r="EZ36" s="27"/>
      <c r="FA36" s="27"/>
      <c r="FB36" s="27"/>
      <c r="FC36" s="27"/>
      <c r="FD36" s="27"/>
      <c r="FE36" s="27"/>
      <c r="FF36" s="27"/>
      <c r="FG36" s="27"/>
      <c r="FH36" s="27"/>
      <c r="FI36" s="27"/>
      <c r="FJ36" s="27"/>
      <c r="FK36" s="27"/>
      <c r="FL36" s="27"/>
      <c r="FM36" s="27"/>
      <c r="FN36" s="27"/>
      <c r="FO36" s="27"/>
      <c r="FP36" s="27"/>
      <c r="FQ36" s="27"/>
      <c r="FR36" s="27"/>
      <c r="FS36" s="27"/>
      <c r="FT36" s="27"/>
      <c r="FU36" s="27"/>
      <c r="FV36" s="27"/>
      <c r="FW36" s="27"/>
      <c r="FX36" s="27"/>
      <c r="FY36" s="27"/>
      <c r="FZ36" s="27"/>
      <c r="GA36" s="27"/>
      <c r="GB36" s="27"/>
      <c r="GC36" s="27"/>
      <c r="GD36" s="27"/>
      <c r="GE36" s="27"/>
      <c r="GF36" s="27"/>
      <c r="GG36" s="27"/>
      <c r="GH36" s="27"/>
      <c r="GI36" s="27"/>
      <c r="GJ36" s="27"/>
      <c r="GK36" s="27"/>
      <c r="GL36" s="27"/>
      <c r="GM36" s="27"/>
      <c r="GN36" s="27"/>
      <c r="GO36" s="27"/>
      <c r="GP36" s="27"/>
      <c r="GQ36" s="27"/>
      <c r="GR36" s="27"/>
      <c r="GS36" s="27"/>
      <c r="GT36" s="27"/>
      <c r="GU36" s="27"/>
      <c r="GV36" s="27"/>
      <c r="GW36" s="27"/>
      <c r="GX36" s="27"/>
      <c r="GY36" s="27"/>
      <c r="GZ36" s="27"/>
      <c r="HA36" s="27"/>
      <c r="HB36" s="27"/>
      <c r="HC36" s="27"/>
      <c r="HD36" s="27"/>
      <c r="HE36" s="27"/>
      <c r="HF36" s="27"/>
      <c r="HG36" s="27"/>
      <c r="HH36" s="27"/>
      <c r="HI36" s="27"/>
      <c r="HJ36" s="27"/>
      <c r="HK36" s="27"/>
      <c r="HL36" s="27"/>
      <c r="HM36" s="27"/>
      <c r="HN36" s="27"/>
      <c r="HO36" s="27"/>
      <c r="HP36" s="27"/>
      <c r="HQ36" s="27"/>
      <c r="HR36" s="27"/>
      <c r="HS36" s="27"/>
      <c r="HT36" s="27"/>
      <c r="HU36" s="27"/>
      <c r="HV36" s="27"/>
      <c r="HW36" s="27"/>
      <c r="HX36" s="27"/>
      <c r="HY36" s="27"/>
      <c r="HZ36" s="27"/>
      <c r="IA36" s="27"/>
      <c r="IB36" s="27"/>
      <c r="IC36" s="27"/>
      <c r="ID36" s="27"/>
      <c r="IE36" s="27"/>
      <c r="IF36" s="27"/>
      <c r="IG36" s="27"/>
      <c r="IH36" s="27"/>
      <c r="II36" s="27"/>
      <c r="IJ36" s="27"/>
      <c r="IK36" s="27"/>
      <c r="IL36" s="27"/>
      <c r="IM36" s="27"/>
      <c r="IN36" s="27"/>
      <c r="IO36" s="27"/>
      <c r="IP36" s="27"/>
      <c r="IQ36" s="27"/>
      <c r="IR36" s="27"/>
      <c r="IS36" s="27"/>
      <c r="IT36" s="27"/>
      <c r="IU36" s="27"/>
      <c r="IV36" s="27"/>
    </row>
    <row r="37" spans="1:256" x14ac:dyDescent="0.25">
      <c r="A37" s="27"/>
      <c r="B37" s="27"/>
      <c r="C37" s="28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27"/>
      <c r="BT37" s="27"/>
      <c r="BU37" s="27"/>
      <c r="BV37" s="27"/>
      <c r="BW37" s="27"/>
      <c r="BX37" s="27"/>
      <c r="BY37" s="27"/>
      <c r="BZ37" s="27"/>
      <c r="CA37" s="27"/>
      <c r="CB37" s="27"/>
      <c r="CC37" s="27"/>
      <c r="CD37" s="27"/>
      <c r="CE37" s="27"/>
      <c r="CF37" s="27"/>
      <c r="CG37" s="27"/>
      <c r="CH37" s="27"/>
      <c r="CI37" s="27"/>
      <c r="CJ37" s="27"/>
      <c r="CK37" s="27"/>
      <c r="CL37" s="27"/>
      <c r="CM37" s="27"/>
      <c r="CN37" s="27"/>
      <c r="CO37" s="27"/>
      <c r="CP37" s="27"/>
      <c r="CQ37" s="27"/>
      <c r="CR37" s="27"/>
      <c r="CS37" s="27"/>
      <c r="CT37" s="27"/>
      <c r="CU37" s="27"/>
      <c r="CV37" s="27"/>
      <c r="CW37" s="27"/>
      <c r="CX37" s="27"/>
      <c r="CY37" s="27"/>
      <c r="CZ37" s="27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7"/>
      <c r="DL37" s="27"/>
      <c r="DM37" s="27"/>
      <c r="DN37" s="27"/>
      <c r="DO37" s="27"/>
      <c r="DP37" s="27"/>
      <c r="DQ37" s="27"/>
      <c r="DR37" s="27"/>
      <c r="DS37" s="27"/>
      <c r="DT37" s="27"/>
      <c r="DU37" s="27"/>
      <c r="DV37" s="27"/>
      <c r="DW37" s="27"/>
      <c r="DX37" s="27"/>
      <c r="DY37" s="27"/>
      <c r="DZ37" s="27"/>
      <c r="EA37" s="27"/>
      <c r="EB37" s="27"/>
      <c r="EC37" s="27"/>
      <c r="ED37" s="27"/>
      <c r="EE37" s="27"/>
      <c r="EF37" s="27"/>
      <c r="EG37" s="27"/>
      <c r="EH37" s="27"/>
      <c r="EI37" s="27"/>
      <c r="EJ37" s="27"/>
      <c r="EK37" s="27"/>
      <c r="EL37" s="27"/>
      <c r="EM37" s="27"/>
      <c r="EN37" s="27"/>
      <c r="EO37" s="27"/>
      <c r="EP37" s="27"/>
      <c r="EQ37" s="27"/>
      <c r="ER37" s="27"/>
      <c r="ES37" s="27"/>
      <c r="ET37" s="27"/>
      <c r="EU37" s="27"/>
      <c r="EV37" s="27"/>
      <c r="EW37" s="27"/>
      <c r="EX37" s="27"/>
      <c r="EY37" s="27"/>
      <c r="EZ37" s="27"/>
      <c r="FA37" s="27"/>
      <c r="FB37" s="27"/>
      <c r="FC37" s="27"/>
      <c r="FD37" s="27"/>
      <c r="FE37" s="27"/>
      <c r="FF37" s="27"/>
      <c r="FG37" s="27"/>
      <c r="FH37" s="27"/>
      <c r="FI37" s="27"/>
      <c r="FJ37" s="27"/>
      <c r="FK37" s="27"/>
      <c r="FL37" s="27"/>
      <c r="FM37" s="27"/>
      <c r="FN37" s="27"/>
      <c r="FO37" s="27"/>
      <c r="FP37" s="27"/>
      <c r="FQ37" s="27"/>
      <c r="FR37" s="27"/>
      <c r="FS37" s="27"/>
      <c r="FT37" s="27"/>
      <c r="FU37" s="27"/>
      <c r="FV37" s="27"/>
      <c r="FW37" s="27"/>
      <c r="FX37" s="27"/>
      <c r="FY37" s="27"/>
      <c r="FZ37" s="27"/>
      <c r="GA37" s="27"/>
      <c r="GB37" s="27"/>
      <c r="GC37" s="27"/>
      <c r="GD37" s="27"/>
      <c r="GE37" s="27"/>
      <c r="GF37" s="27"/>
      <c r="GG37" s="27"/>
      <c r="GH37" s="27"/>
      <c r="GI37" s="27"/>
      <c r="GJ37" s="27"/>
      <c r="GK37" s="27"/>
      <c r="GL37" s="27"/>
      <c r="GM37" s="27"/>
      <c r="GN37" s="27"/>
      <c r="GO37" s="27"/>
      <c r="GP37" s="27"/>
      <c r="GQ37" s="27"/>
      <c r="GR37" s="27"/>
      <c r="GS37" s="27"/>
      <c r="GT37" s="27"/>
      <c r="GU37" s="27"/>
      <c r="GV37" s="27"/>
      <c r="GW37" s="27"/>
      <c r="GX37" s="27"/>
      <c r="GY37" s="27"/>
      <c r="GZ37" s="27"/>
      <c r="HA37" s="27"/>
      <c r="HB37" s="27"/>
      <c r="HC37" s="27"/>
      <c r="HD37" s="27"/>
      <c r="HE37" s="27"/>
      <c r="HF37" s="27"/>
      <c r="HG37" s="27"/>
      <c r="HH37" s="27"/>
      <c r="HI37" s="27"/>
      <c r="HJ37" s="27"/>
      <c r="HK37" s="27"/>
      <c r="HL37" s="27"/>
      <c r="HM37" s="27"/>
      <c r="HN37" s="27"/>
      <c r="HO37" s="27"/>
      <c r="HP37" s="27"/>
      <c r="HQ37" s="27"/>
      <c r="HR37" s="27"/>
      <c r="HS37" s="27"/>
      <c r="HT37" s="27"/>
      <c r="HU37" s="27"/>
      <c r="HV37" s="27"/>
      <c r="HW37" s="27"/>
      <c r="HX37" s="27"/>
      <c r="HY37" s="27"/>
      <c r="HZ37" s="27"/>
      <c r="IA37" s="27"/>
      <c r="IB37" s="27"/>
      <c r="IC37" s="27"/>
      <c r="ID37" s="27"/>
      <c r="IE37" s="27"/>
      <c r="IF37" s="27"/>
      <c r="IG37" s="27"/>
      <c r="IH37" s="27"/>
      <c r="II37" s="27"/>
      <c r="IJ37" s="27"/>
      <c r="IK37" s="27"/>
      <c r="IL37" s="27"/>
      <c r="IM37" s="27"/>
      <c r="IN37" s="27"/>
      <c r="IO37" s="27"/>
      <c r="IP37" s="27"/>
      <c r="IQ37" s="27"/>
      <c r="IR37" s="27"/>
      <c r="IS37" s="27"/>
      <c r="IT37" s="27"/>
      <c r="IU37" s="27"/>
      <c r="IV37" s="27"/>
    </row>
    <row r="38" spans="1:256" x14ac:dyDescent="0.25">
      <c r="A38" s="27"/>
      <c r="B38" s="27"/>
      <c r="C38" s="28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  <c r="AF38" s="27"/>
      <c r="AG38" s="27"/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  <c r="DU38" s="27"/>
      <c r="DV38" s="27"/>
      <c r="DW38" s="27"/>
      <c r="DX38" s="27"/>
      <c r="DY38" s="27"/>
      <c r="DZ38" s="27"/>
      <c r="EA38" s="27"/>
      <c r="EB38" s="27"/>
      <c r="EC38" s="27"/>
      <c r="ED38" s="27"/>
      <c r="EE38" s="27"/>
      <c r="EF38" s="27"/>
      <c r="EG38" s="27"/>
      <c r="EH38" s="27"/>
      <c r="EI38" s="27"/>
      <c r="EJ38" s="27"/>
      <c r="EK38" s="27"/>
      <c r="EL38" s="27"/>
      <c r="EM38" s="27"/>
      <c r="EN38" s="27"/>
      <c r="EO38" s="27"/>
      <c r="EP38" s="27"/>
      <c r="EQ38" s="27"/>
      <c r="ER38" s="27"/>
      <c r="ES38" s="27"/>
      <c r="ET38" s="27"/>
      <c r="EU38" s="27"/>
      <c r="EV38" s="27"/>
      <c r="EW38" s="27"/>
      <c r="EX38" s="27"/>
      <c r="EY38" s="27"/>
      <c r="EZ38" s="27"/>
      <c r="FA38" s="27"/>
      <c r="FB38" s="27"/>
      <c r="FC38" s="27"/>
      <c r="FD38" s="27"/>
      <c r="FE38" s="27"/>
      <c r="FF38" s="27"/>
      <c r="FG38" s="27"/>
      <c r="FH38" s="27"/>
      <c r="FI38" s="27"/>
      <c r="FJ38" s="27"/>
      <c r="FK38" s="27"/>
      <c r="FL38" s="27"/>
      <c r="FM38" s="27"/>
      <c r="FN38" s="27"/>
      <c r="FO38" s="27"/>
      <c r="FP38" s="27"/>
      <c r="FQ38" s="27"/>
      <c r="FR38" s="27"/>
      <c r="FS38" s="27"/>
      <c r="FT38" s="27"/>
      <c r="FU38" s="27"/>
      <c r="FV38" s="27"/>
      <c r="FW38" s="27"/>
      <c r="FX38" s="27"/>
      <c r="FY38" s="27"/>
      <c r="FZ38" s="27"/>
      <c r="GA38" s="27"/>
      <c r="GB38" s="27"/>
      <c r="GC38" s="27"/>
      <c r="GD38" s="27"/>
      <c r="GE38" s="27"/>
      <c r="GF38" s="27"/>
      <c r="GG38" s="27"/>
      <c r="GH38" s="27"/>
      <c r="GI38" s="27"/>
      <c r="GJ38" s="27"/>
      <c r="GK38" s="27"/>
      <c r="GL38" s="27"/>
      <c r="GM38" s="27"/>
      <c r="GN38" s="27"/>
      <c r="GO38" s="27"/>
      <c r="GP38" s="27"/>
      <c r="GQ38" s="27"/>
      <c r="GR38" s="27"/>
      <c r="GS38" s="27"/>
      <c r="GT38" s="27"/>
      <c r="GU38" s="27"/>
      <c r="GV38" s="27"/>
      <c r="GW38" s="27"/>
      <c r="GX38" s="27"/>
      <c r="GY38" s="27"/>
      <c r="GZ38" s="27"/>
      <c r="HA38" s="27"/>
      <c r="HB38" s="27"/>
      <c r="HC38" s="27"/>
      <c r="HD38" s="27"/>
      <c r="HE38" s="27"/>
      <c r="HF38" s="27"/>
      <c r="HG38" s="27"/>
      <c r="HH38" s="27"/>
      <c r="HI38" s="27"/>
      <c r="HJ38" s="27"/>
      <c r="HK38" s="27"/>
      <c r="HL38" s="27"/>
      <c r="HM38" s="27"/>
      <c r="HN38" s="27"/>
      <c r="HO38" s="27"/>
      <c r="HP38" s="27"/>
      <c r="HQ38" s="27"/>
      <c r="HR38" s="27"/>
      <c r="HS38" s="27"/>
      <c r="HT38" s="27"/>
      <c r="HU38" s="27"/>
      <c r="HV38" s="27"/>
      <c r="HW38" s="27"/>
      <c r="HX38" s="27"/>
      <c r="HY38" s="27"/>
      <c r="HZ38" s="27"/>
      <c r="IA38" s="27"/>
      <c r="IB38" s="27"/>
      <c r="IC38" s="27"/>
      <c r="ID38" s="27"/>
      <c r="IE38" s="27"/>
      <c r="IF38" s="27"/>
      <c r="IG38" s="27"/>
      <c r="IH38" s="27"/>
      <c r="II38" s="27"/>
      <c r="IJ38" s="27"/>
      <c r="IK38" s="27"/>
      <c r="IL38" s="27"/>
      <c r="IM38" s="27"/>
      <c r="IN38" s="27"/>
      <c r="IO38" s="27"/>
      <c r="IP38" s="27"/>
      <c r="IQ38" s="27"/>
      <c r="IR38" s="27"/>
      <c r="IS38" s="27"/>
      <c r="IT38" s="27"/>
      <c r="IU38" s="27"/>
      <c r="IV38" s="27"/>
    </row>
    <row r="39" spans="1:256" x14ac:dyDescent="0.25">
      <c r="A39" s="27"/>
      <c r="B39" s="27"/>
      <c r="C39" s="28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  <c r="BZ39" s="27"/>
      <c r="CA39" s="27"/>
      <c r="CB39" s="27"/>
      <c r="CC39" s="27"/>
      <c r="CD39" s="27"/>
      <c r="CE39" s="27"/>
      <c r="CF39" s="27"/>
      <c r="CG39" s="27"/>
      <c r="CH39" s="27"/>
      <c r="CI39" s="27"/>
      <c r="CJ39" s="27"/>
      <c r="CK39" s="27"/>
      <c r="CL39" s="27"/>
      <c r="CM39" s="27"/>
      <c r="CN39" s="27"/>
      <c r="CO39" s="27"/>
      <c r="CP39" s="27"/>
      <c r="CQ39" s="27"/>
      <c r="CR39" s="27"/>
      <c r="CS39" s="27"/>
      <c r="CT39" s="27"/>
      <c r="CU39" s="27"/>
      <c r="CV39" s="27"/>
      <c r="CW39" s="27"/>
      <c r="CX39" s="27"/>
      <c r="CY39" s="27"/>
      <c r="CZ39" s="27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7"/>
      <c r="DL39" s="27"/>
      <c r="DM39" s="27"/>
      <c r="DN39" s="27"/>
      <c r="DO39" s="27"/>
      <c r="DP39" s="27"/>
      <c r="DQ39" s="27"/>
      <c r="DR39" s="27"/>
      <c r="DS39" s="27"/>
      <c r="DT39" s="27"/>
      <c r="DU39" s="27"/>
      <c r="DV39" s="27"/>
      <c r="DW39" s="27"/>
      <c r="DX39" s="27"/>
      <c r="DY39" s="27"/>
      <c r="DZ39" s="27"/>
      <c r="EA39" s="27"/>
      <c r="EB39" s="27"/>
      <c r="EC39" s="27"/>
      <c r="ED39" s="27"/>
      <c r="EE39" s="27"/>
      <c r="EF39" s="27"/>
      <c r="EG39" s="27"/>
      <c r="EH39" s="27"/>
      <c r="EI39" s="27"/>
      <c r="EJ39" s="27"/>
      <c r="EK39" s="27"/>
      <c r="EL39" s="27"/>
      <c r="EM39" s="27"/>
      <c r="EN39" s="27"/>
      <c r="EO39" s="27"/>
      <c r="EP39" s="27"/>
      <c r="EQ39" s="27"/>
      <c r="ER39" s="27"/>
      <c r="ES39" s="27"/>
      <c r="ET39" s="27"/>
      <c r="EU39" s="27"/>
      <c r="EV39" s="27"/>
      <c r="EW39" s="27"/>
      <c r="EX39" s="27"/>
      <c r="EY39" s="27"/>
      <c r="EZ39" s="27"/>
      <c r="FA39" s="27"/>
      <c r="FB39" s="27"/>
      <c r="FC39" s="27"/>
      <c r="FD39" s="27"/>
      <c r="FE39" s="27"/>
      <c r="FF39" s="27"/>
      <c r="FG39" s="27"/>
      <c r="FH39" s="27"/>
      <c r="FI39" s="27"/>
      <c r="FJ39" s="27"/>
      <c r="FK39" s="27"/>
      <c r="FL39" s="27"/>
      <c r="FM39" s="27"/>
      <c r="FN39" s="27"/>
      <c r="FO39" s="27"/>
      <c r="FP39" s="27"/>
      <c r="FQ39" s="27"/>
      <c r="FR39" s="27"/>
      <c r="FS39" s="27"/>
      <c r="FT39" s="27"/>
      <c r="FU39" s="27"/>
      <c r="FV39" s="27"/>
      <c r="FW39" s="27"/>
      <c r="FX39" s="27"/>
      <c r="FY39" s="27"/>
      <c r="FZ39" s="27"/>
      <c r="GA39" s="27"/>
      <c r="GB39" s="27"/>
      <c r="GC39" s="27"/>
      <c r="GD39" s="27"/>
      <c r="GE39" s="27"/>
      <c r="GF39" s="27"/>
      <c r="GG39" s="27"/>
      <c r="GH39" s="27"/>
      <c r="GI39" s="27"/>
      <c r="GJ39" s="27"/>
      <c r="GK39" s="27"/>
      <c r="GL39" s="27"/>
      <c r="GM39" s="27"/>
      <c r="GN39" s="27"/>
      <c r="GO39" s="27"/>
      <c r="GP39" s="27"/>
      <c r="GQ39" s="27"/>
      <c r="GR39" s="27"/>
      <c r="GS39" s="27"/>
      <c r="GT39" s="27"/>
      <c r="GU39" s="27"/>
      <c r="GV39" s="27"/>
      <c r="GW39" s="27"/>
      <c r="GX39" s="27"/>
      <c r="GY39" s="27"/>
      <c r="GZ39" s="27"/>
      <c r="HA39" s="27"/>
      <c r="HB39" s="27"/>
      <c r="HC39" s="27"/>
      <c r="HD39" s="27"/>
      <c r="HE39" s="27"/>
      <c r="HF39" s="27"/>
      <c r="HG39" s="27"/>
      <c r="HH39" s="27"/>
      <c r="HI39" s="27"/>
      <c r="HJ39" s="27"/>
      <c r="HK39" s="27"/>
      <c r="HL39" s="27"/>
      <c r="HM39" s="27"/>
      <c r="HN39" s="27"/>
      <c r="HO39" s="27"/>
      <c r="HP39" s="27"/>
      <c r="HQ39" s="27"/>
      <c r="HR39" s="27"/>
      <c r="HS39" s="27"/>
      <c r="HT39" s="27"/>
      <c r="HU39" s="27"/>
      <c r="HV39" s="27"/>
      <c r="HW39" s="27"/>
      <c r="HX39" s="27"/>
      <c r="HY39" s="27"/>
      <c r="HZ39" s="27"/>
      <c r="IA39" s="27"/>
      <c r="IB39" s="27"/>
      <c r="IC39" s="27"/>
      <c r="ID39" s="27"/>
      <c r="IE39" s="27"/>
      <c r="IF39" s="27"/>
      <c r="IG39" s="27"/>
      <c r="IH39" s="27"/>
      <c r="II39" s="27"/>
      <c r="IJ39" s="27"/>
      <c r="IK39" s="27"/>
      <c r="IL39" s="27"/>
      <c r="IM39" s="27"/>
      <c r="IN39" s="27"/>
      <c r="IO39" s="27"/>
      <c r="IP39" s="27"/>
      <c r="IQ39" s="27"/>
      <c r="IR39" s="27"/>
      <c r="IS39" s="27"/>
      <c r="IT39" s="27"/>
      <c r="IU39" s="27"/>
      <c r="IV39" s="27"/>
    </row>
    <row r="40" spans="1:256" x14ac:dyDescent="0.25">
      <c r="A40" s="27"/>
      <c r="B40" s="27"/>
      <c r="C40" s="28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  <c r="AF40" s="27"/>
      <c r="AG40" s="27"/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27"/>
      <c r="BT40" s="27"/>
      <c r="BU40" s="27"/>
      <c r="BV40" s="27"/>
      <c r="BW40" s="27"/>
      <c r="BX40" s="27"/>
      <c r="BY40" s="27"/>
      <c r="BZ40" s="27"/>
      <c r="CA40" s="27"/>
      <c r="CB40" s="27"/>
      <c r="CC40" s="27"/>
      <c r="CD40" s="27"/>
      <c r="CE40" s="27"/>
      <c r="CF40" s="27"/>
      <c r="CG40" s="27"/>
      <c r="CH40" s="27"/>
      <c r="CI40" s="27"/>
      <c r="CJ40" s="27"/>
      <c r="CK40" s="27"/>
      <c r="CL40" s="27"/>
      <c r="CM40" s="27"/>
      <c r="CN40" s="27"/>
      <c r="CO40" s="27"/>
      <c r="CP40" s="27"/>
      <c r="CQ40" s="27"/>
      <c r="CR40" s="27"/>
      <c r="CS40" s="27"/>
      <c r="CT40" s="27"/>
      <c r="CU40" s="27"/>
      <c r="CV40" s="27"/>
      <c r="CW40" s="27"/>
      <c r="CX40" s="27"/>
      <c r="CY40" s="27"/>
      <c r="CZ40" s="27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7"/>
      <c r="DL40" s="27"/>
      <c r="DM40" s="27"/>
      <c r="DN40" s="27"/>
      <c r="DO40" s="27"/>
      <c r="DP40" s="27"/>
      <c r="DQ40" s="27"/>
      <c r="DR40" s="27"/>
      <c r="DS40" s="27"/>
      <c r="DT40" s="27"/>
      <c r="DU40" s="27"/>
      <c r="DV40" s="27"/>
      <c r="DW40" s="27"/>
      <c r="DX40" s="27"/>
      <c r="DY40" s="27"/>
      <c r="DZ40" s="27"/>
      <c r="EA40" s="27"/>
      <c r="EB40" s="27"/>
      <c r="EC40" s="27"/>
      <c r="ED40" s="27"/>
      <c r="EE40" s="27"/>
      <c r="EF40" s="27"/>
      <c r="EG40" s="27"/>
      <c r="EH40" s="27"/>
      <c r="EI40" s="27"/>
      <c r="EJ40" s="27"/>
      <c r="EK40" s="27"/>
      <c r="EL40" s="27"/>
      <c r="EM40" s="27"/>
      <c r="EN40" s="27"/>
      <c r="EO40" s="27"/>
      <c r="EP40" s="27"/>
      <c r="EQ40" s="27"/>
      <c r="ER40" s="27"/>
      <c r="ES40" s="27"/>
      <c r="ET40" s="27"/>
      <c r="EU40" s="27"/>
      <c r="EV40" s="27"/>
      <c r="EW40" s="27"/>
      <c r="EX40" s="27"/>
      <c r="EY40" s="27"/>
      <c r="EZ40" s="27"/>
      <c r="FA40" s="27"/>
      <c r="FB40" s="27"/>
      <c r="FC40" s="27"/>
      <c r="FD40" s="27"/>
      <c r="FE40" s="27"/>
      <c r="FF40" s="27"/>
      <c r="FG40" s="27"/>
      <c r="FH40" s="27"/>
      <c r="FI40" s="27"/>
      <c r="FJ40" s="27"/>
      <c r="FK40" s="27"/>
      <c r="FL40" s="27"/>
      <c r="FM40" s="27"/>
      <c r="FN40" s="27"/>
      <c r="FO40" s="27"/>
      <c r="FP40" s="27"/>
      <c r="FQ40" s="27"/>
      <c r="FR40" s="27"/>
      <c r="FS40" s="27"/>
      <c r="FT40" s="27"/>
      <c r="FU40" s="27"/>
      <c r="FV40" s="27"/>
      <c r="FW40" s="27"/>
      <c r="FX40" s="27"/>
      <c r="FY40" s="27"/>
      <c r="FZ40" s="27"/>
      <c r="GA40" s="27"/>
      <c r="GB40" s="27"/>
      <c r="GC40" s="27"/>
      <c r="GD40" s="27"/>
      <c r="GE40" s="27"/>
      <c r="GF40" s="27"/>
      <c r="GG40" s="27"/>
      <c r="GH40" s="27"/>
      <c r="GI40" s="27"/>
      <c r="GJ40" s="27"/>
      <c r="GK40" s="27"/>
      <c r="GL40" s="27"/>
      <c r="GM40" s="27"/>
      <c r="GN40" s="27"/>
      <c r="GO40" s="27"/>
      <c r="GP40" s="27"/>
      <c r="GQ40" s="27"/>
      <c r="GR40" s="27"/>
      <c r="GS40" s="27"/>
      <c r="GT40" s="27"/>
      <c r="GU40" s="27"/>
      <c r="GV40" s="27"/>
      <c r="GW40" s="27"/>
      <c r="GX40" s="27"/>
      <c r="GY40" s="27"/>
      <c r="GZ40" s="27"/>
      <c r="HA40" s="27"/>
      <c r="HB40" s="27"/>
      <c r="HC40" s="27"/>
      <c r="HD40" s="27"/>
      <c r="HE40" s="27"/>
      <c r="HF40" s="27"/>
      <c r="HG40" s="27"/>
      <c r="HH40" s="27"/>
      <c r="HI40" s="27"/>
      <c r="HJ40" s="27"/>
      <c r="HK40" s="27"/>
      <c r="HL40" s="27"/>
      <c r="HM40" s="27"/>
      <c r="HN40" s="27"/>
      <c r="HO40" s="27"/>
      <c r="HP40" s="27"/>
      <c r="HQ40" s="27"/>
      <c r="HR40" s="27"/>
      <c r="HS40" s="27"/>
      <c r="HT40" s="27"/>
      <c r="HU40" s="27"/>
      <c r="HV40" s="27"/>
      <c r="HW40" s="27"/>
      <c r="HX40" s="27"/>
      <c r="HY40" s="27"/>
      <c r="HZ40" s="27"/>
      <c r="IA40" s="27"/>
      <c r="IB40" s="27"/>
      <c r="IC40" s="27"/>
      <c r="ID40" s="27"/>
      <c r="IE40" s="27"/>
      <c r="IF40" s="27"/>
      <c r="IG40" s="27"/>
      <c r="IH40" s="27"/>
      <c r="II40" s="27"/>
      <c r="IJ40" s="27"/>
      <c r="IK40" s="27"/>
      <c r="IL40" s="27"/>
      <c r="IM40" s="27"/>
      <c r="IN40" s="27"/>
      <c r="IO40" s="27"/>
      <c r="IP40" s="27"/>
      <c r="IQ40" s="27"/>
      <c r="IR40" s="27"/>
      <c r="IS40" s="27"/>
      <c r="IT40" s="27"/>
      <c r="IU40" s="27"/>
      <c r="IV40" s="27"/>
    </row>
    <row r="41" spans="1:256" x14ac:dyDescent="0.25">
      <c r="A41" s="27"/>
      <c r="B41" s="27"/>
      <c r="C41" s="28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27"/>
      <c r="BT41" s="27"/>
      <c r="BU41" s="27"/>
      <c r="BV41" s="27"/>
      <c r="BW41" s="27"/>
      <c r="BX41" s="27"/>
      <c r="BY41" s="27"/>
      <c r="BZ41" s="27"/>
      <c r="CA41" s="27"/>
      <c r="CB41" s="27"/>
      <c r="CC41" s="27"/>
      <c r="CD41" s="27"/>
      <c r="CE41" s="27"/>
      <c r="CF41" s="27"/>
      <c r="CG41" s="27"/>
      <c r="CH41" s="27"/>
      <c r="CI41" s="27"/>
      <c r="CJ41" s="27"/>
      <c r="CK41" s="27"/>
      <c r="CL41" s="27"/>
      <c r="CM41" s="27"/>
      <c r="CN41" s="27"/>
      <c r="CO41" s="27"/>
      <c r="CP41" s="27"/>
      <c r="CQ41" s="27"/>
      <c r="CR41" s="27"/>
      <c r="CS41" s="27"/>
      <c r="CT41" s="27"/>
      <c r="CU41" s="27"/>
      <c r="CV41" s="27"/>
      <c r="CW41" s="27"/>
      <c r="CX41" s="27"/>
      <c r="CY41" s="27"/>
      <c r="CZ41" s="27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7"/>
      <c r="DL41" s="27"/>
      <c r="DM41" s="27"/>
      <c r="DN41" s="27"/>
      <c r="DO41" s="27"/>
      <c r="DP41" s="27"/>
      <c r="DQ41" s="27"/>
      <c r="DR41" s="27"/>
      <c r="DS41" s="27"/>
      <c r="DT41" s="27"/>
      <c r="DU41" s="27"/>
      <c r="DV41" s="27"/>
      <c r="DW41" s="27"/>
      <c r="DX41" s="27"/>
      <c r="DY41" s="27"/>
      <c r="DZ41" s="27"/>
      <c r="EA41" s="27"/>
      <c r="EB41" s="27"/>
      <c r="EC41" s="27"/>
      <c r="ED41" s="27"/>
      <c r="EE41" s="27"/>
      <c r="EF41" s="27"/>
      <c r="EG41" s="27"/>
      <c r="EH41" s="27"/>
      <c r="EI41" s="27"/>
      <c r="EJ41" s="27"/>
      <c r="EK41" s="27"/>
      <c r="EL41" s="27"/>
      <c r="EM41" s="27"/>
      <c r="EN41" s="27"/>
      <c r="EO41" s="27"/>
      <c r="EP41" s="27"/>
      <c r="EQ41" s="27"/>
      <c r="ER41" s="27"/>
      <c r="ES41" s="27"/>
      <c r="ET41" s="27"/>
      <c r="EU41" s="27"/>
      <c r="EV41" s="27"/>
      <c r="EW41" s="27"/>
      <c r="EX41" s="27"/>
      <c r="EY41" s="27"/>
      <c r="EZ41" s="27"/>
      <c r="FA41" s="27"/>
      <c r="FB41" s="27"/>
      <c r="FC41" s="27"/>
      <c r="FD41" s="27"/>
      <c r="FE41" s="27"/>
      <c r="FF41" s="27"/>
      <c r="FG41" s="27"/>
      <c r="FH41" s="27"/>
      <c r="FI41" s="27"/>
      <c r="FJ41" s="27"/>
      <c r="FK41" s="27"/>
      <c r="FL41" s="27"/>
      <c r="FM41" s="27"/>
      <c r="FN41" s="27"/>
      <c r="FO41" s="27"/>
      <c r="FP41" s="27"/>
      <c r="FQ41" s="27"/>
      <c r="FR41" s="27"/>
      <c r="FS41" s="27"/>
      <c r="FT41" s="27"/>
      <c r="FU41" s="27"/>
      <c r="FV41" s="27"/>
      <c r="FW41" s="27"/>
      <c r="FX41" s="27"/>
      <c r="FY41" s="27"/>
      <c r="FZ41" s="27"/>
      <c r="GA41" s="27"/>
      <c r="GB41" s="27"/>
      <c r="GC41" s="27"/>
      <c r="GD41" s="27"/>
      <c r="GE41" s="27"/>
      <c r="GF41" s="27"/>
      <c r="GG41" s="27"/>
      <c r="GH41" s="27"/>
      <c r="GI41" s="27"/>
      <c r="GJ41" s="27"/>
      <c r="GK41" s="27"/>
      <c r="GL41" s="27"/>
      <c r="GM41" s="27"/>
      <c r="GN41" s="27"/>
      <c r="GO41" s="27"/>
      <c r="GP41" s="27"/>
      <c r="GQ41" s="27"/>
      <c r="GR41" s="27"/>
      <c r="GS41" s="27"/>
      <c r="GT41" s="27"/>
      <c r="GU41" s="27"/>
      <c r="GV41" s="27"/>
      <c r="GW41" s="27"/>
      <c r="GX41" s="27"/>
      <c r="GY41" s="27"/>
      <c r="GZ41" s="27"/>
      <c r="HA41" s="27"/>
      <c r="HB41" s="27"/>
      <c r="HC41" s="27"/>
      <c r="HD41" s="27"/>
      <c r="HE41" s="27"/>
      <c r="HF41" s="27"/>
      <c r="HG41" s="27"/>
      <c r="HH41" s="27"/>
      <c r="HI41" s="27"/>
      <c r="HJ41" s="27"/>
      <c r="HK41" s="27"/>
      <c r="HL41" s="27"/>
      <c r="HM41" s="27"/>
      <c r="HN41" s="27"/>
      <c r="HO41" s="27"/>
      <c r="HP41" s="27"/>
      <c r="HQ41" s="27"/>
      <c r="HR41" s="27"/>
      <c r="HS41" s="27"/>
      <c r="HT41" s="27"/>
      <c r="HU41" s="27"/>
      <c r="HV41" s="27"/>
      <c r="HW41" s="27"/>
      <c r="HX41" s="27"/>
      <c r="HY41" s="27"/>
      <c r="HZ41" s="27"/>
      <c r="IA41" s="27"/>
      <c r="IB41" s="27"/>
      <c r="IC41" s="27"/>
      <c r="ID41" s="27"/>
      <c r="IE41" s="27"/>
      <c r="IF41" s="27"/>
      <c r="IG41" s="27"/>
      <c r="IH41" s="27"/>
      <c r="II41" s="27"/>
      <c r="IJ41" s="27"/>
      <c r="IK41" s="27"/>
      <c r="IL41" s="27"/>
      <c r="IM41" s="27"/>
      <c r="IN41" s="27"/>
      <c r="IO41" s="27"/>
      <c r="IP41" s="27"/>
      <c r="IQ41" s="27"/>
      <c r="IR41" s="27"/>
      <c r="IS41" s="27"/>
      <c r="IT41" s="27"/>
      <c r="IU41" s="27"/>
      <c r="IV41" s="27"/>
    </row>
    <row r="42" spans="1:256" x14ac:dyDescent="0.25">
      <c r="A42" s="27"/>
      <c r="B42" s="27"/>
      <c r="C42" s="28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  <c r="BW42" s="27"/>
      <c r="BX42" s="27"/>
      <c r="BY42" s="27"/>
      <c r="BZ42" s="27"/>
      <c r="CA42" s="27"/>
      <c r="CB42" s="27"/>
      <c r="CC42" s="27"/>
      <c r="CD42" s="27"/>
      <c r="CE42" s="27"/>
      <c r="CF42" s="27"/>
      <c r="CG42" s="27"/>
      <c r="CH42" s="27"/>
      <c r="CI42" s="27"/>
      <c r="CJ42" s="27"/>
      <c r="CK42" s="27"/>
      <c r="CL42" s="27"/>
      <c r="CM42" s="27"/>
      <c r="CN42" s="27"/>
      <c r="CO42" s="27"/>
      <c r="CP42" s="27"/>
      <c r="CQ42" s="27"/>
      <c r="CR42" s="27"/>
      <c r="CS42" s="27"/>
      <c r="CT42" s="27"/>
      <c r="CU42" s="27"/>
      <c r="CV42" s="27"/>
      <c r="CW42" s="27"/>
      <c r="CX42" s="27"/>
      <c r="CY42" s="27"/>
      <c r="CZ42" s="27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7"/>
      <c r="DL42" s="27"/>
      <c r="DM42" s="27"/>
      <c r="DN42" s="27"/>
      <c r="DO42" s="27"/>
      <c r="DP42" s="27"/>
      <c r="DQ42" s="27"/>
      <c r="DR42" s="27"/>
      <c r="DS42" s="27"/>
      <c r="DT42" s="27"/>
      <c r="DU42" s="27"/>
      <c r="DV42" s="27"/>
      <c r="DW42" s="27"/>
      <c r="DX42" s="27"/>
      <c r="DY42" s="27"/>
      <c r="DZ42" s="27"/>
      <c r="EA42" s="27"/>
      <c r="EB42" s="27"/>
      <c r="EC42" s="27"/>
      <c r="ED42" s="27"/>
      <c r="EE42" s="27"/>
      <c r="EF42" s="27"/>
      <c r="EG42" s="27"/>
      <c r="EH42" s="27"/>
      <c r="EI42" s="27"/>
      <c r="EJ42" s="27"/>
      <c r="EK42" s="27"/>
      <c r="EL42" s="27"/>
      <c r="EM42" s="27"/>
      <c r="EN42" s="27"/>
      <c r="EO42" s="27"/>
      <c r="EP42" s="27"/>
      <c r="EQ42" s="27"/>
      <c r="ER42" s="27"/>
      <c r="ES42" s="27"/>
      <c r="ET42" s="27"/>
      <c r="EU42" s="27"/>
      <c r="EV42" s="27"/>
      <c r="EW42" s="27"/>
      <c r="EX42" s="27"/>
      <c r="EY42" s="27"/>
      <c r="EZ42" s="27"/>
      <c r="FA42" s="27"/>
      <c r="FB42" s="27"/>
      <c r="FC42" s="27"/>
      <c r="FD42" s="27"/>
      <c r="FE42" s="27"/>
      <c r="FF42" s="27"/>
      <c r="FG42" s="27"/>
      <c r="FH42" s="27"/>
      <c r="FI42" s="27"/>
      <c r="FJ42" s="27"/>
      <c r="FK42" s="27"/>
      <c r="FL42" s="27"/>
      <c r="FM42" s="27"/>
      <c r="FN42" s="27"/>
      <c r="FO42" s="27"/>
      <c r="FP42" s="27"/>
      <c r="FQ42" s="27"/>
      <c r="FR42" s="27"/>
      <c r="FS42" s="27"/>
      <c r="FT42" s="27"/>
      <c r="FU42" s="27"/>
      <c r="FV42" s="27"/>
      <c r="FW42" s="27"/>
      <c r="FX42" s="27"/>
      <c r="FY42" s="27"/>
      <c r="FZ42" s="27"/>
      <c r="GA42" s="27"/>
      <c r="GB42" s="27"/>
      <c r="GC42" s="27"/>
      <c r="GD42" s="27"/>
      <c r="GE42" s="27"/>
      <c r="GF42" s="27"/>
      <c r="GG42" s="27"/>
      <c r="GH42" s="27"/>
      <c r="GI42" s="27"/>
      <c r="GJ42" s="27"/>
      <c r="GK42" s="27"/>
      <c r="GL42" s="27"/>
      <c r="GM42" s="27"/>
      <c r="GN42" s="27"/>
      <c r="GO42" s="27"/>
      <c r="GP42" s="27"/>
      <c r="GQ42" s="27"/>
      <c r="GR42" s="27"/>
      <c r="GS42" s="27"/>
      <c r="GT42" s="27"/>
      <c r="GU42" s="27"/>
      <c r="GV42" s="27"/>
      <c r="GW42" s="27"/>
      <c r="GX42" s="27"/>
      <c r="GY42" s="27"/>
      <c r="GZ42" s="27"/>
      <c r="HA42" s="27"/>
      <c r="HB42" s="27"/>
      <c r="HC42" s="27"/>
      <c r="HD42" s="27"/>
      <c r="HE42" s="27"/>
      <c r="HF42" s="27"/>
      <c r="HG42" s="27"/>
      <c r="HH42" s="27"/>
      <c r="HI42" s="27"/>
      <c r="HJ42" s="27"/>
      <c r="HK42" s="27"/>
      <c r="HL42" s="27"/>
      <c r="HM42" s="27"/>
      <c r="HN42" s="27"/>
      <c r="HO42" s="27"/>
      <c r="HP42" s="27"/>
      <c r="HQ42" s="27"/>
      <c r="HR42" s="27"/>
      <c r="HS42" s="27"/>
      <c r="HT42" s="27"/>
      <c r="HU42" s="27"/>
      <c r="HV42" s="27"/>
      <c r="HW42" s="27"/>
      <c r="HX42" s="27"/>
      <c r="HY42" s="27"/>
      <c r="HZ42" s="27"/>
      <c r="IA42" s="27"/>
      <c r="IB42" s="27"/>
      <c r="IC42" s="27"/>
      <c r="ID42" s="27"/>
      <c r="IE42" s="27"/>
      <c r="IF42" s="27"/>
      <c r="IG42" s="27"/>
      <c r="IH42" s="27"/>
      <c r="II42" s="27"/>
      <c r="IJ42" s="27"/>
      <c r="IK42" s="27"/>
      <c r="IL42" s="27"/>
      <c r="IM42" s="27"/>
      <c r="IN42" s="27"/>
      <c r="IO42" s="27"/>
      <c r="IP42" s="27"/>
      <c r="IQ42" s="27"/>
      <c r="IR42" s="27"/>
      <c r="IS42" s="27"/>
      <c r="IT42" s="27"/>
      <c r="IU42" s="27"/>
      <c r="IV42" s="27"/>
    </row>
    <row r="43" spans="1:256" x14ac:dyDescent="0.25">
      <c r="A43" s="27"/>
      <c r="B43" s="27"/>
      <c r="C43" s="28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27"/>
      <c r="AD43" s="27"/>
      <c r="AE43" s="27"/>
      <c r="AF43" s="27"/>
      <c r="AG43" s="27"/>
      <c r="AH43" s="27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  <c r="BW43" s="27"/>
      <c r="BX43" s="27"/>
      <c r="BY43" s="27"/>
      <c r="BZ43" s="27"/>
      <c r="CA43" s="27"/>
      <c r="CB43" s="27"/>
      <c r="CC43" s="27"/>
      <c r="CD43" s="27"/>
      <c r="CE43" s="27"/>
      <c r="CF43" s="27"/>
      <c r="CG43" s="27"/>
      <c r="CH43" s="27"/>
      <c r="CI43" s="27"/>
      <c r="CJ43" s="27"/>
      <c r="CK43" s="27"/>
      <c r="CL43" s="27"/>
      <c r="CM43" s="27"/>
      <c r="CN43" s="27"/>
      <c r="CO43" s="27"/>
      <c r="CP43" s="27"/>
      <c r="CQ43" s="27"/>
      <c r="CR43" s="27"/>
      <c r="CS43" s="27"/>
      <c r="CT43" s="27"/>
      <c r="CU43" s="27"/>
      <c r="CV43" s="27"/>
      <c r="CW43" s="27"/>
      <c r="CX43" s="27"/>
      <c r="CY43" s="27"/>
      <c r="CZ43" s="27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7"/>
      <c r="DL43" s="27"/>
      <c r="DM43" s="27"/>
      <c r="DN43" s="27"/>
      <c r="DO43" s="27"/>
      <c r="DP43" s="27"/>
      <c r="DQ43" s="27"/>
      <c r="DR43" s="27"/>
      <c r="DS43" s="27"/>
      <c r="DT43" s="27"/>
      <c r="DU43" s="27"/>
      <c r="DV43" s="27"/>
      <c r="DW43" s="27"/>
      <c r="DX43" s="27"/>
      <c r="DY43" s="27"/>
      <c r="DZ43" s="27"/>
      <c r="EA43" s="27"/>
      <c r="EB43" s="27"/>
      <c r="EC43" s="27"/>
      <c r="ED43" s="27"/>
      <c r="EE43" s="27"/>
      <c r="EF43" s="27"/>
      <c r="EG43" s="27"/>
      <c r="EH43" s="27"/>
      <c r="EI43" s="27"/>
      <c r="EJ43" s="27"/>
      <c r="EK43" s="27"/>
      <c r="EL43" s="27"/>
      <c r="EM43" s="27"/>
      <c r="EN43" s="27"/>
      <c r="EO43" s="27"/>
      <c r="EP43" s="27"/>
      <c r="EQ43" s="27"/>
      <c r="ER43" s="27"/>
      <c r="ES43" s="27"/>
      <c r="ET43" s="27"/>
      <c r="EU43" s="27"/>
      <c r="EV43" s="27"/>
      <c r="EW43" s="27"/>
      <c r="EX43" s="27"/>
      <c r="EY43" s="27"/>
      <c r="EZ43" s="27"/>
      <c r="FA43" s="27"/>
      <c r="FB43" s="27"/>
      <c r="FC43" s="27"/>
      <c r="FD43" s="27"/>
      <c r="FE43" s="27"/>
      <c r="FF43" s="27"/>
      <c r="FG43" s="27"/>
      <c r="FH43" s="27"/>
      <c r="FI43" s="27"/>
      <c r="FJ43" s="27"/>
      <c r="FK43" s="27"/>
      <c r="FL43" s="27"/>
      <c r="FM43" s="27"/>
      <c r="FN43" s="27"/>
      <c r="FO43" s="27"/>
      <c r="FP43" s="27"/>
      <c r="FQ43" s="27"/>
      <c r="FR43" s="27"/>
      <c r="FS43" s="27"/>
      <c r="FT43" s="27"/>
      <c r="FU43" s="27"/>
      <c r="FV43" s="27"/>
      <c r="FW43" s="27"/>
      <c r="FX43" s="27"/>
      <c r="FY43" s="27"/>
      <c r="FZ43" s="27"/>
      <c r="GA43" s="27"/>
      <c r="GB43" s="27"/>
      <c r="GC43" s="27"/>
      <c r="GD43" s="27"/>
      <c r="GE43" s="27"/>
      <c r="GF43" s="27"/>
      <c r="GG43" s="27"/>
      <c r="GH43" s="27"/>
      <c r="GI43" s="27"/>
      <c r="GJ43" s="27"/>
      <c r="GK43" s="27"/>
      <c r="GL43" s="27"/>
      <c r="GM43" s="27"/>
      <c r="GN43" s="27"/>
      <c r="GO43" s="27"/>
      <c r="GP43" s="27"/>
      <c r="GQ43" s="27"/>
      <c r="GR43" s="27"/>
      <c r="GS43" s="27"/>
      <c r="GT43" s="27"/>
      <c r="GU43" s="27"/>
      <c r="GV43" s="27"/>
      <c r="GW43" s="27"/>
      <c r="GX43" s="27"/>
      <c r="GY43" s="27"/>
      <c r="GZ43" s="27"/>
      <c r="HA43" s="27"/>
      <c r="HB43" s="27"/>
      <c r="HC43" s="27"/>
      <c r="HD43" s="27"/>
      <c r="HE43" s="27"/>
      <c r="HF43" s="27"/>
      <c r="HG43" s="27"/>
      <c r="HH43" s="27"/>
      <c r="HI43" s="27"/>
      <c r="HJ43" s="27"/>
      <c r="HK43" s="27"/>
      <c r="HL43" s="27"/>
      <c r="HM43" s="27"/>
      <c r="HN43" s="27"/>
      <c r="HO43" s="27"/>
      <c r="HP43" s="27"/>
      <c r="HQ43" s="27"/>
      <c r="HR43" s="27"/>
      <c r="HS43" s="27"/>
      <c r="HT43" s="27"/>
      <c r="HU43" s="27"/>
      <c r="HV43" s="27"/>
      <c r="HW43" s="27"/>
      <c r="HX43" s="27"/>
      <c r="HY43" s="27"/>
      <c r="HZ43" s="27"/>
      <c r="IA43" s="27"/>
      <c r="IB43" s="27"/>
      <c r="IC43" s="27"/>
      <c r="ID43" s="27"/>
      <c r="IE43" s="27"/>
      <c r="IF43" s="27"/>
      <c r="IG43" s="27"/>
      <c r="IH43" s="27"/>
      <c r="II43" s="27"/>
      <c r="IJ43" s="27"/>
      <c r="IK43" s="27"/>
      <c r="IL43" s="27"/>
      <c r="IM43" s="27"/>
      <c r="IN43" s="27"/>
      <c r="IO43" s="27"/>
      <c r="IP43" s="27"/>
      <c r="IQ43" s="27"/>
      <c r="IR43" s="27"/>
      <c r="IS43" s="27"/>
      <c r="IT43" s="27"/>
      <c r="IU43" s="27"/>
      <c r="IV43" s="27"/>
    </row>
    <row r="44" spans="1:256" x14ac:dyDescent="0.25">
      <c r="A44" s="27"/>
      <c r="B44" s="27"/>
      <c r="C44" s="28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  <c r="BW44" s="27"/>
      <c r="BX44" s="27"/>
      <c r="BY44" s="27"/>
      <c r="BZ44" s="27"/>
      <c r="CA44" s="27"/>
      <c r="CB44" s="27"/>
      <c r="CC44" s="27"/>
      <c r="CD44" s="27"/>
      <c r="CE44" s="27"/>
      <c r="CF44" s="27"/>
      <c r="CG44" s="27"/>
      <c r="CH44" s="27"/>
      <c r="CI44" s="27"/>
      <c r="CJ44" s="27"/>
      <c r="CK44" s="27"/>
      <c r="CL44" s="27"/>
      <c r="CM44" s="27"/>
      <c r="CN44" s="27"/>
      <c r="CO44" s="27"/>
      <c r="CP44" s="27"/>
      <c r="CQ44" s="27"/>
      <c r="CR44" s="27"/>
      <c r="CS44" s="27"/>
      <c r="CT44" s="27"/>
      <c r="CU44" s="27"/>
      <c r="CV44" s="27"/>
      <c r="CW44" s="27"/>
      <c r="CX44" s="27"/>
      <c r="CY44" s="27"/>
      <c r="CZ44" s="27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7"/>
      <c r="DL44" s="27"/>
      <c r="DM44" s="27"/>
      <c r="DN44" s="27"/>
      <c r="DO44" s="27"/>
      <c r="DP44" s="27"/>
      <c r="DQ44" s="27"/>
      <c r="DR44" s="27"/>
      <c r="DS44" s="27"/>
      <c r="DT44" s="27"/>
      <c r="DU44" s="27"/>
      <c r="DV44" s="27"/>
      <c r="DW44" s="27"/>
      <c r="DX44" s="27"/>
      <c r="DY44" s="27"/>
      <c r="DZ44" s="27"/>
      <c r="EA44" s="27"/>
      <c r="EB44" s="27"/>
      <c r="EC44" s="27"/>
      <c r="ED44" s="27"/>
      <c r="EE44" s="27"/>
      <c r="EF44" s="27"/>
      <c r="EG44" s="27"/>
      <c r="EH44" s="27"/>
      <c r="EI44" s="27"/>
      <c r="EJ44" s="27"/>
      <c r="EK44" s="27"/>
      <c r="EL44" s="27"/>
      <c r="EM44" s="27"/>
      <c r="EN44" s="27"/>
      <c r="EO44" s="27"/>
      <c r="EP44" s="27"/>
      <c r="EQ44" s="27"/>
      <c r="ER44" s="27"/>
      <c r="ES44" s="27"/>
      <c r="ET44" s="27"/>
      <c r="EU44" s="27"/>
      <c r="EV44" s="27"/>
      <c r="EW44" s="27"/>
      <c r="EX44" s="27"/>
      <c r="EY44" s="27"/>
      <c r="EZ44" s="27"/>
      <c r="FA44" s="27"/>
      <c r="FB44" s="27"/>
      <c r="FC44" s="27"/>
      <c r="FD44" s="27"/>
      <c r="FE44" s="27"/>
      <c r="FF44" s="27"/>
      <c r="FG44" s="27"/>
      <c r="FH44" s="27"/>
      <c r="FI44" s="27"/>
      <c r="FJ44" s="27"/>
      <c r="FK44" s="27"/>
      <c r="FL44" s="27"/>
      <c r="FM44" s="27"/>
      <c r="FN44" s="27"/>
      <c r="FO44" s="27"/>
      <c r="FP44" s="27"/>
      <c r="FQ44" s="27"/>
      <c r="FR44" s="27"/>
      <c r="FS44" s="27"/>
      <c r="FT44" s="27"/>
      <c r="FU44" s="27"/>
      <c r="FV44" s="27"/>
      <c r="FW44" s="27"/>
      <c r="FX44" s="27"/>
      <c r="FY44" s="27"/>
      <c r="FZ44" s="27"/>
      <c r="GA44" s="27"/>
      <c r="GB44" s="27"/>
      <c r="GC44" s="27"/>
      <c r="GD44" s="27"/>
      <c r="GE44" s="27"/>
      <c r="GF44" s="27"/>
      <c r="GG44" s="27"/>
      <c r="GH44" s="27"/>
      <c r="GI44" s="27"/>
      <c r="GJ44" s="27"/>
      <c r="GK44" s="27"/>
      <c r="GL44" s="27"/>
      <c r="GM44" s="27"/>
      <c r="GN44" s="27"/>
      <c r="GO44" s="27"/>
      <c r="GP44" s="27"/>
      <c r="GQ44" s="27"/>
      <c r="GR44" s="27"/>
      <c r="GS44" s="27"/>
      <c r="GT44" s="27"/>
      <c r="GU44" s="27"/>
      <c r="GV44" s="27"/>
      <c r="GW44" s="27"/>
      <c r="GX44" s="27"/>
      <c r="GY44" s="27"/>
      <c r="GZ44" s="27"/>
      <c r="HA44" s="27"/>
      <c r="HB44" s="27"/>
      <c r="HC44" s="27"/>
      <c r="HD44" s="27"/>
      <c r="HE44" s="27"/>
      <c r="HF44" s="27"/>
      <c r="HG44" s="27"/>
      <c r="HH44" s="27"/>
      <c r="HI44" s="27"/>
      <c r="HJ44" s="27"/>
      <c r="HK44" s="27"/>
      <c r="HL44" s="27"/>
      <c r="HM44" s="27"/>
      <c r="HN44" s="27"/>
      <c r="HO44" s="27"/>
      <c r="HP44" s="27"/>
      <c r="HQ44" s="27"/>
      <c r="HR44" s="27"/>
      <c r="HS44" s="27"/>
      <c r="HT44" s="27"/>
      <c r="HU44" s="27"/>
      <c r="HV44" s="27"/>
      <c r="HW44" s="27"/>
      <c r="HX44" s="27"/>
      <c r="HY44" s="27"/>
      <c r="HZ44" s="27"/>
      <c r="IA44" s="27"/>
      <c r="IB44" s="27"/>
      <c r="IC44" s="27"/>
      <c r="ID44" s="27"/>
      <c r="IE44" s="27"/>
      <c r="IF44" s="27"/>
      <c r="IG44" s="27"/>
      <c r="IH44" s="27"/>
      <c r="II44" s="27"/>
      <c r="IJ44" s="27"/>
      <c r="IK44" s="27"/>
      <c r="IL44" s="27"/>
      <c r="IM44" s="27"/>
      <c r="IN44" s="27"/>
      <c r="IO44" s="27"/>
      <c r="IP44" s="27"/>
      <c r="IQ44" s="27"/>
      <c r="IR44" s="27"/>
      <c r="IS44" s="27"/>
      <c r="IT44" s="27"/>
      <c r="IU44" s="27"/>
      <c r="IV44" s="27"/>
    </row>
    <row r="45" spans="1:256" x14ac:dyDescent="0.25">
      <c r="A45" s="27"/>
      <c r="B45" s="27"/>
      <c r="C45" s="28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  <c r="BW45" s="27"/>
      <c r="BX45" s="27"/>
      <c r="BY45" s="27"/>
      <c r="BZ45" s="27"/>
      <c r="CA45" s="27"/>
      <c r="CB45" s="27"/>
      <c r="CC45" s="27"/>
      <c r="CD45" s="27"/>
      <c r="CE45" s="27"/>
      <c r="CF45" s="27"/>
      <c r="CG45" s="27"/>
      <c r="CH45" s="27"/>
      <c r="CI45" s="27"/>
      <c r="CJ45" s="27"/>
      <c r="CK45" s="27"/>
      <c r="CL45" s="27"/>
      <c r="CM45" s="27"/>
      <c r="CN45" s="27"/>
      <c r="CO45" s="27"/>
      <c r="CP45" s="27"/>
      <c r="CQ45" s="27"/>
      <c r="CR45" s="27"/>
      <c r="CS45" s="27"/>
      <c r="CT45" s="27"/>
      <c r="CU45" s="27"/>
      <c r="CV45" s="27"/>
      <c r="CW45" s="27"/>
      <c r="CX45" s="27"/>
      <c r="CY45" s="27"/>
      <c r="CZ45" s="27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7"/>
      <c r="DL45" s="27"/>
      <c r="DM45" s="27"/>
      <c r="DN45" s="27"/>
      <c r="DO45" s="27"/>
      <c r="DP45" s="27"/>
      <c r="DQ45" s="27"/>
      <c r="DR45" s="27"/>
      <c r="DS45" s="27"/>
      <c r="DT45" s="27"/>
      <c r="DU45" s="27"/>
      <c r="DV45" s="27"/>
      <c r="DW45" s="27"/>
      <c r="DX45" s="27"/>
      <c r="DY45" s="27"/>
      <c r="DZ45" s="27"/>
      <c r="EA45" s="27"/>
      <c r="EB45" s="27"/>
      <c r="EC45" s="27"/>
      <c r="ED45" s="27"/>
      <c r="EE45" s="27"/>
      <c r="EF45" s="27"/>
      <c r="EG45" s="27"/>
      <c r="EH45" s="27"/>
      <c r="EI45" s="27"/>
      <c r="EJ45" s="27"/>
      <c r="EK45" s="27"/>
      <c r="EL45" s="27"/>
      <c r="EM45" s="27"/>
      <c r="EN45" s="27"/>
      <c r="EO45" s="27"/>
      <c r="EP45" s="27"/>
      <c r="EQ45" s="27"/>
      <c r="ER45" s="27"/>
      <c r="ES45" s="27"/>
      <c r="ET45" s="27"/>
      <c r="EU45" s="27"/>
      <c r="EV45" s="27"/>
      <c r="EW45" s="27"/>
      <c r="EX45" s="27"/>
      <c r="EY45" s="27"/>
      <c r="EZ45" s="27"/>
      <c r="FA45" s="27"/>
      <c r="FB45" s="27"/>
      <c r="FC45" s="27"/>
      <c r="FD45" s="27"/>
      <c r="FE45" s="27"/>
      <c r="FF45" s="27"/>
      <c r="FG45" s="27"/>
      <c r="FH45" s="27"/>
      <c r="FI45" s="27"/>
      <c r="FJ45" s="27"/>
      <c r="FK45" s="27"/>
      <c r="FL45" s="27"/>
      <c r="FM45" s="27"/>
      <c r="FN45" s="27"/>
      <c r="FO45" s="27"/>
      <c r="FP45" s="27"/>
      <c r="FQ45" s="27"/>
      <c r="FR45" s="27"/>
      <c r="FS45" s="27"/>
      <c r="FT45" s="27"/>
      <c r="FU45" s="27"/>
      <c r="FV45" s="27"/>
      <c r="FW45" s="27"/>
      <c r="FX45" s="27"/>
      <c r="FY45" s="27"/>
      <c r="FZ45" s="27"/>
      <c r="GA45" s="27"/>
      <c r="GB45" s="27"/>
      <c r="GC45" s="27"/>
      <c r="GD45" s="27"/>
      <c r="GE45" s="27"/>
      <c r="GF45" s="27"/>
      <c r="GG45" s="27"/>
      <c r="GH45" s="27"/>
      <c r="GI45" s="27"/>
      <c r="GJ45" s="27"/>
      <c r="GK45" s="27"/>
      <c r="GL45" s="27"/>
      <c r="GM45" s="27"/>
      <c r="GN45" s="27"/>
      <c r="GO45" s="27"/>
      <c r="GP45" s="27"/>
      <c r="GQ45" s="27"/>
      <c r="GR45" s="27"/>
      <c r="GS45" s="27"/>
      <c r="GT45" s="27"/>
      <c r="GU45" s="27"/>
      <c r="GV45" s="27"/>
      <c r="GW45" s="27"/>
      <c r="GX45" s="27"/>
      <c r="GY45" s="27"/>
      <c r="GZ45" s="27"/>
      <c r="HA45" s="27"/>
      <c r="HB45" s="27"/>
      <c r="HC45" s="27"/>
      <c r="HD45" s="27"/>
      <c r="HE45" s="27"/>
      <c r="HF45" s="27"/>
      <c r="HG45" s="27"/>
      <c r="HH45" s="27"/>
      <c r="HI45" s="27"/>
      <c r="HJ45" s="27"/>
      <c r="HK45" s="27"/>
      <c r="HL45" s="27"/>
      <c r="HM45" s="27"/>
      <c r="HN45" s="27"/>
      <c r="HO45" s="27"/>
      <c r="HP45" s="27"/>
      <c r="HQ45" s="27"/>
      <c r="HR45" s="27"/>
      <c r="HS45" s="27"/>
      <c r="HT45" s="27"/>
      <c r="HU45" s="27"/>
      <c r="HV45" s="27"/>
      <c r="HW45" s="27"/>
      <c r="HX45" s="27"/>
      <c r="HY45" s="27"/>
      <c r="HZ45" s="27"/>
      <c r="IA45" s="27"/>
      <c r="IB45" s="27"/>
      <c r="IC45" s="27"/>
      <c r="ID45" s="27"/>
      <c r="IE45" s="27"/>
      <c r="IF45" s="27"/>
      <c r="IG45" s="27"/>
      <c r="IH45" s="27"/>
      <c r="II45" s="27"/>
      <c r="IJ45" s="27"/>
      <c r="IK45" s="27"/>
      <c r="IL45" s="27"/>
      <c r="IM45" s="27"/>
      <c r="IN45" s="27"/>
      <c r="IO45" s="27"/>
      <c r="IP45" s="27"/>
      <c r="IQ45" s="27"/>
      <c r="IR45" s="27"/>
      <c r="IS45" s="27"/>
      <c r="IT45" s="27"/>
      <c r="IU45" s="27"/>
      <c r="IV45" s="27"/>
    </row>
    <row r="46" spans="1:256" x14ac:dyDescent="0.25">
      <c r="A46" s="27"/>
      <c r="B46" s="27"/>
      <c r="C46" s="28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27"/>
      <c r="DO46" s="27"/>
      <c r="DP46" s="27"/>
      <c r="DQ46" s="27"/>
      <c r="DR46" s="27"/>
      <c r="DS46" s="27"/>
      <c r="DT46" s="27"/>
      <c r="DU46" s="27"/>
      <c r="DV46" s="27"/>
      <c r="DW46" s="27"/>
      <c r="DX46" s="27"/>
      <c r="DY46" s="27"/>
      <c r="DZ46" s="27"/>
      <c r="EA46" s="27"/>
      <c r="EB46" s="27"/>
      <c r="EC46" s="27"/>
      <c r="ED46" s="27"/>
      <c r="EE46" s="27"/>
      <c r="EF46" s="27"/>
      <c r="EG46" s="27"/>
      <c r="EH46" s="27"/>
      <c r="EI46" s="27"/>
      <c r="EJ46" s="27"/>
      <c r="EK46" s="27"/>
      <c r="EL46" s="27"/>
      <c r="EM46" s="27"/>
      <c r="EN46" s="27"/>
      <c r="EO46" s="27"/>
      <c r="EP46" s="27"/>
      <c r="EQ46" s="27"/>
      <c r="ER46" s="27"/>
      <c r="ES46" s="27"/>
      <c r="ET46" s="27"/>
      <c r="EU46" s="27"/>
      <c r="EV46" s="27"/>
      <c r="EW46" s="27"/>
      <c r="EX46" s="27"/>
      <c r="EY46" s="27"/>
      <c r="EZ46" s="27"/>
      <c r="FA46" s="27"/>
      <c r="FB46" s="27"/>
      <c r="FC46" s="27"/>
      <c r="FD46" s="27"/>
      <c r="FE46" s="27"/>
      <c r="FF46" s="27"/>
      <c r="FG46" s="27"/>
      <c r="FH46" s="27"/>
      <c r="FI46" s="27"/>
      <c r="FJ46" s="27"/>
      <c r="FK46" s="27"/>
      <c r="FL46" s="27"/>
      <c r="FM46" s="27"/>
      <c r="FN46" s="27"/>
      <c r="FO46" s="27"/>
      <c r="FP46" s="27"/>
      <c r="FQ46" s="27"/>
      <c r="FR46" s="27"/>
      <c r="FS46" s="27"/>
      <c r="FT46" s="27"/>
      <c r="FU46" s="27"/>
      <c r="FV46" s="27"/>
      <c r="FW46" s="27"/>
      <c r="FX46" s="27"/>
      <c r="FY46" s="27"/>
      <c r="FZ46" s="27"/>
      <c r="GA46" s="27"/>
      <c r="GB46" s="27"/>
      <c r="GC46" s="27"/>
      <c r="GD46" s="27"/>
      <c r="GE46" s="27"/>
      <c r="GF46" s="27"/>
      <c r="GG46" s="27"/>
      <c r="GH46" s="27"/>
      <c r="GI46" s="27"/>
      <c r="GJ46" s="27"/>
      <c r="GK46" s="27"/>
      <c r="GL46" s="27"/>
      <c r="GM46" s="27"/>
      <c r="GN46" s="27"/>
      <c r="GO46" s="27"/>
      <c r="GP46" s="27"/>
      <c r="GQ46" s="27"/>
      <c r="GR46" s="27"/>
      <c r="GS46" s="27"/>
      <c r="GT46" s="27"/>
      <c r="GU46" s="27"/>
      <c r="GV46" s="27"/>
      <c r="GW46" s="27"/>
      <c r="GX46" s="27"/>
      <c r="GY46" s="27"/>
      <c r="GZ46" s="27"/>
      <c r="HA46" s="27"/>
      <c r="HB46" s="27"/>
      <c r="HC46" s="27"/>
      <c r="HD46" s="27"/>
      <c r="HE46" s="27"/>
      <c r="HF46" s="27"/>
      <c r="HG46" s="27"/>
      <c r="HH46" s="27"/>
      <c r="HI46" s="27"/>
      <c r="HJ46" s="27"/>
      <c r="HK46" s="27"/>
      <c r="HL46" s="27"/>
      <c r="HM46" s="27"/>
      <c r="HN46" s="27"/>
      <c r="HO46" s="27"/>
      <c r="HP46" s="27"/>
      <c r="HQ46" s="27"/>
      <c r="HR46" s="27"/>
      <c r="HS46" s="27"/>
      <c r="HT46" s="27"/>
      <c r="HU46" s="27"/>
      <c r="HV46" s="27"/>
      <c r="HW46" s="27"/>
      <c r="HX46" s="27"/>
      <c r="HY46" s="27"/>
      <c r="HZ46" s="27"/>
      <c r="IA46" s="27"/>
      <c r="IB46" s="27"/>
      <c r="IC46" s="27"/>
      <c r="ID46" s="27"/>
      <c r="IE46" s="27"/>
      <c r="IF46" s="27"/>
      <c r="IG46" s="27"/>
      <c r="IH46" s="27"/>
      <c r="II46" s="27"/>
      <c r="IJ46" s="27"/>
      <c r="IK46" s="27"/>
      <c r="IL46" s="27"/>
      <c r="IM46" s="27"/>
      <c r="IN46" s="27"/>
      <c r="IO46" s="27"/>
      <c r="IP46" s="27"/>
      <c r="IQ46" s="27"/>
      <c r="IR46" s="27"/>
      <c r="IS46" s="27"/>
      <c r="IT46" s="27"/>
      <c r="IU46" s="27"/>
      <c r="IV46" s="27"/>
    </row>
    <row r="47" spans="1:256" x14ac:dyDescent="0.25">
      <c r="A47" s="27"/>
      <c r="B47" s="27"/>
      <c r="C47" s="28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  <c r="DU47" s="27"/>
      <c r="DV47" s="27"/>
      <c r="DW47" s="27"/>
      <c r="DX47" s="27"/>
      <c r="DY47" s="27"/>
      <c r="DZ47" s="27"/>
      <c r="EA47" s="27"/>
      <c r="EB47" s="27"/>
      <c r="EC47" s="27"/>
      <c r="ED47" s="27"/>
      <c r="EE47" s="27"/>
      <c r="EF47" s="27"/>
      <c r="EG47" s="27"/>
      <c r="EH47" s="27"/>
      <c r="EI47" s="27"/>
      <c r="EJ47" s="27"/>
      <c r="EK47" s="27"/>
      <c r="EL47" s="27"/>
      <c r="EM47" s="27"/>
      <c r="EN47" s="27"/>
      <c r="EO47" s="27"/>
      <c r="EP47" s="27"/>
      <c r="EQ47" s="27"/>
      <c r="ER47" s="27"/>
      <c r="ES47" s="27"/>
      <c r="ET47" s="27"/>
      <c r="EU47" s="27"/>
      <c r="EV47" s="27"/>
      <c r="EW47" s="27"/>
      <c r="EX47" s="27"/>
      <c r="EY47" s="27"/>
      <c r="EZ47" s="27"/>
      <c r="FA47" s="27"/>
      <c r="FB47" s="27"/>
      <c r="FC47" s="27"/>
      <c r="FD47" s="27"/>
      <c r="FE47" s="27"/>
      <c r="FF47" s="27"/>
      <c r="FG47" s="27"/>
      <c r="FH47" s="27"/>
      <c r="FI47" s="27"/>
      <c r="FJ47" s="27"/>
      <c r="FK47" s="27"/>
      <c r="FL47" s="27"/>
      <c r="FM47" s="27"/>
      <c r="FN47" s="27"/>
      <c r="FO47" s="27"/>
      <c r="FP47" s="27"/>
      <c r="FQ47" s="27"/>
      <c r="FR47" s="27"/>
      <c r="FS47" s="27"/>
      <c r="FT47" s="27"/>
      <c r="FU47" s="27"/>
      <c r="FV47" s="27"/>
      <c r="FW47" s="27"/>
      <c r="FX47" s="27"/>
      <c r="FY47" s="27"/>
      <c r="FZ47" s="27"/>
      <c r="GA47" s="27"/>
      <c r="GB47" s="27"/>
      <c r="GC47" s="27"/>
      <c r="GD47" s="27"/>
      <c r="GE47" s="27"/>
      <c r="GF47" s="27"/>
      <c r="GG47" s="27"/>
      <c r="GH47" s="27"/>
      <c r="GI47" s="27"/>
      <c r="GJ47" s="27"/>
      <c r="GK47" s="27"/>
      <c r="GL47" s="27"/>
      <c r="GM47" s="27"/>
      <c r="GN47" s="27"/>
      <c r="GO47" s="27"/>
      <c r="GP47" s="27"/>
      <c r="GQ47" s="27"/>
      <c r="GR47" s="27"/>
      <c r="GS47" s="27"/>
      <c r="GT47" s="27"/>
      <c r="GU47" s="27"/>
      <c r="GV47" s="27"/>
      <c r="GW47" s="27"/>
      <c r="GX47" s="27"/>
      <c r="GY47" s="27"/>
      <c r="GZ47" s="27"/>
      <c r="HA47" s="27"/>
      <c r="HB47" s="27"/>
      <c r="HC47" s="27"/>
      <c r="HD47" s="27"/>
      <c r="HE47" s="27"/>
      <c r="HF47" s="27"/>
      <c r="HG47" s="27"/>
      <c r="HH47" s="27"/>
      <c r="HI47" s="27"/>
      <c r="HJ47" s="27"/>
      <c r="HK47" s="27"/>
      <c r="HL47" s="27"/>
      <c r="HM47" s="27"/>
      <c r="HN47" s="27"/>
      <c r="HO47" s="27"/>
      <c r="HP47" s="27"/>
      <c r="HQ47" s="27"/>
      <c r="HR47" s="27"/>
      <c r="HS47" s="27"/>
      <c r="HT47" s="27"/>
      <c r="HU47" s="27"/>
      <c r="HV47" s="27"/>
      <c r="HW47" s="27"/>
      <c r="HX47" s="27"/>
      <c r="HY47" s="27"/>
      <c r="HZ47" s="27"/>
      <c r="IA47" s="27"/>
      <c r="IB47" s="27"/>
      <c r="IC47" s="27"/>
      <c r="ID47" s="27"/>
      <c r="IE47" s="27"/>
      <c r="IF47" s="27"/>
      <c r="IG47" s="27"/>
      <c r="IH47" s="27"/>
      <c r="II47" s="27"/>
      <c r="IJ47" s="27"/>
      <c r="IK47" s="27"/>
      <c r="IL47" s="27"/>
      <c r="IM47" s="27"/>
      <c r="IN47" s="27"/>
      <c r="IO47" s="27"/>
      <c r="IP47" s="27"/>
      <c r="IQ47" s="27"/>
      <c r="IR47" s="27"/>
      <c r="IS47" s="27"/>
      <c r="IT47" s="27"/>
      <c r="IU47" s="27"/>
      <c r="IV47" s="27"/>
    </row>
    <row r="48" spans="1:256" x14ac:dyDescent="0.25">
      <c r="A48" s="27"/>
      <c r="B48" s="27"/>
      <c r="C48" s="28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27"/>
      <c r="AF48" s="27"/>
      <c r="AG48" s="27"/>
      <c r="AH48" s="27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7"/>
      <c r="EU48" s="27"/>
      <c r="EV48" s="27"/>
      <c r="EW48" s="27"/>
      <c r="EX48" s="27"/>
      <c r="EY48" s="27"/>
      <c r="EZ48" s="27"/>
      <c r="FA48" s="27"/>
      <c r="FB48" s="27"/>
      <c r="FC48" s="27"/>
      <c r="FD48" s="27"/>
      <c r="FE48" s="27"/>
      <c r="FF48" s="27"/>
      <c r="FG48" s="27"/>
      <c r="FH48" s="27"/>
      <c r="FI48" s="27"/>
      <c r="FJ48" s="27"/>
      <c r="FK48" s="27"/>
      <c r="FL48" s="27"/>
      <c r="FM48" s="27"/>
      <c r="FN48" s="27"/>
      <c r="FO48" s="27"/>
      <c r="FP48" s="27"/>
      <c r="FQ48" s="27"/>
      <c r="FR48" s="27"/>
      <c r="FS48" s="27"/>
      <c r="FT48" s="27"/>
      <c r="FU48" s="27"/>
      <c r="FV48" s="27"/>
      <c r="FW48" s="27"/>
      <c r="FX48" s="27"/>
      <c r="FY48" s="27"/>
      <c r="FZ48" s="27"/>
      <c r="GA48" s="27"/>
      <c r="GB48" s="27"/>
      <c r="GC48" s="27"/>
      <c r="GD48" s="27"/>
      <c r="GE48" s="27"/>
      <c r="GF48" s="27"/>
      <c r="GG48" s="27"/>
      <c r="GH48" s="27"/>
      <c r="GI48" s="27"/>
      <c r="GJ48" s="27"/>
      <c r="GK48" s="27"/>
      <c r="GL48" s="27"/>
      <c r="GM48" s="27"/>
      <c r="GN48" s="27"/>
      <c r="GO48" s="27"/>
      <c r="GP48" s="27"/>
      <c r="GQ48" s="27"/>
      <c r="GR48" s="27"/>
      <c r="GS48" s="27"/>
      <c r="GT48" s="27"/>
      <c r="GU48" s="27"/>
      <c r="GV48" s="27"/>
      <c r="GW48" s="27"/>
      <c r="GX48" s="27"/>
      <c r="GY48" s="27"/>
      <c r="GZ48" s="27"/>
      <c r="HA48" s="27"/>
      <c r="HB48" s="27"/>
      <c r="HC48" s="27"/>
      <c r="HD48" s="27"/>
      <c r="HE48" s="27"/>
      <c r="HF48" s="27"/>
      <c r="HG48" s="27"/>
      <c r="HH48" s="27"/>
      <c r="HI48" s="27"/>
      <c r="HJ48" s="27"/>
      <c r="HK48" s="27"/>
      <c r="HL48" s="27"/>
      <c r="HM48" s="27"/>
      <c r="HN48" s="27"/>
      <c r="HO48" s="27"/>
      <c r="HP48" s="27"/>
      <c r="HQ48" s="27"/>
      <c r="HR48" s="27"/>
      <c r="HS48" s="27"/>
      <c r="HT48" s="27"/>
      <c r="HU48" s="27"/>
      <c r="HV48" s="27"/>
      <c r="HW48" s="27"/>
      <c r="HX48" s="27"/>
      <c r="HY48" s="27"/>
      <c r="HZ48" s="27"/>
      <c r="IA48" s="27"/>
      <c r="IB48" s="27"/>
      <c r="IC48" s="27"/>
      <c r="ID48" s="27"/>
      <c r="IE48" s="27"/>
      <c r="IF48" s="27"/>
      <c r="IG48" s="27"/>
      <c r="IH48" s="27"/>
      <c r="II48" s="27"/>
      <c r="IJ48" s="27"/>
      <c r="IK48" s="27"/>
      <c r="IL48" s="27"/>
      <c r="IM48" s="27"/>
      <c r="IN48" s="27"/>
      <c r="IO48" s="27"/>
      <c r="IP48" s="27"/>
      <c r="IQ48" s="27"/>
      <c r="IR48" s="27"/>
      <c r="IS48" s="27"/>
      <c r="IT48" s="27"/>
      <c r="IU48" s="27"/>
      <c r="IV48" s="27"/>
    </row>
    <row r="49" spans="1:256" x14ac:dyDescent="0.25">
      <c r="A49" s="27"/>
      <c r="B49" s="27"/>
      <c r="C49" s="28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  <c r="BW49" s="27"/>
      <c r="BX49" s="27"/>
      <c r="BY49" s="27"/>
      <c r="BZ49" s="27"/>
      <c r="CA49" s="27"/>
      <c r="CB49" s="27"/>
      <c r="CC49" s="27"/>
      <c r="CD49" s="27"/>
      <c r="CE49" s="27"/>
      <c r="CF49" s="27"/>
      <c r="CG49" s="27"/>
      <c r="CH49" s="27"/>
      <c r="CI49" s="27"/>
      <c r="CJ49" s="27"/>
      <c r="CK49" s="27"/>
      <c r="CL49" s="27"/>
      <c r="CM49" s="27"/>
      <c r="CN49" s="27"/>
      <c r="CO49" s="27"/>
      <c r="CP49" s="27"/>
      <c r="CQ49" s="27"/>
      <c r="CR49" s="27"/>
      <c r="CS49" s="27"/>
      <c r="CT49" s="27"/>
      <c r="CU49" s="27"/>
      <c r="CV49" s="27"/>
      <c r="CW49" s="27"/>
      <c r="CX49" s="27"/>
      <c r="CY49" s="27"/>
      <c r="CZ49" s="27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7"/>
      <c r="DL49" s="27"/>
      <c r="DM49" s="27"/>
      <c r="DN49" s="27"/>
      <c r="DO49" s="27"/>
      <c r="DP49" s="27"/>
      <c r="DQ49" s="27"/>
      <c r="DR49" s="27"/>
      <c r="DS49" s="27"/>
      <c r="DT49" s="27"/>
      <c r="DU49" s="27"/>
      <c r="DV49" s="27"/>
      <c r="DW49" s="27"/>
      <c r="DX49" s="27"/>
      <c r="DY49" s="27"/>
      <c r="DZ49" s="27"/>
      <c r="EA49" s="27"/>
      <c r="EB49" s="27"/>
      <c r="EC49" s="27"/>
      <c r="ED49" s="27"/>
      <c r="EE49" s="27"/>
      <c r="EF49" s="27"/>
      <c r="EG49" s="27"/>
      <c r="EH49" s="27"/>
      <c r="EI49" s="27"/>
      <c r="EJ49" s="27"/>
      <c r="EK49" s="27"/>
      <c r="EL49" s="27"/>
      <c r="EM49" s="27"/>
      <c r="EN49" s="27"/>
      <c r="EO49" s="27"/>
      <c r="EP49" s="27"/>
      <c r="EQ49" s="27"/>
      <c r="ER49" s="27"/>
      <c r="ES49" s="27"/>
      <c r="ET49" s="27"/>
      <c r="EU49" s="27"/>
      <c r="EV49" s="27"/>
      <c r="EW49" s="27"/>
      <c r="EX49" s="27"/>
      <c r="EY49" s="27"/>
      <c r="EZ49" s="27"/>
      <c r="FA49" s="27"/>
      <c r="FB49" s="27"/>
      <c r="FC49" s="27"/>
      <c r="FD49" s="27"/>
      <c r="FE49" s="27"/>
      <c r="FF49" s="27"/>
      <c r="FG49" s="27"/>
      <c r="FH49" s="27"/>
      <c r="FI49" s="27"/>
      <c r="FJ49" s="27"/>
      <c r="FK49" s="27"/>
      <c r="FL49" s="27"/>
      <c r="FM49" s="27"/>
      <c r="FN49" s="27"/>
      <c r="FO49" s="27"/>
      <c r="FP49" s="27"/>
      <c r="FQ49" s="27"/>
      <c r="FR49" s="27"/>
      <c r="FS49" s="27"/>
      <c r="FT49" s="27"/>
      <c r="FU49" s="27"/>
      <c r="FV49" s="27"/>
      <c r="FW49" s="27"/>
      <c r="FX49" s="27"/>
      <c r="FY49" s="27"/>
      <c r="FZ49" s="27"/>
      <c r="GA49" s="27"/>
      <c r="GB49" s="27"/>
      <c r="GC49" s="27"/>
      <c r="GD49" s="27"/>
      <c r="GE49" s="27"/>
      <c r="GF49" s="27"/>
      <c r="GG49" s="27"/>
      <c r="GH49" s="27"/>
      <c r="GI49" s="27"/>
      <c r="GJ49" s="27"/>
      <c r="GK49" s="27"/>
      <c r="GL49" s="27"/>
      <c r="GM49" s="27"/>
      <c r="GN49" s="27"/>
      <c r="GO49" s="27"/>
      <c r="GP49" s="27"/>
      <c r="GQ49" s="27"/>
      <c r="GR49" s="27"/>
      <c r="GS49" s="27"/>
      <c r="GT49" s="27"/>
      <c r="GU49" s="27"/>
      <c r="GV49" s="27"/>
      <c r="GW49" s="27"/>
      <c r="GX49" s="27"/>
      <c r="GY49" s="27"/>
      <c r="GZ49" s="27"/>
      <c r="HA49" s="27"/>
      <c r="HB49" s="27"/>
      <c r="HC49" s="27"/>
      <c r="HD49" s="27"/>
      <c r="HE49" s="27"/>
      <c r="HF49" s="27"/>
      <c r="HG49" s="27"/>
      <c r="HH49" s="27"/>
      <c r="HI49" s="27"/>
      <c r="HJ49" s="27"/>
      <c r="HK49" s="27"/>
      <c r="HL49" s="27"/>
      <c r="HM49" s="27"/>
      <c r="HN49" s="27"/>
      <c r="HO49" s="27"/>
      <c r="HP49" s="27"/>
      <c r="HQ49" s="27"/>
      <c r="HR49" s="27"/>
      <c r="HS49" s="27"/>
      <c r="HT49" s="27"/>
      <c r="HU49" s="27"/>
      <c r="HV49" s="27"/>
      <c r="HW49" s="27"/>
      <c r="HX49" s="27"/>
      <c r="HY49" s="27"/>
      <c r="HZ49" s="27"/>
      <c r="IA49" s="27"/>
      <c r="IB49" s="27"/>
      <c r="IC49" s="27"/>
      <c r="ID49" s="27"/>
      <c r="IE49" s="27"/>
      <c r="IF49" s="27"/>
      <c r="IG49" s="27"/>
      <c r="IH49" s="27"/>
      <c r="II49" s="27"/>
      <c r="IJ49" s="27"/>
      <c r="IK49" s="27"/>
      <c r="IL49" s="27"/>
      <c r="IM49" s="27"/>
      <c r="IN49" s="27"/>
      <c r="IO49" s="27"/>
      <c r="IP49" s="27"/>
      <c r="IQ49" s="27"/>
      <c r="IR49" s="27"/>
      <c r="IS49" s="27"/>
      <c r="IT49" s="27"/>
      <c r="IU49" s="27"/>
      <c r="IV49" s="27"/>
    </row>
    <row r="50" spans="1:256" x14ac:dyDescent="0.25">
      <c r="A50" s="27"/>
      <c r="B50" s="27"/>
      <c r="C50" s="28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27"/>
      <c r="AF50" s="27"/>
      <c r="AG50" s="27"/>
      <c r="AH50" s="27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7"/>
      <c r="EU50" s="27"/>
      <c r="EV50" s="27"/>
      <c r="EW50" s="27"/>
      <c r="EX50" s="27"/>
      <c r="EY50" s="27"/>
      <c r="EZ50" s="27"/>
      <c r="FA50" s="27"/>
      <c r="FB50" s="27"/>
      <c r="FC50" s="27"/>
      <c r="FD50" s="27"/>
      <c r="FE50" s="27"/>
      <c r="FF50" s="27"/>
      <c r="FG50" s="27"/>
      <c r="FH50" s="27"/>
      <c r="FI50" s="27"/>
      <c r="FJ50" s="27"/>
      <c r="FK50" s="27"/>
      <c r="FL50" s="27"/>
      <c r="FM50" s="27"/>
      <c r="FN50" s="27"/>
      <c r="FO50" s="27"/>
      <c r="FP50" s="27"/>
      <c r="FQ50" s="27"/>
      <c r="FR50" s="27"/>
      <c r="FS50" s="27"/>
      <c r="FT50" s="27"/>
      <c r="FU50" s="27"/>
      <c r="FV50" s="27"/>
      <c r="FW50" s="27"/>
      <c r="FX50" s="27"/>
      <c r="FY50" s="27"/>
      <c r="FZ50" s="27"/>
      <c r="GA50" s="27"/>
      <c r="GB50" s="27"/>
      <c r="GC50" s="27"/>
      <c r="GD50" s="27"/>
      <c r="GE50" s="27"/>
      <c r="GF50" s="27"/>
      <c r="GG50" s="27"/>
      <c r="GH50" s="27"/>
      <c r="GI50" s="27"/>
      <c r="GJ50" s="27"/>
      <c r="GK50" s="27"/>
      <c r="GL50" s="27"/>
      <c r="GM50" s="27"/>
      <c r="GN50" s="27"/>
      <c r="GO50" s="27"/>
      <c r="GP50" s="27"/>
      <c r="GQ50" s="27"/>
      <c r="GR50" s="27"/>
      <c r="GS50" s="27"/>
      <c r="GT50" s="27"/>
      <c r="GU50" s="27"/>
      <c r="GV50" s="27"/>
      <c r="GW50" s="27"/>
      <c r="GX50" s="27"/>
      <c r="GY50" s="27"/>
      <c r="GZ50" s="27"/>
      <c r="HA50" s="27"/>
      <c r="HB50" s="27"/>
      <c r="HC50" s="27"/>
      <c r="HD50" s="27"/>
      <c r="HE50" s="27"/>
      <c r="HF50" s="27"/>
      <c r="HG50" s="27"/>
      <c r="HH50" s="27"/>
      <c r="HI50" s="27"/>
      <c r="HJ50" s="27"/>
      <c r="HK50" s="27"/>
      <c r="HL50" s="27"/>
      <c r="HM50" s="27"/>
      <c r="HN50" s="27"/>
      <c r="HO50" s="27"/>
      <c r="HP50" s="27"/>
      <c r="HQ50" s="27"/>
      <c r="HR50" s="27"/>
      <c r="HS50" s="27"/>
      <c r="HT50" s="27"/>
      <c r="HU50" s="27"/>
      <c r="HV50" s="27"/>
      <c r="HW50" s="27"/>
      <c r="HX50" s="27"/>
      <c r="HY50" s="27"/>
      <c r="HZ50" s="27"/>
      <c r="IA50" s="27"/>
      <c r="IB50" s="27"/>
      <c r="IC50" s="27"/>
      <c r="ID50" s="27"/>
      <c r="IE50" s="27"/>
      <c r="IF50" s="27"/>
      <c r="IG50" s="27"/>
      <c r="IH50" s="27"/>
      <c r="II50" s="27"/>
      <c r="IJ50" s="27"/>
      <c r="IK50" s="27"/>
      <c r="IL50" s="27"/>
      <c r="IM50" s="27"/>
      <c r="IN50" s="27"/>
      <c r="IO50" s="27"/>
      <c r="IP50" s="27"/>
      <c r="IQ50" s="27"/>
      <c r="IR50" s="27"/>
      <c r="IS50" s="27"/>
      <c r="IT50" s="27"/>
      <c r="IU50" s="27"/>
      <c r="IV50" s="27"/>
    </row>
    <row r="51" spans="1:256" x14ac:dyDescent="0.25">
      <c r="A51" s="27"/>
      <c r="B51" s="27"/>
      <c r="C51" s="28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27"/>
      <c r="AF51" s="27"/>
      <c r="AG51" s="27"/>
      <c r="AH51" s="27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7"/>
      <c r="EU51" s="27"/>
      <c r="EV51" s="27"/>
      <c r="EW51" s="27"/>
      <c r="EX51" s="27"/>
      <c r="EY51" s="27"/>
      <c r="EZ51" s="27"/>
      <c r="FA51" s="27"/>
      <c r="FB51" s="27"/>
      <c r="FC51" s="27"/>
      <c r="FD51" s="27"/>
      <c r="FE51" s="27"/>
      <c r="FF51" s="27"/>
      <c r="FG51" s="27"/>
      <c r="FH51" s="27"/>
      <c r="FI51" s="27"/>
      <c r="FJ51" s="27"/>
      <c r="FK51" s="27"/>
      <c r="FL51" s="27"/>
      <c r="FM51" s="27"/>
      <c r="FN51" s="27"/>
      <c r="FO51" s="27"/>
      <c r="FP51" s="27"/>
      <c r="FQ51" s="27"/>
      <c r="FR51" s="27"/>
      <c r="FS51" s="27"/>
      <c r="FT51" s="27"/>
      <c r="FU51" s="27"/>
      <c r="FV51" s="27"/>
      <c r="FW51" s="27"/>
      <c r="FX51" s="27"/>
      <c r="FY51" s="27"/>
      <c r="FZ51" s="27"/>
      <c r="GA51" s="27"/>
      <c r="GB51" s="27"/>
      <c r="GC51" s="27"/>
      <c r="GD51" s="27"/>
      <c r="GE51" s="27"/>
      <c r="GF51" s="27"/>
      <c r="GG51" s="27"/>
      <c r="GH51" s="27"/>
      <c r="GI51" s="27"/>
      <c r="GJ51" s="27"/>
      <c r="GK51" s="27"/>
      <c r="GL51" s="27"/>
      <c r="GM51" s="27"/>
      <c r="GN51" s="27"/>
      <c r="GO51" s="27"/>
      <c r="GP51" s="27"/>
      <c r="GQ51" s="27"/>
      <c r="GR51" s="27"/>
      <c r="GS51" s="27"/>
      <c r="GT51" s="27"/>
      <c r="GU51" s="27"/>
      <c r="GV51" s="27"/>
      <c r="GW51" s="27"/>
      <c r="GX51" s="27"/>
      <c r="GY51" s="27"/>
      <c r="GZ51" s="27"/>
      <c r="HA51" s="27"/>
      <c r="HB51" s="27"/>
      <c r="HC51" s="27"/>
      <c r="HD51" s="27"/>
      <c r="HE51" s="27"/>
      <c r="HF51" s="27"/>
      <c r="HG51" s="27"/>
      <c r="HH51" s="27"/>
      <c r="HI51" s="27"/>
      <c r="HJ51" s="27"/>
      <c r="HK51" s="27"/>
      <c r="HL51" s="27"/>
      <c r="HM51" s="27"/>
      <c r="HN51" s="27"/>
      <c r="HO51" s="27"/>
      <c r="HP51" s="27"/>
      <c r="HQ51" s="27"/>
      <c r="HR51" s="27"/>
      <c r="HS51" s="27"/>
      <c r="HT51" s="27"/>
      <c r="HU51" s="27"/>
      <c r="HV51" s="27"/>
      <c r="HW51" s="27"/>
      <c r="HX51" s="27"/>
      <c r="HY51" s="27"/>
      <c r="HZ51" s="27"/>
      <c r="IA51" s="27"/>
      <c r="IB51" s="27"/>
      <c r="IC51" s="27"/>
      <c r="ID51" s="27"/>
      <c r="IE51" s="27"/>
      <c r="IF51" s="27"/>
      <c r="IG51" s="27"/>
      <c r="IH51" s="27"/>
      <c r="II51" s="27"/>
      <c r="IJ51" s="27"/>
      <c r="IK51" s="27"/>
      <c r="IL51" s="27"/>
      <c r="IM51" s="27"/>
      <c r="IN51" s="27"/>
      <c r="IO51" s="27"/>
      <c r="IP51" s="27"/>
      <c r="IQ51" s="27"/>
      <c r="IR51" s="27"/>
      <c r="IS51" s="27"/>
      <c r="IT51" s="27"/>
      <c r="IU51" s="27"/>
      <c r="IV51" s="27"/>
    </row>
    <row r="52" spans="1:256" x14ac:dyDescent="0.25">
      <c r="A52" s="27"/>
      <c r="B52" s="27"/>
      <c r="C52" s="28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27"/>
      <c r="AF52" s="27"/>
      <c r="AG52" s="27"/>
      <c r="AH52" s="27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  <c r="BW52" s="27"/>
      <c r="BX52" s="27"/>
      <c r="BY52" s="27"/>
      <c r="BZ52" s="27"/>
      <c r="CA52" s="27"/>
      <c r="CB52" s="27"/>
      <c r="CC52" s="27"/>
      <c r="CD52" s="27"/>
      <c r="CE52" s="27"/>
      <c r="CF52" s="27"/>
      <c r="CG52" s="27"/>
      <c r="CH52" s="27"/>
      <c r="CI52" s="27"/>
      <c r="CJ52" s="27"/>
      <c r="CK52" s="27"/>
      <c r="CL52" s="27"/>
      <c r="CM52" s="27"/>
      <c r="CN52" s="27"/>
      <c r="CO52" s="27"/>
      <c r="CP52" s="27"/>
      <c r="CQ52" s="27"/>
      <c r="CR52" s="27"/>
      <c r="CS52" s="27"/>
      <c r="CT52" s="27"/>
      <c r="CU52" s="27"/>
      <c r="CV52" s="27"/>
      <c r="CW52" s="27"/>
      <c r="CX52" s="27"/>
      <c r="CY52" s="27"/>
      <c r="CZ52" s="27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7"/>
      <c r="DL52" s="27"/>
      <c r="DM52" s="27"/>
      <c r="DN52" s="27"/>
      <c r="DO52" s="27"/>
      <c r="DP52" s="27"/>
      <c r="DQ52" s="27"/>
      <c r="DR52" s="27"/>
      <c r="DS52" s="27"/>
      <c r="DT52" s="27"/>
      <c r="DU52" s="27"/>
      <c r="DV52" s="27"/>
      <c r="DW52" s="27"/>
      <c r="DX52" s="27"/>
      <c r="DY52" s="27"/>
      <c r="DZ52" s="27"/>
      <c r="EA52" s="27"/>
      <c r="EB52" s="27"/>
      <c r="EC52" s="27"/>
      <c r="ED52" s="27"/>
      <c r="EE52" s="27"/>
      <c r="EF52" s="27"/>
      <c r="EG52" s="27"/>
      <c r="EH52" s="27"/>
      <c r="EI52" s="27"/>
      <c r="EJ52" s="27"/>
      <c r="EK52" s="27"/>
      <c r="EL52" s="27"/>
      <c r="EM52" s="27"/>
      <c r="EN52" s="27"/>
      <c r="EO52" s="27"/>
      <c r="EP52" s="27"/>
      <c r="EQ52" s="27"/>
      <c r="ER52" s="27"/>
      <c r="ES52" s="27"/>
      <c r="ET52" s="27"/>
      <c r="EU52" s="27"/>
      <c r="EV52" s="27"/>
      <c r="EW52" s="27"/>
      <c r="EX52" s="27"/>
      <c r="EY52" s="27"/>
      <c r="EZ52" s="27"/>
      <c r="FA52" s="27"/>
      <c r="FB52" s="27"/>
      <c r="FC52" s="27"/>
      <c r="FD52" s="27"/>
      <c r="FE52" s="27"/>
      <c r="FF52" s="27"/>
      <c r="FG52" s="27"/>
      <c r="FH52" s="27"/>
      <c r="FI52" s="27"/>
      <c r="FJ52" s="27"/>
      <c r="FK52" s="27"/>
      <c r="FL52" s="27"/>
      <c r="FM52" s="27"/>
      <c r="FN52" s="27"/>
      <c r="FO52" s="27"/>
      <c r="FP52" s="27"/>
      <c r="FQ52" s="27"/>
      <c r="FR52" s="27"/>
      <c r="FS52" s="27"/>
      <c r="FT52" s="27"/>
      <c r="FU52" s="27"/>
      <c r="FV52" s="27"/>
      <c r="FW52" s="27"/>
      <c r="FX52" s="27"/>
      <c r="FY52" s="27"/>
      <c r="FZ52" s="27"/>
      <c r="GA52" s="27"/>
      <c r="GB52" s="27"/>
      <c r="GC52" s="27"/>
      <c r="GD52" s="27"/>
      <c r="GE52" s="27"/>
      <c r="GF52" s="27"/>
      <c r="GG52" s="27"/>
      <c r="GH52" s="27"/>
      <c r="GI52" s="27"/>
      <c r="GJ52" s="27"/>
      <c r="GK52" s="27"/>
      <c r="GL52" s="27"/>
      <c r="GM52" s="27"/>
      <c r="GN52" s="27"/>
      <c r="GO52" s="27"/>
      <c r="GP52" s="27"/>
      <c r="GQ52" s="27"/>
      <c r="GR52" s="27"/>
      <c r="GS52" s="27"/>
      <c r="GT52" s="27"/>
      <c r="GU52" s="27"/>
      <c r="GV52" s="27"/>
      <c r="GW52" s="27"/>
      <c r="GX52" s="27"/>
      <c r="GY52" s="27"/>
      <c r="GZ52" s="27"/>
      <c r="HA52" s="27"/>
      <c r="HB52" s="27"/>
      <c r="HC52" s="27"/>
      <c r="HD52" s="27"/>
      <c r="HE52" s="27"/>
      <c r="HF52" s="27"/>
      <c r="HG52" s="27"/>
      <c r="HH52" s="27"/>
      <c r="HI52" s="27"/>
      <c r="HJ52" s="27"/>
      <c r="HK52" s="27"/>
      <c r="HL52" s="27"/>
      <c r="HM52" s="27"/>
      <c r="HN52" s="27"/>
      <c r="HO52" s="27"/>
      <c r="HP52" s="27"/>
      <c r="HQ52" s="27"/>
      <c r="HR52" s="27"/>
      <c r="HS52" s="27"/>
      <c r="HT52" s="27"/>
      <c r="HU52" s="27"/>
      <c r="HV52" s="27"/>
      <c r="HW52" s="27"/>
      <c r="HX52" s="27"/>
      <c r="HY52" s="27"/>
      <c r="HZ52" s="27"/>
      <c r="IA52" s="27"/>
      <c r="IB52" s="27"/>
      <c r="IC52" s="27"/>
      <c r="ID52" s="27"/>
      <c r="IE52" s="27"/>
      <c r="IF52" s="27"/>
      <c r="IG52" s="27"/>
      <c r="IH52" s="27"/>
      <c r="II52" s="27"/>
      <c r="IJ52" s="27"/>
      <c r="IK52" s="27"/>
      <c r="IL52" s="27"/>
      <c r="IM52" s="27"/>
      <c r="IN52" s="27"/>
      <c r="IO52" s="27"/>
      <c r="IP52" s="27"/>
      <c r="IQ52" s="27"/>
      <c r="IR52" s="27"/>
      <c r="IS52" s="27"/>
      <c r="IT52" s="27"/>
      <c r="IU52" s="27"/>
      <c r="IV52" s="27"/>
    </row>
    <row r="53" spans="1:256" x14ac:dyDescent="0.25">
      <c r="A53" s="27"/>
      <c r="B53" s="27"/>
      <c r="C53" s="28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  <c r="BW53" s="27"/>
      <c r="BX53" s="27"/>
      <c r="BY53" s="27"/>
      <c r="BZ53" s="27"/>
      <c r="CA53" s="27"/>
      <c r="CB53" s="27"/>
      <c r="CC53" s="27"/>
      <c r="CD53" s="27"/>
      <c r="CE53" s="27"/>
      <c r="CF53" s="27"/>
      <c r="CG53" s="27"/>
      <c r="CH53" s="27"/>
      <c r="CI53" s="27"/>
      <c r="CJ53" s="27"/>
      <c r="CK53" s="27"/>
      <c r="CL53" s="27"/>
      <c r="CM53" s="27"/>
      <c r="CN53" s="27"/>
      <c r="CO53" s="27"/>
      <c r="CP53" s="27"/>
      <c r="CQ53" s="27"/>
      <c r="CR53" s="27"/>
      <c r="CS53" s="27"/>
      <c r="CT53" s="27"/>
      <c r="CU53" s="27"/>
      <c r="CV53" s="27"/>
      <c r="CW53" s="27"/>
      <c r="CX53" s="27"/>
      <c r="CY53" s="27"/>
      <c r="CZ53" s="27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7"/>
      <c r="DL53" s="27"/>
      <c r="DM53" s="27"/>
      <c r="DN53" s="27"/>
      <c r="DO53" s="27"/>
      <c r="DP53" s="27"/>
      <c r="DQ53" s="27"/>
      <c r="DR53" s="27"/>
      <c r="DS53" s="27"/>
      <c r="DT53" s="27"/>
      <c r="DU53" s="27"/>
      <c r="DV53" s="27"/>
      <c r="DW53" s="27"/>
      <c r="DX53" s="27"/>
      <c r="DY53" s="27"/>
      <c r="DZ53" s="27"/>
      <c r="EA53" s="27"/>
      <c r="EB53" s="27"/>
      <c r="EC53" s="27"/>
      <c r="ED53" s="27"/>
      <c r="EE53" s="27"/>
      <c r="EF53" s="27"/>
      <c r="EG53" s="27"/>
      <c r="EH53" s="27"/>
      <c r="EI53" s="27"/>
      <c r="EJ53" s="27"/>
      <c r="EK53" s="27"/>
      <c r="EL53" s="27"/>
      <c r="EM53" s="27"/>
      <c r="EN53" s="27"/>
      <c r="EO53" s="27"/>
      <c r="EP53" s="27"/>
      <c r="EQ53" s="27"/>
      <c r="ER53" s="27"/>
      <c r="ES53" s="27"/>
      <c r="ET53" s="27"/>
      <c r="EU53" s="27"/>
      <c r="EV53" s="27"/>
      <c r="EW53" s="27"/>
      <c r="EX53" s="27"/>
      <c r="EY53" s="27"/>
      <c r="EZ53" s="27"/>
      <c r="FA53" s="27"/>
      <c r="FB53" s="27"/>
      <c r="FC53" s="27"/>
      <c r="FD53" s="27"/>
      <c r="FE53" s="27"/>
      <c r="FF53" s="27"/>
      <c r="FG53" s="27"/>
      <c r="FH53" s="27"/>
      <c r="FI53" s="27"/>
      <c r="FJ53" s="27"/>
      <c r="FK53" s="27"/>
      <c r="FL53" s="27"/>
      <c r="FM53" s="27"/>
      <c r="FN53" s="27"/>
      <c r="FO53" s="27"/>
      <c r="FP53" s="27"/>
      <c r="FQ53" s="27"/>
      <c r="FR53" s="27"/>
      <c r="FS53" s="27"/>
      <c r="FT53" s="27"/>
      <c r="FU53" s="27"/>
      <c r="FV53" s="27"/>
      <c r="FW53" s="27"/>
      <c r="FX53" s="27"/>
      <c r="FY53" s="27"/>
      <c r="FZ53" s="27"/>
      <c r="GA53" s="27"/>
      <c r="GB53" s="27"/>
      <c r="GC53" s="27"/>
      <c r="GD53" s="27"/>
      <c r="GE53" s="27"/>
      <c r="GF53" s="27"/>
      <c r="GG53" s="27"/>
      <c r="GH53" s="27"/>
      <c r="GI53" s="27"/>
      <c r="GJ53" s="27"/>
      <c r="GK53" s="27"/>
      <c r="GL53" s="27"/>
      <c r="GM53" s="27"/>
      <c r="GN53" s="27"/>
      <c r="GO53" s="27"/>
      <c r="GP53" s="27"/>
      <c r="GQ53" s="27"/>
      <c r="GR53" s="27"/>
      <c r="GS53" s="27"/>
      <c r="GT53" s="27"/>
      <c r="GU53" s="27"/>
      <c r="GV53" s="27"/>
      <c r="GW53" s="27"/>
      <c r="GX53" s="27"/>
      <c r="GY53" s="27"/>
      <c r="GZ53" s="27"/>
      <c r="HA53" s="27"/>
      <c r="HB53" s="27"/>
      <c r="HC53" s="27"/>
      <c r="HD53" s="27"/>
      <c r="HE53" s="27"/>
      <c r="HF53" s="27"/>
      <c r="HG53" s="27"/>
      <c r="HH53" s="27"/>
      <c r="HI53" s="27"/>
      <c r="HJ53" s="27"/>
      <c r="HK53" s="27"/>
      <c r="HL53" s="27"/>
      <c r="HM53" s="27"/>
      <c r="HN53" s="27"/>
      <c r="HO53" s="27"/>
      <c r="HP53" s="27"/>
      <c r="HQ53" s="27"/>
      <c r="HR53" s="27"/>
      <c r="HS53" s="27"/>
      <c r="HT53" s="27"/>
      <c r="HU53" s="27"/>
      <c r="HV53" s="27"/>
      <c r="HW53" s="27"/>
      <c r="HX53" s="27"/>
      <c r="HY53" s="27"/>
      <c r="HZ53" s="27"/>
      <c r="IA53" s="27"/>
      <c r="IB53" s="27"/>
      <c r="IC53" s="27"/>
      <c r="ID53" s="27"/>
      <c r="IE53" s="27"/>
      <c r="IF53" s="27"/>
      <c r="IG53" s="27"/>
      <c r="IH53" s="27"/>
      <c r="II53" s="27"/>
      <c r="IJ53" s="27"/>
      <c r="IK53" s="27"/>
      <c r="IL53" s="27"/>
      <c r="IM53" s="27"/>
      <c r="IN53" s="27"/>
      <c r="IO53" s="27"/>
      <c r="IP53" s="27"/>
      <c r="IQ53" s="27"/>
      <c r="IR53" s="27"/>
      <c r="IS53" s="27"/>
      <c r="IT53" s="27"/>
      <c r="IU53" s="27"/>
      <c r="IV53" s="27"/>
    </row>
    <row r="54" spans="1:256" x14ac:dyDescent="0.25">
      <c r="A54" s="27"/>
      <c r="B54" s="27"/>
      <c r="C54" s="28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27"/>
      <c r="DO54" s="27"/>
      <c r="DP54" s="27"/>
      <c r="DQ54" s="27"/>
      <c r="DR54" s="27"/>
      <c r="DS54" s="27"/>
      <c r="DT54" s="27"/>
      <c r="DU54" s="27"/>
      <c r="DV54" s="27"/>
      <c r="DW54" s="27"/>
      <c r="DX54" s="27"/>
      <c r="DY54" s="27"/>
      <c r="DZ54" s="27"/>
      <c r="EA54" s="27"/>
      <c r="EB54" s="27"/>
      <c r="EC54" s="27"/>
      <c r="ED54" s="27"/>
      <c r="EE54" s="27"/>
      <c r="EF54" s="27"/>
      <c r="EG54" s="27"/>
      <c r="EH54" s="27"/>
      <c r="EI54" s="27"/>
      <c r="EJ54" s="27"/>
      <c r="EK54" s="27"/>
      <c r="EL54" s="27"/>
      <c r="EM54" s="27"/>
      <c r="EN54" s="27"/>
      <c r="EO54" s="27"/>
      <c r="EP54" s="27"/>
      <c r="EQ54" s="27"/>
      <c r="ER54" s="27"/>
      <c r="ES54" s="27"/>
      <c r="ET54" s="27"/>
      <c r="EU54" s="27"/>
      <c r="EV54" s="27"/>
      <c r="EW54" s="27"/>
      <c r="EX54" s="27"/>
      <c r="EY54" s="27"/>
      <c r="EZ54" s="27"/>
      <c r="FA54" s="27"/>
      <c r="FB54" s="27"/>
      <c r="FC54" s="27"/>
      <c r="FD54" s="27"/>
      <c r="FE54" s="27"/>
      <c r="FF54" s="27"/>
      <c r="FG54" s="27"/>
      <c r="FH54" s="27"/>
      <c r="FI54" s="27"/>
      <c r="FJ54" s="27"/>
      <c r="FK54" s="27"/>
      <c r="FL54" s="27"/>
      <c r="FM54" s="27"/>
      <c r="FN54" s="27"/>
      <c r="FO54" s="27"/>
      <c r="FP54" s="27"/>
      <c r="FQ54" s="27"/>
      <c r="FR54" s="27"/>
      <c r="FS54" s="27"/>
      <c r="FT54" s="27"/>
      <c r="FU54" s="27"/>
      <c r="FV54" s="27"/>
      <c r="FW54" s="27"/>
      <c r="FX54" s="27"/>
      <c r="FY54" s="27"/>
      <c r="FZ54" s="27"/>
      <c r="GA54" s="27"/>
      <c r="GB54" s="27"/>
      <c r="GC54" s="27"/>
      <c r="GD54" s="27"/>
      <c r="GE54" s="27"/>
      <c r="GF54" s="27"/>
      <c r="GG54" s="27"/>
      <c r="GH54" s="27"/>
      <c r="GI54" s="27"/>
      <c r="GJ54" s="27"/>
      <c r="GK54" s="27"/>
      <c r="GL54" s="27"/>
      <c r="GM54" s="27"/>
      <c r="GN54" s="27"/>
      <c r="GO54" s="27"/>
      <c r="GP54" s="27"/>
      <c r="GQ54" s="27"/>
      <c r="GR54" s="27"/>
      <c r="GS54" s="27"/>
      <c r="GT54" s="27"/>
      <c r="GU54" s="27"/>
      <c r="GV54" s="27"/>
      <c r="GW54" s="27"/>
      <c r="GX54" s="27"/>
      <c r="GY54" s="27"/>
      <c r="GZ54" s="27"/>
      <c r="HA54" s="27"/>
      <c r="HB54" s="27"/>
      <c r="HC54" s="27"/>
      <c r="HD54" s="27"/>
      <c r="HE54" s="27"/>
      <c r="HF54" s="27"/>
      <c r="HG54" s="27"/>
      <c r="HH54" s="27"/>
      <c r="HI54" s="27"/>
      <c r="HJ54" s="27"/>
      <c r="HK54" s="27"/>
      <c r="HL54" s="27"/>
      <c r="HM54" s="27"/>
      <c r="HN54" s="27"/>
      <c r="HO54" s="27"/>
      <c r="HP54" s="27"/>
      <c r="HQ54" s="27"/>
      <c r="HR54" s="27"/>
      <c r="HS54" s="27"/>
      <c r="HT54" s="27"/>
      <c r="HU54" s="27"/>
      <c r="HV54" s="27"/>
      <c r="HW54" s="27"/>
      <c r="HX54" s="27"/>
      <c r="HY54" s="27"/>
      <c r="HZ54" s="27"/>
      <c r="IA54" s="27"/>
      <c r="IB54" s="27"/>
      <c r="IC54" s="27"/>
      <c r="ID54" s="27"/>
      <c r="IE54" s="27"/>
      <c r="IF54" s="27"/>
      <c r="IG54" s="27"/>
      <c r="IH54" s="27"/>
      <c r="II54" s="27"/>
      <c r="IJ54" s="27"/>
      <c r="IK54" s="27"/>
      <c r="IL54" s="27"/>
      <c r="IM54" s="27"/>
      <c r="IN54" s="27"/>
      <c r="IO54" s="27"/>
      <c r="IP54" s="27"/>
      <c r="IQ54" s="27"/>
      <c r="IR54" s="27"/>
      <c r="IS54" s="27"/>
      <c r="IT54" s="27"/>
      <c r="IU54" s="27"/>
      <c r="IV54" s="27"/>
    </row>
    <row r="55" spans="1:256" x14ac:dyDescent="0.25">
      <c r="A55" s="27"/>
      <c r="B55" s="27"/>
      <c r="C55" s="28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27"/>
      <c r="AD55" s="27"/>
      <c r="AE55" s="27"/>
      <c r="AF55" s="27"/>
      <c r="AG55" s="27"/>
      <c r="AH55" s="27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  <c r="BW55" s="27"/>
      <c r="BX55" s="27"/>
      <c r="BY55" s="27"/>
      <c r="BZ55" s="27"/>
      <c r="CA55" s="27"/>
      <c r="CB55" s="27"/>
      <c r="CC55" s="27"/>
      <c r="CD55" s="27"/>
      <c r="CE55" s="27"/>
      <c r="CF55" s="27"/>
      <c r="CG55" s="27"/>
      <c r="CH55" s="27"/>
      <c r="CI55" s="27"/>
      <c r="CJ55" s="27"/>
      <c r="CK55" s="27"/>
      <c r="CL55" s="27"/>
      <c r="CM55" s="27"/>
      <c r="CN55" s="27"/>
      <c r="CO55" s="27"/>
      <c r="CP55" s="27"/>
      <c r="CQ55" s="27"/>
      <c r="CR55" s="27"/>
      <c r="CS55" s="27"/>
      <c r="CT55" s="27"/>
      <c r="CU55" s="27"/>
      <c r="CV55" s="27"/>
      <c r="CW55" s="27"/>
      <c r="CX55" s="27"/>
      <c r="CY55" s="27"/>
      <c r="CZ55" s="27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7"/>
      <c r="DL55" s="27"/>
      <c r="DM55" s="27"/>
      <c r="DN55" s="27"/>
      <c r="DO55" s="27"/>
      <c r="DP55" s="27"/>
      <c r="DQ55" s="27"/>
      <c r="DR55" s="27"/>
      <c r="DS55" s="27"/>
      <c r="DT55" s="27"/>
      <c r="DU55" s="27"/>
      <c r="DV55" s="27"/>
      <c r="DW55" s="27"/>
      <c r="DX55" s="27"/>
      <c r="DY55" s="27"/>
      <c r="DZ55" s="27"/>
      <c r="EA55" s="27"/>
      <c r="EB55" s="27"/>
      <c r="EC55" s="27"/>
      <c r="ED55" s="27"/>
      <c r="EE55" s="27"/>
      <c r="EF55" s="27"/>
      <c r="EG55" s="27"/>
      <c r="EH55" s="27"/>
      <c r="EI55" s="27"/>
      <c r="EJ55" s="27"/>
      <c r="EK55" s="27"/>
      <c r="EL55" s="27"/>
      <c r="EM55" s="27"/>
      <c r="EN55" s="27"/>
      <c r="EO55" s="27"/>
      <c r="EP55" s="27"/>
      <c r="EQ55" s="27"/>
      <c r="ER55" s="27"/>
      <c r="ES55" s="27"/>
      <c r="ET55" s="27"/>
      <c r="EU55" s="27"/>
      <c r="EV55" s="27"/>
      <c r="EW55" s="27"/>
      <c r="EX55" s="27"/>
      <c r="EY55" s="27"/>
      <c r="EZ55" s="27"/>
      <c r="FA55" s="27"/>
      <c r="FB55" s="27"/>
      <c r="FC55" s="27"/>
      <c r="FD55" s="27"/>
      <c r="FE55" s="27"/>
      <c r="FF55" s="27"/>
      <c r="FG55" s="27"/>
      <c r="FH55" s="27"/>
      <c r="FI55" s="27"/>
      <c r="FJ55" s="27"/>
      <c r="FK55" s="27"/>
      <c r="FL55" s="27"/>
      <c r="FM55" s="27"/>
      <c r="FN55" s="27"/>
      <c r="FO55" s="27"/>
      <c r="FP55" s="27"/>
      <c r="FQ55" s="27"/>
      <c r="FR55" s="27"/>
      <c r="FS55" s="27"/>
      <c r="FT55" s="27"/>
      <c r="FU55" s="27"/>
      <c r="FV55" s="27"/>
      <c r="FW55" s="27"/>
      <c r="FX55" s="27"/>
      <c r="FY55" s="27"/>
      <c r="FZ55" s="27"/>
      <c r="GA55" s="27"/>
      <c r="GB55" s="27"/>
      <c r="GC55" s="27"/>
      <c r="GD55" s="27"/>
      <c r="GE55" s="27"/>
      <c r="GF55" s="27"/>
      <c r="GG55" s="27"/>
      <c r="GH55" s="27"/>
      <c r="GI55" s="27"/>
      <c r="GJ55" s="27"/>
      <c r="GK55" s="27"/>
      <c r="GL55" s="27"/>
      <c r="GM55" s="27"/>
      <c r="GN55" s="27"/>
      <c r="GO55" s="27"/>
      <c r="GP55" s="27"/>
      <c r="GQ55" s="27"/>
      <c r="GR55" s="27"/>
      <c r="GS55" s="27"/>
      <c r="GT55" s="27"/>
      <c r="GU55" s="27"/>
      <c r="GV55" s="27"/>
      <c r="GW55" s="27"/>
      <c r="GX55" s="27"/>
      <c r="GY55" s="27"/>
      <c r="GZ55" s="27"/>
      <c r="HA55" s="27"/>
      <c r="HB55" s="27"/>
      <c r="HC55" s="27"/>
      <c r="HD55" s="27"/>
      <c r="HE55" s="27"/>
      <c r="HF55" s="27"/>
      <c r="HG55" s="27"/>
      <c r="HH55" s="27"/>
      <c r="HI55" s="27"/>
      <c r="HJ55" s="27"/>
      <c r="HK55" s="27"/>
      <c r="HL55" s="27"/>
      <c r="HM55" s="27"/>
      <c r="HN55" s="27"/>
      <c r="HO55" s="27"/>
      <c r="HP55" s="27"/>
      <c r="HQ55" s="27"/>
      <c r="HR55" s="27"/>
      <c r="HS55" s="27"/>
      <c r="HT55" s="27"/>
      <c r="HU55" s="27"/>
      <c r="HV55" s="27"/>
      <c r="HW55" s="27"/>
      <c r="HX55" s="27"/>
      <c r="HY55" s="27"/>
      <c r="HZ55" s="27"/>
      <c r="IA55" s="27"/>
      <c r="IB55" s="27"/>
      <c r="IC55" s="27"/>
      <c r="ID55" s="27"/>
      <c r="IE55" s="27"/>
      <c r="IF55" s="27"/>
      <c r="IG55" s="27"/>
      <c r="IH55" s="27"/>
      <c r="II55" s="27"/>
      <c r="IJ55" s="27"/>
      <c r="IK55" s="27"/>
      <c r="IL55" s="27"/>
      <c r="IM55" s="27"/>
      <c r="IN55" s="27"/>
      <c r="IO55" s="27"/>
      <c r="IP55" s="27"/>
      <c r="IQ55" s="27"/>
      <c r="IR55" s="27"/>
      <c r="IS55" s="27"/>
      <c r="IT55" s="27"/>
      <c r="IU55" s="27"/>
      <c r="IV55" s="27"/>
    </row>
    <row r="56" spans="1:256" x14ac:dyDescent="0.25">
      <c r="A56" s="27"/>
      <c r="B56" s="27"/>
      <c r="C56" s="28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27"/>
      <c r="AD56" s="27"/>
      <c r="AE56" s="27"/>
      <c r="AF56" s="27"/>
      <c r="AG56" s="27"/>
      <c r="AH56" s="27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  <c r="BW56" s="27"/>
      <c r="BX56" s="27"/>
      <c r="BY56" s="27"/>
      <c r="BZ56" s="27"/>
      <c r="CA56" s="27"/>
      <c r="CB56" s="27"/>
      <c r="CC56" s="27"/>
      <c r="CD56" s="27"/>
      <c r="CE56" s="27"/>
      <c r="CF56" s="27"/>
      <c r="CG56" s="27"/>
      <c r="CH56" s="27"/>
      <c r="CI56" s="27"/>
      <c r="CJ56" s="27"/>
      <c r="CK56" s="27"/>
      <c r="CL56" s="27"/>
      <c r="CM56" s="27"/>
      <c r="CN56" s="27"/>
      <c r="CO56" s="27"/>
      <c r="CP56" s="27"/>
      <c r="CQ56" s="27"/>
      <c r="CR56" s="27"/>
      <c r="CS56" s="27"/>
      <c r="CT56" s="27"/>
      <c r="CU56" s="27"/>
      <c r="CV56" s="27"/>
      <c r="CW56" s="27"/>
      <c r="CX56" s="27"/>
      <c r="CY56" s="27"/>
      <c r="CZ56" s="27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7"/>
      <c r="DL56" s="27"/>
      <c r="DM56" s="27"/>
      <c r="DN56" s="27"/>
      <c r="DO56" s="27"/>
      <c r="DP56" s="27"/>
      <c r="DQ56" s="27"/>
      <c r="DR56" s="27"/>
      <c r="DS56" s="27"/>
      <c r="DT56" s="27"/>
      <c r="DU56" s="27"/>
      <c r="DV56" s="27"/>
      <c r="DW56" s="27"/>
      <c r="DX56" s="27"/>
      <c r="DY56" s="27"/>
      <c r="DZ56" s="27"/>
      <c r="EA56" s="27"/>
      <c r="EB56" s="27"/>
      <c r="EC56" s="27"/>
      <c r="ED56" s="27"/>
      <c r="EE56" s="27"/>
      <c r="EF56" s="27"/>
      <c r="EG56" s="27"/>
      <c r="EH56" s="27"/>
      <c r="EI56" s="27"/>
      <c r="EJ56" s="27"/>
      <c r="EK56" s="27"/>
      <c r="EL56" s="27"/>
      <c r="EM56" s="27"/>
      <c r="EN56" s="27"/>
      <c r="EO56" s="27"/>
      <c r="EP56" s="27"/>
      <c r="EQ56" s="27"/>
      <c r="ER56" s="27"/>
      <c r="ES56" s="27"/>
      <c r="ET56" s="27"/>
      <c r="EU56" s="27"/>
      <c r="EV56" s="27"/>
      <c r="EW56" s="27"/>
      <c r="EX56" s="27"/>
      <c r="EY56" s="27"/>
      <c r="EZ56" s="27"/>
      <c r="FA56" s="27"/>
      <c r="FB56" s="27"/>
      <c r="FC56" s="27"/>
      <c r="FD56" s="27"/>
      <c r="FE56" s="27"/>
      <c r="FF56" s="27"/>
      <c r="FG56" s="27"/>
      <c r="FH56" s="27"/>
      <c r="FI56" s="27"/>
      <c r="FJ56" s="27"/>
      <c r="FK56" s="27"/>
      <c r="FL56" s="27"/>
      <c r="FM56" s="27"/>
      <c r="FN56" s="27"/>
      <c r="FO56" s="27"/>
      <c r="FP56" s="27"/>
      <c r="FQ56" s="27"/>
      <c r="FR56" s="27"/>
      <c r="FS56" s="27"/>
      <c r="FT56" s="27"/>
      <c r="FU56" s="27"/>
      <c r="FV56" s="27"/>
      <c r="FW56" s="27"/>
      <c r="FX56" s="27"/>
      <c r="FY56" s="27"/>
      <c r="FZ56" s="27"/>
      <c r="GA56" s="27"/>
      <c r="GB56" s="27"/>
      <c r="GC56" s="27"/>
      <c r="GD56" s="27"/>
      <c r="GE56" s="27"/>
      <c r="GF56" s="27"/>
      <c r="GG56" s="27"/>
      <c r="GH56" s="27"/>
      <c r="GI56" s="27"/>
      <c r="GJ56" s="27"/>
      <c r="GK56" s="27"/>
      <c r="GL56" s="27"/>
      <c r="GM56" s="27"/>
      <c r="GN56" s="27"/>
      <c r="GO56" s="27"/>
      <c r="GP56" s="27"/>
      <c r="GQ56" s="27"/>
      <c r="GR56" s="27"/>
      <c r="GS56" s="27"/>
      <c r="GT56" s="27"/>
      <c r="GU56" s="27"/>
      <c r="GV56" s="27"/>
      <c r="GW56" s="27"/>
      <c r="GX56" s="27"/>
      <c r="GY56" s="27"/>
      <c r="GZ56" s="27"/>
      <c r="HA56" s="27"/>
      <c r="HB56" s="27"/>
      <c r="HC56" s="27"/>
      <c r="HD56" s="27"/>
      <c r="HE56" s="27"/>
      <c r="HF56" s="27"/>
      <c r="HG56" s="27"/>
      <c r="HH56" s="27"/>
      <c r="HI56" s="27"/>
      <c r="HJ56" s="27"/>
      <c r="HK56" s="27"/>
      <c r="HL56" s="27"/>
      <c r="HM56" s="27"/>
      <c r="HN56" s="27"/>
      <c r="HO56" s="27"/>
      <c r="HP56" s="27"/>
      <c r="HQ56" s="27"/>
      <c r="HR56" s="27"/>
      <c r="HS56" s="27"/>
      <c r="HT56" s="27"/>
      <c r="HU56" s="27"/>
      <c r="HV56" s="27"/>
      <c r="HW56" s="27"/>
      <c r="HX56" s="27"/>
      <c r="HY56" s="27"/>
      <c r="HZ56" s="27"/>
      <c r="IA56" s="27"/>
      <c r="IB56" s="27"/>
      <c r="IC56" s="27"/>
      <c r="ID56" s="27"/>
      <c r="IE56" s="27"/>
      <c r="IF56" s="27"/>
      <c r="IG56" s="27"/>
      <c r="IH56" s="27"/>
      <c r="II56" s="27"/>
      <c r="IJ56" s="27"/>
      <c r="IK56" s="27"/>
      <c r="IL56" s="27"/>
      <c r="IM56" s="27"/>
      <c r="IN56" s="27"/>
      <c r="IO56" s="27"/>
      <c r="IP56" s="27"/>
      <c r="IQ56" s="27"/>
      <c r="IR56" s="27"/>
      <c r="IS56" s="27"/>
      <c r="IT56" s="27"/>
      <c r="IU56" s="27"/>
      <c r="IV56" s="27"/>
    </row>
    <row r="57" spans="1:256" x14ac:dyDescent="0.25">
      <c r="A57" s="27"/>
      <c r="B57" s="27"/>
      <c r="C57" s="28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  <c r="BW57" s="27"/>
      <c r="BX57" s="27"/>
      <c r="BY57" s="27"/>
      <c r="BZ57" s="27"/>
      <c r="CA57" s="27"/>
      <c r="CB57" s="27"/>
      <c r="CC57" s="27"/>
      <c r="CD57" s="27"/>
      <c r="CE57" s="27"/>
      <c r="CF57" s="27"/>
      <c r="CG57" s="27"/>
      <c r="CH57" s="27"/>
      <c r="CI57" s="27"/>
      <c r="CJ57" s="27"/>
      <c r="CK57" s="27"/>
      <c r="CL57" s="27"/>
      <c r="CM57" s="27"/>
      <c r="CN57" s="27"/>
      <c r="CO57" s="27"/>
      <c r="CP57" s="27"/>
      <c r="CQ57" s="27"/>
      <c r="CR57" s="27"/>
      <c r="CS57" s="27"/>
      <c r="CT57" s="27"/>
      <c r="CU57" s="27"/>
      <c r="CV57" s="27"/>
      <c r="CW57" s="27"/>
      <c r="CX57" s="27"/>
      <c r="CY57" s="27"/>
      <c r="CZ57" s="27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7"/>
      <c r="DL57" s="27"/>
      <c r="DM57" s="27"/>
      <c r="DN57" s="27"/>
      <c r="DO57" s="27"/>
      <c r="DP57" s="27"/>
      <c r="DQ57" s="27"/>
      <c r="DR57" s="27"/>
      <c r="DS57" s="27"/>
      <c r="DT57" s="27"/>
      <c r="DU57" s="27"/>
      <c r="DV57" s="27"/>
      <c r="DW57" s="27"/>
      <c r="DX57" s="27"/>
      <c r="DY57" s="27"/>
      <c r="DZ57" s="27"/>
      <c r="EA57" s="27"/>
      <c r="EB57" s="27"/>
      <c r="EC57" s="27"/>
      <c r="ED57" s="27"/>
      <c r="EE57" s="27"/>
      <c r="EF57" s="27"/>
      <c r="EG57" s="27"/>
      <c r="EH57" s="27"/>
      <c r="EI57" s="27"/>
      <c r="EJ57" s="27"/>
      <c r="EK57" s="27"/>
      <c r="EL57" s="27"/>
      <c r="EM57" s="27"/>
      <c r="EN57" s="27"/>
      <c r="EO57" s="27"/>
      <c r="EP57" s="27"/>
      <c r="EQ57" s="27"/>
      <c r="ER57" s="27"/>
      <c r="ES57" s="27"/>
      <c r="ET57" s="27"/>
      <c r="EU57" s="27"/>
      <c r="EV57" s="27"/>
      <c r="EW57" s="27"/>
      <c r="EX57" s="27"/>
      <c r="EY57" s="27"/>
      <c r="EZ57" s="27"/>
      <c r="FA57" s="27"/>
      <c r="FB57" s="27"/>
      <c r="FC57" s="27"/>
      <c r="FD57" s="27"/>
      <c r="FE57" s="27"/>
      <c r="FF57" s="27"/>
      <c r="FG57" s="27"/>
      <c r="FH57" s="27"/>
      <c r="FI57" s="27"/>
      <c r="FJ57" s="27"/>
      <c r="FK57" s="27"/>
      <c r="FL57" s="27"/>
      <c r="FM57" s="27"/>
      <c r="FN57" s="27"/>
      <c r="FO57" s="27"/>
      <c r="FP57" s="27"/>
      <c r="FQ57" s="27"/>
      <c r="FR57" s="27"/>
      <c r="FS57" s="27"/>
      <c r="FT57" s="27"/>
      <c r="FU57" s="27"/>
      <c r="FV57" s="27"/>
      <c r="FW57" s="27"/>
      <c r="FX57" s="27"/>
      <c r="FY57" s="27"/>
      <c r="FZ57" s="27"/>
      <c r="GA57" s="27"/>
      <c r="GB57" s="27"/>
      <c r="GC57" s="27"/>
      <c r="GD57" s="27"/>
      <c r="GE57" s="27"/>
      <c r="GF57" s="27"/>
      <c r="GG57" s="27"/>
      <c r="GH57" s="27"/>
      <c r="GI57" s="27"/>
      <c r="GJ57" s="27"/>
      <c r="GK57" s="27"/>
      <c r="GL57" s="27"/>
      <c r="GM57" s="27"/>
      <c r="GN57" s="27"/>
      <c r="GO57" s="27"/>
      <c r="GP57" s="27"/>
      <c r="GQ57" s="27"/>
      <c r="GR57" s="27"/>
      <c r="GS57" s="27"/>
      <c r="GT57" s="27"/>
      <c r="GU57" s="27"/>
      <c r="GV57" s="27"/>
      <c r="GW57" s="27"/>
      <c r="GX57" s="27"/>
      <c r="GY57" s="27"/>
      <c r="GZ57" s="27"/>
      <c r="HA57" s="27"/>
      <c r="HB57" s="27"/>
      <c r="HC57" s="27"/>
      <c r="HD57" s="27"/>
      <c r="HE57" s="27"/>
      <c r="HF57" s="27"/>
      <c r="HG57" s="27"/>
      <c r="HH57" s="27"/>
      <c r="HI57" s="27"/>
      <c r="HJ57" s="27"/>
      <c r="HK57" s="27"/>
      <c r="HL57" s="27"/>
      <c r="HM57" s="27"/>
      <c r="HN57" s="27"/>
      <c r="HO57" s="27"/>
      <c r="HP57" s="27"/>
      <c r="HQ57" s="27"/>
      <c r="HR57" s="27"/>
      <c r="HS57" s="27"/>
      <c r="HT57" s="27"/>
      <c r="HU57" s="27"/>
      <c r="HV57" s="27"/>
      <c r="HW57" s="27"/>
      <c r="HX57" s="27"/>
      <c r="HY57" s="27"/>
      <c r="HZ57" s="27"/>
      <c r="IA57" s="27"/>
      <c r="IB57" s="27"/>
      <c r="IC57" s="27"/>
      <c r="ID57" s="27"/>
      <c r="IE57" s="27"/>
      <c r="IF57" s="27"/>
      <c r="IG57" s="27"/>
      <c r="IH57" s="27"/>
      <c r="II57" s="27"/>
      <c r="IJ57" s="27"/>
      <c r="IK57" s="27"/>
      <c r="IL57" s="27"/>
      <c r="IM57" s="27"/>
      <c r="IN57" s="27"/>
      <c r="IO57" s="27"/>
      <c r="IP57" s="27"/>
      <c r="IQ57" s="27"/>
      <c r="IR57" s="27"/>
      <c r="IS57" s="27"/>
      <c r="IT57" s="27"/>
      <c r="IU57" s="27"/>
      <c r="IV57" s="27"/>
    </row>
    <row r="58" spans="1:256" x14ac:dyDescent="0.25">
      <c r="A58" s="27"/>
      <c r="B58" s="27"/>
      <c r="C58" s="28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V58" s="27"/>
    </row>
    <row r="59" spans="1:256" x14ac:dyDescent="0.25">
      <c r="A59" s="27"/>
      <c r="B59" s="27"/>
      <c r="C59" s="28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  <c r="BW59" s="27"/>
      <c r="BX59" s="27"/>
      <c r="BY59" s="27"/>
      <c r="BZ59" s="27"/>
      <c r="CA59" s="27"/>
      <c r="CB59" s="27"/>
      <c r="CC59" s="27"/>
      <c r="CD59" s="27"/>
      <c r="CE59" s="27"/>
      <c r="CF59" s="27"/>
      <c r="CG59" s="27"/>
      <c r="CH59" s="27"/>
      <c r="CI59" s="27"/>
      <c r="CJ59" s="27"/>
      <c r="CK59" s="27"/>
      <c r="CL59" s="27"/>
      <c r="CM59" s="27"/>
      <c r="CN59" s="27"/>
      <c r="CO59" s="27"/>
      <c r="CP59" s="27"/>
      <c r="CQ59" s="27"/>
      <c r="CR59" s="27"/>
      <c r="CS59" s="27"/>
      <c r="CT59" s="27"/>
      <c r="CU59" s="27"/>
      <c r="CV59" s="27"/>
      <c r="CW59" s="27"/>
      <c r="CX59" s="27"/>
      <c r="CY59" s="27"/>
      <c r="CZ59" s="27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7"/>
      <c r="DL59" s="27"/>
      <c r="DM59" s="27"/>
      <c r="DN59" s="27"/>
      <c r="DO59" s="27"/>
      <c r="DP59" s="27"/>
      <c r="DQ59" s="27"/>
      <c r="DR59" s="27"/>
      <c r="DS59" s="27"/>
      <c r="DT59" s="27"/>
      <c r="DU59" s="27"/>
      <c r="DV59" s="27"/>
      <c r="DW59" s="27"/>
      <c r="DX59" s="27"/>
      <c r="DY59" s="27"/>
      <c r="DZ59" s="27"/>
      <c r="EA59" s="27"/>
      <c r="EB59" s="27"/>
      <c r="EC59" s="27"/>
      <c r="ED59" s="27"/>
      <c r="EE59" s="27"/>
      <c r="EF59" s="27"/>
      <c r="EG59" s="27"/>
      <c r="EH59" s="27"/>
      <c r="EI59" s="27"/>
      <c r="EJ59" s="27"/>
      <c r="EK59" s="27"/>
      <c r="EL59" s="27"/>
      <c r="EM59" s="27"/>
      <c r="EN59" s="27"/>
      <c r="EO59" s="27"/>
      <c r="EP59" s="27"/>
      <c r="EQ59" s="27"/>
      <c r="ER59" s="27"/>
      <c r="ES59" s="27"/>
      <c r="ET59" s="27"/>
      <c r="EU59" s="27"/>
      <c r="EV59" s="27"/>
      <c r="EW59" s="27"/>
      <c r="EX59" s="27"/>
      <c r="EY59" s="27"/>
      <c r="EZ59" s="27"/>
      <c r="FA59" s="27"/>
      <c r="FB59" s="27"/>
      <c r="FC59" s="27"/>
      <c r="FD59" s="27"/>
      <c r="FE59" s="27"/>
      <c r="FF59" s="27"/>
      <c r="FG59" s="27"/>
      <c r="FH59" s="27"/>
      <c r="FI59" s="27"/>
      <c r="FJ59" s="27"/>
      <c r="FK59" s="27"/>
      <c r="FL59" s="27"/>
      <c r="FM59" s="27"/>
      <c r="FN59" s="27"/>
      <c r="FO59" s="27"/>
      <c r="FP59" s="27"/>
      <c r="FQ59" s="27"/>
      <c r="FR59" s="27"/>
      <c r="FS59" s="27"/>
      <c r="FT59" s="27"/>
      <c r="FU59" s="27"/>
      <c r="FV59" s="27"/>
      <c r="FW59" s="27"/>
      <c r="FX59" s="27"/>
      <c r="FY59" s="27"/>
      <c r="FZ59" s="27"/>
      <c r="GA59" s="27"/>
      <c r="GB59" s="27"/>
      <c r="GC59" s="27"/>
      <c r="GD59" s="27"/>
      <c r="GE59" s="27"/>
      <c r="GF59" s="27"/>
      <c r="GG59" s="27"/>
      <c r="GH59" s="27"/>
      <c r="GI59" s="27"/>
      <c r="GJ59" s="27"/>
      <c r="GK59" s="27"/>
      <c r="GL59" s="27"/>
      <c r="GM59" s="27"/>
      <c r="GN59" s="27"/>
      <c r="GO59" s="27"/>
      <c r="GP59" s="27"/>
      <c r="GQ59" s="27"/>
      <c r="GR59" s="27"/>
      <c r="GS59" s="27"/>
      <c r="GT59" s="27"/>
      <c r="GU59" s="27"/>
      <c r="GV59" s="27"/>
      <c r="GW59" s="27"/>
      <c r="GX59" s="27"/>
      <c r="GY59" s="27"/>
      <c r="GZ59" s="27"/>
      <c r="HA59" s="27"/>
      <c r="HB59" s="27"/>
      <c r="HC59" s="27"/>
      <c r="HD59" s="27"/>
      <c r="HE59" s="27"/>
      <c r="HF59" s="27"/>
      <c r="HG59" s="27"/>
      <c r="HH59" s="27"/>
      <c r="HI59" s="27"/>
      <c r="HJ59" s="27"/>
      <c r="HK59" s="27"/>
      <c r="HL59" s="27"/>
      <c r="HM59" s="27"/>
      <c r="HN59" s="27"/>
      <c r="HO59" s="27"/>
      <c r="HP59" s="27"/>
      <c r="HQ59" s="27"/>
      <c r="HR59" s="27"/>
      <c r="HS59" s="27"/>
      <c r="HT59" s="27"/>
      <c r="HU59" s="27"/>
      <c r="HV59" s="27"/>
      <c r="HW59" s="27"/>
      <c r="HX59" s="27"/>
      <c r="HY59" s="27"/>
      <c r="HZ59" s="27"/>
      <c r="IA59" s="27"/>
      <c r="IB59" s="27"/>
      <c r="IC59" s="27"/>
      <c r="ID59" s="27"/>
      <c r="IE59" s="27"/>
      <c r="IF59" s="27"/>
      <c r="IG59" s="27"/>
      <c r="IH59" s="27"/>
      <c r="II59" s="27"/>
      <c r="IJ59" s="27"/>
      <c r="IK59" s="27"/>
      <c r="IL59" s="27"/>
      <c r="IM59" s="27"/>
      <c r="IN59" s="27"/>
      <c r="IO59" s="27"/>
      <c r="IP59" s="27"/>
      <c r="IQ59" s="27"/>
      <c r="IR59" s="27"/>
      <c r="IS59" s="27"/>
      <c r="IT59" s="27"/>
      <c r="IU59" s="27"/>
      <c r="IV59" s="27"/>
    </row>
    <row r="60" spans="1:256" x14ac:dyDescent="0.25">
      <c r="A60" s="27"/>
      <c r="B60" s="27"/>
      <c r="C60" s="28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7"/>
      <c r="CB60" s="27"/>
      <c r="CC60" s="27"/>
      <c r="CD60" s="27"/>
      <c r="CE60" s="27"/>
      <c r="CF60" s="27"/>
      <c r="CG60" s="27"/>
      <c r="CH60" s="27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7"/>
      <c r="CV60" s="27"/>
      <c r="CW60" s="27"/>
      <c r="CX60" s="27"/>
      <c r="CY60" s="27"/>
      <c r="CZ60" s="27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7"/>
      <c r="DL60" s="27"/>
      <c r="DM60" s="27"/>
      <c r="DN60" s="27"/>
      <c r="DO60" s="27"/>
      <c r="DP60" s="27"/>
      <c r="DQ60" s="27"/>
      <c r="DR60" s="27"/>
      <c r="DS60" s="27"/>
      <c r="DT60" s="27"/>
      <c r="DU60" s="27"/>
      <c r="DV60" s="27"/>
      <c r="DW60" s="27"/>
      <c r="DX60" s="27"/>
      <c r="DY60" s="27"/>
      <c r="DZ60" s="27"/>
      <c r="EA60" s="27"/>
      <c r="EB60" s="27"/>
      <c r="EC60" s="27"/>
      <c r="ED60" s="27"/>
      <c r="EE60" s="27"/>
      <c r="EF60" s="27"/>
      <c r="EG60" s="27"/>
      <c r="EH60" s="27"/>
      <c r="EI60" s="27"/>
      <c r="EJ60" s="27"/>
      <c r="EK60" s="27"/>
      <c r="EL60" s="27"/>
      <c r="EM60" s="27"/>
      <c r="EN60" s="27"/>
      <c r="EO60" s="27"/>
      <c r="EP60" s="27"/>
      <c r="EQ60" s="27"/>
      <c r="ER60" s="27"/>
      <c r="ES60" s="27"/>
      <c r="ET60" s="27"/>
      <c r="EU60" s="27"/>
      <c r="EV60" s="27"/>
      <c r="EW60" s="27"/>
      <c r="EX60" s="27"/>
      <c r="EY60" s="27"/>
      <c r="EZ60" s="27"/>
      <c r="FA60" s="27"/>
      <c r="FB60" s="27"/>
      <c r="FC60" s="27"/>
      <c r="FD60" s="27"/>
      <c r="FE60" s="27"/>
      <c r="FF60" s="27"/>
      <c r="FG60" s="27"/>
      <c r="FH60" s="27"/>
      <c r="FI60" s="27"/>
      <c r="FJ60" s="27"/>
      <c r="FK60" s="27"/>
      <c r="FL60" s="27"/>
      <c r="FM60" s="27"/>
      <c r="FN60" s="27"/>
      <c r="FO60" s="27"/>
      <c r="FP60" s="27"/>
      <c r="FQ60" s="27"/>
      <c r="FR60" s="27"/>
      <c r="FS60" s="27"/>
      <c r="FT60" s="27"/>
      <c r="FU60" s="27"/>
      <c r="FV60" s="27"/>
      <c r="FW60" s="27"/>
      <c r="FX60" s="27"/>
      <c r="FY60" s="27"/>
      <c r="FZ60" s="27"/>
      <c r="GA60" s="27"/>
      <c r="GB60" s="27"/>
      <c r="GC60" s="27"/>
      <c r="GD60" s="27"/>
      <c r="GE60" s="27"/>
      <c r="GF60" s="27"/>
      <c r="GG60" s="27"/>
      <c r="GH60" s="27"/>
      <c r="GI60" s="27"/>
      <c r="GJ60" s="27"/>
      <c r="GK60" s="27"/>
      <c r="GL60" s="27"/>
      <c r="GM60" s="27"/>
      <c r="GN60" s="27"/>
      <c r="GO60" s="27"/>
      <c r="GP60" s="27"/>
      <c r="GQ60" s="27"/>
      <c r="GR60" s="27"/>
      <c r="GS60" s="27"/>
      <c r="GT60" s="27"/>
      <c r="GU60" s="27"/>
      <c r="GV60" s="27"/>
      <c r="GW60" s="27"/>
      <c r="GX60" s="27"/>
      <c r="GY60" s="27"/>
      <c r="GZ60" s="27"/>
      <c r="HA60" s="27"/>
      <c r="HB60" s="27"/>
      <c r="HC60" s="27"/>
      <c r="HD60" s="27"/>
      <c r="HE60" s="27"/>
      <c r="HF60" s="27"/>
      <c r="HG60" s="27"/>
      <c r="HH60" s="27"/>
      <c r="HI60" s="27"/>
      <c r="HJ60" s="27"/>
      <c r="HK60" s="27"/>
      <c r="HL60" s="27"/>
      <c r="HM60" s="27"/>
      <c r="HN60" s="27"/>
      <c r="HO60" s="27"/>
      <c r="HP60" s="27"/>
      <c r="HQ60" s="27"/>
      <c r="HR60" s="27"/>
      <c r="HS60" s="27"/>
      <c r="HT60" s="27"/>
      <c r="HU60" s="27"/>
      <c r="HV60" s="27"/>
      <c r="HW60" s="27"/>
      <c r="HX60" s="27"/>
      <c r="HY60" s="27"/>
      <c r="HZ60" s="27"/>
      <c r="IA60" s="27"/>
      <c r="IB60" s="27"/>
      <c r="IC60" s="27"/>
      <c r="ID60" s="27"/>
      <c r="IE60" s="27"/>
      <c r="IF60" s="27"/>
      <c r="IG60" s="27"/>
      <c r="IH60" s="27"/>
      <c r="II60" s="27"/>
      <c r="IJ60" s="27"/>
      <c r="IK60" s="27"/>
      <c r="IL60" s="27"/>
      <c r="IM60" s="27"/>
      <c r="IN60" s="27"/>
      <c r="IO60" s="27"/>
      <c r="IP60" s="27"/>
      <c r="IQ60" s="27"/>
      <c r="IR60" s="27"/>
      <c r="IS60" s="27"/>
      <c r="IT60" s="27"/>
      <c r="IU60" s="27"/>
      <c r="IV60" s="27"/>
    </row>
    <row r="61" spans="1:256" x14ac:dyDescent="0.25">
      <c r="A61" s="27"/>
      <c r="B61" s="27"/>
      <c r="C61" s="28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27"/>
      <c r="AD61" s="27"/>
      <c r="AE61" s="27"/>
      <c r="AF61" s="27"/>
      <c r="AG61" s="27"/>
      <c r="AH61" s="27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  <c r="BW61" s="27"/>
      <c r="BX61" s="27"/>
      <c r="BY61" s="27"/>
      <c r="BZ61" s="27"/>
      <c r="CA61" s="27"/>
      <c r="CB61" s="27"/>
      <c r="CC61" s="27"/>
      <c r="CD61" s="27"/>
      <c r="CE61" s="27"/>
      <c r="CF61" s="27"/>
      <c r="CG61" s="27"/>
      <c r="CH61" s="27"/>
      <c r="CI61" s="27"/>
      <c r="CJ61" s="27"/>
      <c r="CK61" s="27"/>
      <c r="CL61" s="27"/>
      <c r="CM61" s="27"/>
      <c r="CN61" s="27"/>
      <c r="CO61" s="27"/>
      <c r="CP61" s="27"/>
      <c r="CQ61" s="27"/>
      <c r="CR61" s="27"/>
      <c r="CS61" s="27"/>
      <c r="CT61" s="27"/>
      <c r="CU61" s="27"/>
      <c r="CV61" s="27"/>
      <c r="CW61" s="27"/>
      <c r="CX61" s="27"/>
      <c r="CY61" s="27"/>
      <c r="CZ61" s="27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7"/>
      <c r="DL61" s="27"/>
      <c r="DM61" s="27"/>
      <c r="DN61" s="27"/>
      <c r="DO61" s="27"/>
      <c r="DP61" s="27"/>
      <c r="DQ61" s="27"/>
      <c r="DR61" s="27"/>
      <c r="DS61" s="27"/>
      <c r="DT61" s="27"/>
      <c r="DU61" s="27"/>
      <c r="DV61" s="27"/>
      <c r="DW61" s="27"/>
      <c r="DX61" s="27"/>
      <c r="DY61" s="27"/>
      <c r="DZ61" s="27"/>
      <c r="EA61" s="27"/>
      <c r="EB61" s="27"/>
      <c r="EC61" s="27"/>
      <c r="ED61" s="27"/>
      <c r="EE61" s="27"/>
      <c r="EF61" s="27"/>
      <c r="EG61" s="27"/>
      <c r="EH61" s="27"/>
      <c r="EI61" s="27"/>
      <c r="EJ61" s="27"/>
      <c r="EK61" s="27"/>
      <c r="EL61" s="27"/>
      <c r="EM61" s="27"/>
      <c r="EN61" s="27"/>
      <c r="EO61" s="27"/>
      <c r="EP61" s="27"/>
      <c r="EQ61" s="27"/>
      <c r="ER61" s="27"/>
      <c r="ES61" s="27"/>
      <c r="ET61" s="27"/>
      <c r="EU61" s="27"/>
      <c r="EV61" s="27"/>
      <c r="EW61" s="27"/>
      <c r="EX61" s="27"/>
      <c r="EY61" s="27"/>
      <c r="EZ61" s="27"/>
      <c r="FA61" s="27"/>
      <c r="FB61" s="27"/>
      <c r="FC61" s="27"/>
      <c r="FD61" s="27"/>
      <c r="FE61" s="27"/>
      <c r="FF61" s="27"/>
      <c r="FG61" s="27"/>
      <c r="FH61" s="27"/>
      <c r="FI61" s="27"/>
      <c r="FJ61" s="27"/>
      <c r="FK61" s="27"/>
      <c r="FL61" s="27"/>
      <c r="FM61" s="27"/>
      <c r="FN61" s="27"/>
      <c r="FO61" s="27"/>
      <c r="FP61" s="27"/>
      <c r="FQ61" s="27"/>
      <c r="FR61" s="27"/>
      <c r="FS61" s="27"/>
      <c r="FT61" s="27"/>
      <c r="FU61" s="27"/>
      <c r="FV61" s="27"/>
      <c r="FW61" s="27"/>
      <c r="FX61" s="27"/>
      <c r="FY61" s="27"/>
      <c r="FZ61" s="27"/>
      <c r="GA61" s="27"/>
      <c r="GB61" s="27"/>
      <c r="GC61" s="27"/>
      <c r="GD61" s="27"/>
      <c r="GE61" s="27"/>
      <c r="GF61" s="27"/>
      <c r="GG61" s="27"/>
      <c r="GH61" s="27"/>
      <c r="GI61" s="27"/>
      <c r="GJ61" s="27"/>
      <c r="GK61" s="27"/>
      <c r="GL61" s="27"/>
      <c r="GM61" s="27"/>
      <c r="GN61" s="27"/>
      <c r="GO61" s="27"/>
      <c r="GP61" s="27"/>
      <c r="GQ61" s="27"/>
      <c r="GR61" s="27"/>
      <c r="GS61" s="27"/>
      <c r="GT61" s="27"/>
      <c r="GU61" s="27"/>
      <c r="GV61" s="27"/>
      <c r="GW61" s="27"/>
      <c r="GX61" s="27"/>
      <c r="GY61" s="27"/>
      <c r="GZ61" s="27"/>
      <c r="HA61" s="27"/>
      <c r="HB61" s="27"/>
      <c r="HC61" s="27"/>
      <c r="HD61" s="27"/>
      <c r="HE61" s="27"/>
      <c r="HF61" s="27"/>
      <c r="HG61" s="27"/>
      <c r="HH61" s="27"/>
      <c r="HI61" s="27"/>
      <c r="HJ61" s="27"/>
      <c r="HK61" s="27"/>
      <c r="HL61" s="27"/>
      <c r="HM61" s="27"/>
      <c r="HN61" s="27"/>
      <c r="HO61" s="27"/>
      <c r="HP61" s="27"/>
      <c r="HQ61" s="27"/>
      <c r="HR61" s="27"/>
      <c r="HS61" s="27"/>
      <c r="HT61" s="27"/>
      <c r="HU61" s="27"/>
      <c r="HV61" s="27"/>
      <c r="HW61" s="27"/>
      <c r="HX61" s="27"/>
      <c r="HY61" s="27"/>
      <c r="HZ61" s="27"/>
      <c r="IA61" s="27"/>
      <c r="IB61" s="27"/>
      <c r="IC61" s="27"/>
      <c r="ID61" s="27"/>
      <c r="IE61" s="27"/>
      <c r="IF61" s="27"/>
      <c r="IG61" s="27"/>
      <c r="IH61" s="27"/>
      <c r="II61" s="27"/>
      <c r="IJ61" s="27"/>
      <c r="IK61" s="27"/>
      <c r="IL61" s="27"/>
      <c r="IM61" s="27"/>
      <c r="IN61" s="27"/>
      <c r="IO61" s="27"/>
      <c r="IP61" s="27"/>
      <c r="IQ61" s="27"/>
      <c r="IR61" s="27"/>
      <c r="IS61" s="27"/>
      <c r="IT61" s="27"/>
      <c r="IU61" s="27"/>
      <c r="IV61" s="27"/>
    </row>
    <row r="62" spans="1:256" x14ac:dyDescent="0.25">
      <c r="A62" s="27"/>
      <c r="B62" s="27"/>
      <c r="C62" s="28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  <c r="AE62" s="27"/>
      <c r="AF62" s="27"/>
      <c r="AG62" s="27"/>
      <c r="AH62" s="27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  <c r="BW62" s="27"/>
      <c r="BX62" s="27"/>
      <c r="BY62" s="27"/>
      <c r="BZ62" s="27"/>
      <c r="CA62" s="27"/>
      <c r="CB62" s="27"/>
      <c r="CC62" s="27"/>
      <c r="CD62" s="27"/>
      <c r="CE62" s="27"/>
      <c r="CF62" s="27"/>
      <c r="CG62" s="27"/>
      <c r="CH62" s="27"/>
      <c r="CI62" s="27"/>
      <c r="CJ62" s="27"/>
      <c r="CK62" s="27"/>
      <c r="CL62" s="27"/>
      <c r="CM62" s="27"/>
      <c r="CN62" s="27"/>
      <c r="CO62" s="27"/>
      <c r="CP62" s="27"/>
      <c r="CQ62" s="27"/>
      <c r="CR62" s="27"/>
      <c r="CS62" s="27"/>
      <c r="CT62" s="27"/>
      <c r="CU62" s="27"/>
      <c r="CV62" s="27"/>
      <c r="CW62" s="27"/>
      <c r="CX62" s="27"/>
      <c r="CY62" s="27"/>
      <c r="CZ62" s="27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7"/>
      <c r="DL62" s="27"/>
      <c r="DM62" s="27"/>
      <c r="DN62" s="27"/>
      <c r="DO62" s="27"/>
      <c r="DP62" s="27"/>
      <c r="DQ62" s="27"/>
      <c r="DR62" s="27"/>
      <c r="DS62" s="27"/>
      <c r="DT62" s="27"/>
      <c r="DU62" s="27"/>
      <c r="DV62" s="27"/>
      <c r="DW62" s="27"/>
      <c r="DX62" s="27"/>
      <c r="DY62" s="27"/>
      <c r="DZ62" s="27"/>
      <c r="EA62" s="27"/>
      <c r="EB62" s="27"/>
      <c r="EC62" s="27"/>
      <c r="ED62" s="27"/>
      <c r="EE62" s="27"/>
      <c r="EF62" s="27"/>
      <c r="EG62" s="27"/>
      <c r="EH62" s="27"/>
      <c r="EI62" s="27"/>
      <c r="EJ62" s="27"/>
      <c r="EK62" s="27"/>
      <c r="EL62" s="27"/>
      <c r="EM62" s="27"/>
      <c r="EN62" s="27"/>
      <c r="EO62" s="27"/>
      <c r="EP62" s="27"/>
      <c r="EQ62" s="27"/>
      <c r="ER62" s="27"/>
      <c r="ES62" s="27"/>
      <c r="ET62" s="27"/>
      <c r="EU62" s="27"/>
      <c r="EV62" s="27"/>
      <c r="EW62" s="27"/>
      <c r="EX62" s="27"/>
      <c r="EY62" s="27"/>
      <c r="EZ62" s="27"/>
      <c r="FA62" s="27"/>
      <c r="FB62" s="27"/>
      <c r="FC62" s="27"/>
      <c r="FD62" s="27"/>
      <c r="FE62" s="27"/>
      <c r="FF62" s="27"/>
      <c r="FG62" s="27"/>
      <c r="FH62" s="27"/>
      <c r="FI62" s="27"/>
      <c r="FJ62" s="27"/>
      <c r="FK62" s="27"/>
      <c r="FL62" s="27"/>
      <c r="FM62" s="27"/>
      <c r="FN62" s="27"/>
      <c r="FO62" s="27"/>
      <c r="FP62" s="27"/>
      <c r="FQ62" s="27"/>
      <c r="FR62" s="27"/>
      <c r="FS62" s="27"/>
      <c r="FT62" s="27"/>
      <c r="FU62" s="27"/>
      <c r="FV62" s="27"/>
      <c r="FW62" s="27"/>
      <c r="FX62" s="27"/>
      <c r="FY62" s="27"/>
      <c r="FZ62" s="27"/>
      <c r="GA62" s="27"/>
      <c r="GB62" s="27"/>
      <c r="GC62" s="27"/>
      <c r="GD62" s="27"/>
      <c r="GE62" s="27"/>
      <c r="GF62" s="27"/>
      <c r="GG62" s="27"/>
      <c r="GH62" s="27"/>
      <c r="GI62" s="27"/>
      <c r="GJ62" s="27"/>
      <c r="GK62" s="27"/>
      <c r="GL62" s="27"/>
      <c r="GM62" s="27"/>
      <c r="GN62" s="27"/>
      <c r="GO62" s="27"/>
      <c r="GP62" s="27"/>
      <c r="GQ62" s="27"/>
      <c r="GR62" s="27"/>
      <c r="GS62" s="27"/>
      <c r="GT62" s="27"/>
      <c r="GU62" s="27"/>
      <c r="GV62" s="27"/>
      <c r="GW62" s="27"/>
      <c r="GX62" s="27"/>
      <c r="GY62" s="27"/>
      <c r="GZ62" s="27"/>
      <c r="HA62" s="27"/>
      <c r="HB62" s="27"/>
      <c r="HC62" s="27"/>
      <c r="HD62" s="27"/>
      <c r="HE62" s="27"/>
      <c r="HF62" s="27"/>
      <c r="HG62" s="27"/>
      <c r="HH62" s="27"/>
      <c r="HI62" s="27"/>
      <c r="HJ62" s="27"/>
      <c r="HK62" s="27"/>
      <c r="HL62" s="27"/>
      <c r="HM62" s="27"/>
      <c r="HN62" s="27"/>
      <c r="HO62" s="27"/>
      <c r="HP62" s="27"/>
      <c r="HQ62" s="27"/>
      <c r="HR62" s="27"/>
      <c r="HS62" s="27"/>
      <c r="HT62" s="27"/>
      <c r="HU62" s="27"/>
      <c r="HV62" s="27"/>
      <c r="HW62" s="27"/>
      <c r="HX62" s="27"/>
      <c r="HY62" s="27"/>
      <c r="HZ62" s="27"/>
      <c r="IA62" s="27"/>
      <c r="IB62" s="27"/>
      <c r="IC62" s="27"/>
      <c r="ID62" s="27"/>
      <c r="IE62" s="27"/>
      <c r="IF62" s="27"/>
      <c r="IG62" s="27"/>
      <c r="IH62" s="27"/>
      <c r="II62" s="27"/>
      <c r="IJ62" s="27"/>
      <c r="IK62" s="27"/>
      <c r="IL62" s="27"/>
      <c r="IM62" s="27"/>
      <c r="IN62" s="27"/>
      <c r="IO62" s="27"/>
      <c r="IP62" s="27"/>
      <c r="IQ62" s="27"/>
      <c r="IR62" s="27"/>
      <c r="IS62" s="27"/>
      <c r="IT62" s="27"/>
      <c r="IU62" s="27"/>
      <c r="IV62" s="27"/>
    </row>
    <row r="63" spans="1:256" x14ac:dyDescent="0.25">
      <c r="A63" s="27"/>
      <c r="B63" s="27"/>
      <c r="C63" s="28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  <c r="BW63" s="27"/>
      <c r="BX63" s="27"/>
      <c r="BY63" s="27"/>
      <c r="BZ63" s="27"/>
      <c r="CA63" s="27"/>
      <c r="CB63" s="27"/>
      <c r="CC63" s="27"/>
      <c r="CD63" s="27"/>
      <c r="CE63" s="27"/>
      <c r="CF63" s="27"/>
      <c r="CG63" s="27"/>
      <c r="CH63" s="27"/>
      <c r="CI63" s="27"/>
      <c r="CJ63" s="27"/>
      <c r="CK63" s="27"/>
      <c r="CL63" s="27"/>
      <c r="CM63" s="27"/>
      <c r="CN63" s="27"/>
      <c r="CO63" s="27"/>
      <c r="CP63" s="27"/>
      <c r="CQ63" s="27"/>
      <c r="CR63" s="27"/>
      <c r="CS63" s="27"/>
      <c r="CT63" s="27"/>
      <c r="CU63" s="27"/>
      <c r="CV63" s="27"/>
      <c r="CW63" s="27"/>
      <c r="CX63" s="27"/>
      <c r="CY63" s="27"/>
      <c r="CZ63" s="27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7"/>
      <c r="DL63" s="27"/>
      <c r="DM63" s="27"/>
      <c r="DN63" s="27"/>
      <c r="DO63" s="27"/>
      <c r="DP63" s="27"/>
      <c r="DQ63" s="27"/>
      <c r="DR63" s="27"/>
      <c r="DS63" s="27"/>
      <c r="DT63" s="27"/>
      <c r="DU63" s="27"/>
      <c r="DV63" s="27"/>
      <c r="DW63" s="27"/>
      <c r="DX63" s="27"/>
      <c r="DY63" s="27"/>
      <c r="DZ63" s="27"/>
      <c r="EA63" s="27"/>
      <c r="EB63" s="27"/>
      <c r="EC63" s="27"/>
      <c r="ED63" s="27"/>
      <c r="EE63" s="27"/>
      <c r="EF63" s="27"/>
      <c r="EG63" s="27"/>
      <c r="EH63" s="27"/>
      <c r="EI63" s="27"/>
      <c r="EJ63" s="27"/>
      <c r="EK63" s="27"/>
      <c r="EL63" s="27"/>
      <c r="EM63" s="27"/>
      <c r="EN63" s="27"/>
      <c r="EO63" s="27"/>
      <c r="EP63" s="27"/>
      <c r="EQ63" s="27"/>
      <c r="ER63" s="27"/>
      <c r="ES63" s="27"/>
      <c r="ET63" s="27"/>
      <c r="EU63" s="27"/>
      <c r="EV63" s="27"/>
      <c r="EW63" s="27"/>
      <c r="EX63" s="27"/>
      <c r="EY63" s="27"/>
      <c r="EZ63" s="27"/>
      <c r="FA63" s="27"/>
      <c r="FB63" s="27"/>
      <c r="FC63" s="27"/>
      <c r="FD63" s="27"/>
      <c r="FE63" s="27"/>
      <c r="FF63" s="27"/>
      <c r="FG63" s="27"/>
      <c r="FH63" s="27"/>
      <c r="FI63" s="27"/>
      <c r="FJ63" s="27"/>
      <c r="FK63" s="27"/>
      <c r="FL63" s="27"/>
      <c r="FM63" s="27"/>
      <c r="FN63" s="27"/>
      <c r="FO63" s="27"/>
      <c r="FP63" s="27"/>
      <c r="FQ63" s="27"/>
      <c r="FR63" s="27"/>
      <c r="FS63" s="27"/>
      <c r="FT63" s="27"/>
      <c r="FU63" s="27"/>
      <c r="FV63" s="27"/>
      <c r="FW63" s="27"/>
      <c r="FX63" s="27"/>
      <c r="FY63" s="27"/>
      <c r="FZ63" s="27"/>
      <c r="GA63" s="27"/>
      <c r="GB63" s="27"/>
      <c r="GC63" s="27"/>
      <c r="GD63" s="27"/>
      <c r="GE63" s="27"/>
      <c r="GF63" s="27"/>
      <c r="GG63" s="27"/>
      <c r="GH63" s="27"/>
      <c r="GI63" s="27"/>
      <c r="GJ63" s="27"/>
      <c r="GK63" s="27"/>
      <c r="GL63" s="27"/>
      <c r="GM63" s="27"/>
      <c r="GN63" s="27"/>
      <c r="GO63" s="27"/>
      <c r="GP63" s="27"/>
      <c r="GQ63" s="27"/>
      <c r="GR63" s="27"/>
      <c r="GS63" s="27"/>
      <c r="GT63" s="27"/>
      <c r="GU63" s="27"/>
      <c r="GV63" s="27"/>
      <c r="GW63" s="27"/>
      <c r="GX63" s="27"/>
      <c r="GY63" s="27"/>
      <c r="GZ63" s="27"/>
      <c r="HA63" s="27"/>
      <c r="HB63" s="27"/>
      <c r="HC63" s="27"/>
      <c r="HD63" s="27"/>
      <c r="HE63" s="27"/>
      <c r="HF63" s="27"/>
      <c r="HG63" s="27"/>
      <c r="HH63" s="27"/>
      <c r="HI63" s="27"/>
      <c r="HJ63" s="27"/>
      <c r="HK63" s="27"/>
      <c r="HL63" s="27"/>
      <c r="HM63" s="27"/>
      <c r="HN63" s="27"/>
      <c r="HO63" s="27"/>
      <c r="HP63" s="27"/>
      <c r="HQ63" s="27"/>
      <c r="HR63" s="27"/>
      <c r="HS63" s="27"/>
      <c r="HT63" s="27"/>
      <c r="HU63" s="27"/>
      <c r="HV63" s="27"/>
      <c r="HW63" s="27"/>
      <c r="HX63" s="27"/>
      <c r="HY63" s="27"/>
      <c r="HZ63" s="27"/>
      <c r="IA63" s="27"/>
      <c r="IB63" s="27"/>
      <c r="IC63" s="27"/>
      <c r="ID63" s="27"/>
      <c r="IE63" s="27"/>
      <c r="IF63" s="27"/>
      <c r="IG63" s="27"/>
      <c r="IH63" s="27"/>
      <c r="II63" s="27"/>
      <c r="IJ63" s="27"/>
      <c r="IK63" s="27"/>
      <c r="IL63" s="27"/>
      <c r="IM63" s="27"/>
      <c r="IN63" s="27"/>
      <c r="IO63" s="27"/>
      <c r="IP63" s="27"/>
      <c r="IQ63" s="27"/>
      <c r="IR63" s="27"/>
      <c r="IS63" s="27"/>
      <c r="IT63" s="27"/>
      <c r="IU63" s="27"/>
      <c r="IV63" s="27"/>
    </row>
    <row r="64" spans="1:256" x14ac:dyDescent="0.25">
      <c r="A64" s="27"/>
      <c r="B64" s="27"/>
      <c r="C64" s="28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  <c r="AE64" s="27"/>
      <c r="AF64" s="27"/>
      <c r="AG64" s="27"/>
      <c r="AH64" s="27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  <c r="BW64" s="27"/>
      <c r="BX64" s="27"/>
      <c r="BY64" s="27"/>
      <c r="BZ64" s="27"/>
      <c r="CA64" s="27"/>
      <c r="CB64" s="27"/>
      <c r="CC64" s="27"/>
      <c r="CD64" s="27"/>
      <c r="CE64" s="27"/>
      <c r="CF64" s="27"/>
      <c r="CG64" s="27"/>
      <c r="CH64" s="27"/>
      <c r="CI64" s="27"/>
      <c r="CJ64" s="27"/>
      <c r="CK64" s="27"/>
      <c r="CL64" s="27"/>
      <c r="CM64" s="27"/>
      <c r="CN64" s="27"/>
      <c r="CO64" s="27"/>
      <c r="CP64" s="27"/>
      <c r="CQ64" s="27"/>
      <c r="CR64" s="27"/>
      <c r="CS64" s="27"/>
      <c r="CT64" s="27"/>
      <c r="CU64" s="27"/>
      <c r="CV64" s="27"/>
      <c r="CW64" s="27"/>
      <c r="CX64" s="27"/>
      <c r="CY64" s="27"/>
      <c r="CZ64" s="27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7"/>
      <c r="DL64" s="27"/>
      <c r="DM64" s="27"/>
      <c r="DN64" s="27"/>
      <c r="DO64" s="27"/>
      <c r="DP64" s="27"/>
      <c r="DQ64" s="27"/>
      <c r="DR64" s="27"/>
      <c r="DS64" s="27"/>
      <c r="DT64" s="27"/>
      <c r="DU64" s="27"/>
      <c r="DV64" s="27"/>
      <c r="DW64" s="27"/>
      <c r="DX64" s="27"/>
      <c r="DY64" s="27"/>
      <c r="DZ64" s="27"/>
      <c r="EA64" s="27"/>
      <c r="EB64" s="27"/>
      <c r="EC64" s="27"/>
      <c r="ED64" s="27"/>
      <c r="EE64" s="27"/>
      <c r="EF64" s="27"/>
      <c r="EG64" s="27"/>
      <c r="EH64" s="27"/>
      <c r="EI64" s="27"/>
      <c r="EJ64" s="27"/>
      <c r="EK64" s="27"/>
      <c r="EL64" s="27"/>
      <c r="EM64" s="27"/>
      <c r="EN64" s="27"/>
      <c r="EO64" s="27"/>
      <c r="EP64" s="27"/>
      <c r="EQ64" s="27"/>
      <c r="ER64" s="27"/>
      <c r="ES64" s="27"/>
      <c r="ET64" s="27"/>
      <c r="EU64" s="27"/>
      <c r="EV64" s="27"/>
      <c r="EW64" s="27"/>
      <c r="EX64" s="27"/>
      <c r="EY64" s="27"/>
      <c r="EZ64" s="27"/>
      <c r="FA64" s="27"/>
      <c r="FB64" s="27"/>
      <c r="FC64" s="27"/>
      <c r="FD64" s="27"/>
      <c r="FE64" s="27"/>
      <c r="FF64" s="27"/>
      <c r="FG64" s="27"/>
      <c r="FH64" s="27"/>
      <c r="FI64" s="27"/>
      <c r="FJ64" s="27"/>
      <c r="FK64" s="27"/>
      <c r="FL64" s="27"/>
      <c r="FM64" s="27"/>
      <c r="FN64" s="27"/>
      <c r="FO64" s="27"/>
      <c r="FP64" s="27"/>
      <c r="FQ64" s="27"/>
      <c r="FR64" s="27"/>
      <c r="FS64" s="27"/>
      <c r="FT64" s="27"/>
      <c r="FU64" s="27"/>
      <c r="FV64" s="27"/>
      <c r="FW64" s="27"/>
      <c r="FX64" s="27"/>
      <c r="FY64" s="27"/>
      <c r="FZ64" s="27"/>
      <c r="GA64" s="27"/>
      <c r="GB64" s="27"/>
      <c r="GC64" s="27"/>
      <c r="GD64" s="27"/>
      <c r="GE64" s="27"/>
      <c r="GF64" s="27"/>
      <c r="GG64" s="27"/>
      <c r="GH64" s="27"/>
      <c r="GI64" s="27"/>
      <c r="GJ64" s="27"/>
      <c r="GK64" s="27"/>
      <c r="GL64" s="27"/>
      <c r="GM64" s="27"/>
      <c r="GN64" s="27"/>
      <c r="GO64" s="27"/>
      <c r="GP64" s="27"/>
      <c r="GQ64" s="27"/>
      <c r="GR64" s="27"/>
      <c r="GS64" s="27"/>
      <c r="GT64" s="27"/>
      <c r="GU64" s="27"/>
      <c r="GV64" s="27"/>
      <c r="GW64" s="27"/>
      <c r="GX64" s="27"/>
      <c r="GY64" s="27"/>
      <c r="GZ64" s="27"/>
      <c r="HA64" s="27"/>
      <c r="HB64" s="27"/>
      <c r="HC64" s="27"/>
      <c r="HD64" s="27"/>
      <c r="HE64" s="27"/>
      <c r="HF64" s="27"/>
      <c r="HG64" s="27"/>
      <c r="HH64" s="27"/>
      <c r="HI64" s="27"/>
      <c r="HJ64" s="27"/>
      <c r="HK64" s="27"/>
      <c r="HL64" s="27"/>
      <c r="HM64" s="27"/>
      <c r="HN64" s="27"/>
      <c r="HO64" s="27"/>
      <c r="HP64" s="27"/>
      <c r="HQ64" s="27"/>
      <c r="HR64" s="27"/>
      <c r="HS64" s="27"/>
      <c r="HT64" s="27"/>
      <c r="HU64" s="27"/>
      <c r="HV64" s="27"/>
      <c r="HW64" s="27"/>
      <c r="HX64" s="27"/>
      <c r="HY64" s="27"/>
      <c r="HZ64" s="27"/>
      <c r="IA64" s="27"/>
      <c r="IB64" s="27"/>
      <c r="IC64" s="27"/>
      <c r="ID64" s="27"/>
      <c r="IE64" s="27"/>
      <c r="IF64" s="27"/>
      <c r="IG64" s="27"/>
      <c r="IH64" s="27"/>
      <c r="II64" s="27"/>
      <c r="IJ64" s="27"/>
      <c r="IK64" s="27"/>
      <c r="IL64" s="27"/>
      <c r="IM64" s="27"/>
      <c r="IN64" s="27"/>
      <c r="IO64" s="27"/>
      <c r="IP64" s="27"/>
      <c r="IQ64" s="27"/>
      <c r="IR64" s="27"/>
      <c r="IS64" s="27"/>
      <c r="IT64" s="27"/>
      <c r="IU64" s="27"/>
      <c r="IV64" s="27"/>
    </row>
    <row r="65" spans="1:256" x14ac:dyDescent="0.25">
      <c r="A65" s="27"/>
      <c r="B65" s="27"/>
      <c r="C65" s="28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  <c r="AE65" s="27"/>
      <c r="AF65" s="27"/>
      <c r="AG65" s="27"/>
      <c r="AH65" s="27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  <c r="BW65" s="27"/>
      <c r="BX65" s="27"/>
      <c r="BY65" s="27"/>
      <c r="BZ65" s="27"/>
      <c r="CA65" s="27"/>
      <c r="CB65" s="27"/>
      <c r="CC65" s="27"/>
      <c r="CD65" s="27"/>
      <c r="CE65" s="27"/>
      <c r="CF65" s="27"/>
      <c r="CG65" s="27"/>
      <c r="CH65" s="27"/>
      <c r="CI65" s="27"/>
      <c r="CJ65" s="27"/>
      <c r="CK65" s="27"/>
      <c r="CL65" s="27"/>
      <c r="CM65" s="27"/>
      <c r="CN65" s="27"/>
      <c r="CO65" s="27"/>
      <c r="CP65" s="27"/>
      <c r="CQ65" s="27"/>
      <c r="CR65" s="27"/>
      <c r="CS65" s="27"/>
      <c r="CT65" s="27"/>
      <c r="CU65" s="27"/>
      <c r="CV65" s="27"/>
      <c r="CW65" s="27"/>
      <c r="CX65" s="27"/>
      <c r="CY65" s="27"/>
      <c r="CZ65" s="27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7"/>
      <c r="DL65" s="27"/>
      <c r="DM65" s="27"/>
      <c r="DN65" s="27"/>
      <c r="DO65" s="27"/>
      <c r="DP65" s="27"/>
      <c r="DQ65" s="27"/>
      <c r="DR65" s="27"/>
      <c r="DS65" s="27"/>
      <c r="DT65" s="27"/>
      <c r="DU65" s="27"/>
      <c r="DV65" s="27"/>
      <c r="DW65" s="27"/>
      <c r="DX65" s="27"/>
      <c r="DY65" s="27"/>
      <c r="DZ65" s="27"/>
      <c r="EA65" s="27"/>
      <c r="EB65" s="27"/>
      <c r="EC65" s="27"/>
      <c r="ED65" s="27"/>
      <c r="EE65" s="27"/>
      <c r="EF65" s="27"/>
      <c r="EG65" s="27"/>
      <c r="EH65" s="27"/>
      <c r="EI65" s="27"/>
      <c r="EJ65" s="27"/>
      <c r="EK65" s="27"/>
      <c r="EL65" s="27"/>
      <c r="EM65" s="27"/>
      <c r="EN65" s="27"/>
      <c r="EO65" s="27"/>
      <c r="EP65" s="27"/>
      <c r="EQ65" s="27"/>
      <c r="ER65" s="27"/>
      <c r="ES65" s="27"/>
      <c r="ET65" s="27"/>
      <c r="EU65" s="27"/>
      <c r="EV65" s="27"/>
      <c r="EW65" s="27"/>
      <c r="EX65" s="27"/>
      <c r="EY65" s="27"/>
      <c r="EZ65" s="27"/>
      <c r="FA65" s="27"/>
      <c r="FB65" s="27"/>
      <c r="FC65" s="27"/>
      <c r="FD65" s="27"/>
      <c r="FE65" s="27"/>
      <c r="FF65" s="27"/>
      <c r="FG65" s="27"/>
      <c r="FH65" s="27"/>
      <c r="FI65" s="27"/>
      <c r="FJ65" s="27"/>
      <c r="FK65" s="27"/>
      <c r="FL65" s="27"/>
      <c r="FM65" s="27"/>
      <c r="FN65" s="27"/>
      <c r="FO65" s="27"/>
      <c r="FP65" s="27"/>
      <c r="FQ65" s="27"/>
      <c r="FR65" s="27"/>
      <c r="FS65" s="27"/>
      <c r="FT65" s="27"/>
      <c r="FU65" s="27"/>
      <c r="FV65" s="27"/>
      <c r="FW65" s="27"/>
      <c r="FX65" s="27"/>
      <c r="FY65" s="27"/>
      <c r="FZ65" s="27"/>
      <c r="GA65" s="27"/>
      <c r="GB65" s="27"/>
      <c r="GC65" s="27"/>
      <c r="GD65" s="27"/>
      <c r="GE65" s="27"/>
      <c r="GF65" s="27"/>
      <c r="GG65" s="27"/>
      <c r="GH65" s="27"/>
      <c r="GI65" s="27"/>
      <c r="GJ65" s="27"/>
      <c r="GK65" s="27"/>
      <c r="GL65" s="27"/>
      <c r="GM65" s="27"/>
      <c r="GN65" s="27"/>
      <c r="GO65" s="27"/>
      <c r="GP65" s="27"/>
      <c r="GQ65" s="27"/>
      <c r="GR65" s="27"/>
      <c r="GS65" s="27"/>
      <c r="GT65" s="27"/>
      <c r="GU65" s="27"/>
      <c r="GV65" s="27"/>
      <c r="GW65" s="27"/>
      <c r="GX65" s="27"/>
      <c r="GY65" s="27"/>
      <c r="GZ65" s="27"/>
      <c r="HA65" s="27"/>
      <c r="HB65" s="27"/>
      <c r="HC65" s="27"/>
      <c r="HD65" s="27"/>
      <c r="HE65" s="27"/>
      <c r="HF65" s="27"/>
      <c r="HG65" s="27"/>
      <c r="HH65" s="27"/>
      <c r="HI65" s="27"/>
      <c r="HJ65" s="27"/>
      <c r="HK65" s="27"/>
      <c r="HL65" s="27"/>
      <c r="HM65" s="27"/>
      <c r="HN65" s="27"/>
      <c r="HO65" s="27"/>
      <c r="HP65" s="27"/>
      <c r="HQ65" s="27"/>
      <c r="HR65" s="27"/>
      <c r="HS65" s="27"/>
      <c r="HT65" s="27"/>
      <c r="HU65" s="27"/>
      <c r="HV65" s="27"/>
      <c r="HW65" s="27"/>
      <c r="HX65" s="27"/>
      <c r="HY65" s="27"/>
      <c r="HZ65" s="27"/>
      <c r="IA65" s="27"/>
      <c r="IB65" s="27"/>
      <c r="IC65" s="27"/>
      <c r="ID65" s="27"/>
      <c r="IE65" s="27"/>
      <c r="IF65" s="27"/>
      <c r="IG65" s="27"/>
      <c r="IH65" s="27"/>
      <c r="II65" s="27"/>
      <c r="IJ65" s="27"/>
      <c r="IK65" s="27"/>
      <c r="IL65" s="27"/>
      <c r="IM65" s="27"/>
      <c r="IN65" s="27"/>
      <c r="IO65" s="27"/>
      <c r="IP65" s="27"/>
      <c r="IQ65" s="27"/>
      <c r="IR65" s="27"/>
      <c r="IS65" s="27"/>
      <c r="IT65" s="27"/>
      <c r="IU65" s="27"/>
      <c r="IV65" s="27"/>
    </row>
    <row r="66" spans="1:256" x14ac:dyDescent="0.25">
      <c r="A66" s="27"/>
      <c r="B66" s="27"/>
      <c r="C66" s="28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  <c r="AE66" s="27"/>
      <c r="AF66" s="27"/>
      <c r="AG66" s="27"/>
      <c r="AH66" s="27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  <c r="BW66" s="27"/>
      <c r="BX66" s="27"/>
      <c r="BY66" s="27"/>
      <c r="BZ66" s="27"/>
      <c r="CA66" s="27"/>
      <c r="CB66" s="27"/>
      <c r="CC66" s="27"/>
      <c r="CD66" s="27"/>
      <c r="CE66" s="27"/>
      <c r="CF66" s="27"/>
      <c r="CG66" s="27"/>
      <c r="CH66" s="27"/>
      <c r="CI66" s="27"/>
      <c r="CJ66" s="27"/>
      <c r="CK66" s="27"/>
      <c r="CL66" s="27"/>
      <c r="CM66" s="27"/>
      <c r="CN66" s="27"/>
      <c r="CO66" s="27"/>
      <c r="CP66" s="27"/>
      <c r="CQ66" s="27"/>
      <c r="CR66" s="27"/>
      <c r="CS66" s="27"/>
      <c r="CT66" s="27"/>
      <c r="CU66" s="27"/>
      <c r="CV66" s="27"/>
      <c r="CW66" s="27"/>
      <c r="CX66" s="27"/>
      <c r="CY66" s="27"/>
      <c r="CZ66" s="27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7"/>
      <c r="DL66" s="27"/>
      <c r="DM66" s="27"/>
      <c r="DN66" s="27"/>
      <c r="DO66" s="27"/>
      <c r="DP66" s="27"/>
      <c r="DQ66" s="27"/>
      <c r="DR66" s="27"/>
      <c r="DS66" s="27"/>
      <c r="DT66" s="27"/>
      <c r="DU66" s="27"/>
      <c r="DV66" s="27"/>
      <c r="DW66" s="27"/>
      <c r="DX66" s="27"/>
      <c r="DY66" s="27"/>
      <c r="DZ66" s="27"/>
      <c r="EA66" s="27"/>
      <c r="EB66" s="27"/>
      <c r="EC66" s="27"/>
      <c r="ED66" s="27"/>
      <c r="EE66" s="27"/>
      <c r="EF66" s="27"/>
      <c r="EG66" s="27"/>
      <c r="EH66" s="27"/>
      <c r="EI66" s="27"/>
      <c r="EJ66" s="27"/>
      <c r="EK66" s="27"/>
      <c r="EL66" s="27"/>
      <c r="EM66" s="27"/>
      <c r="EN66" s="27"/>
      <c r="EO66" s="27"/>
      <c r="EP66" s="27"/>
      <c r="EQ66" s="27"/>
      <c r="ER66" s="27"/>
      <c r="ES66" s="27"/>
      <c r="ET66" s="27"/>
      <c r="EU66" s="27"/>
      <c r="EV66" s="27"/>
      <c r="EW66" s="27"/>
      <c r="EX66" s="27"/>
      <c r="EY66" s="27"/>
      <c r="EZ66" s="27"/>
      <c r="FA66" s="27"/>
      <c r="FB66" s="27"/>
      <c r="FC66" s="27"/>
      <c r="FD66" s="27"/>
      <c r="FE66" s="27"/>
      <c r="FF66" s="27"/>
      <c r="FG66" s="27"/>
      <c r="FH66" s="27"/>
      <c r="FI66" s="27"/>
      <c r="FJ66" s="27"/>
      <c r="FK66" s="27"/>
      <c r="FL66" s="27"/>
      <c r="FM66" s="27"/>
      <c r="FN66" s="27"/>
      <c r="FO66" s="27"/>
      <c r="FP66" s="27"/>
      <c r="FQ66" s="27"/>
      <c r="FR66" s="27"/>
      <c r="FS66" s="27"/>
      <c r="FT66" s="27"/>
      <c r="FU66" s="27"/>
      <c r="FV66" s="27"/>
      <c r="FW66" s="27"/>
      <c r="FX66" s="27"/>
      <c r="FY66" s="27"/>
      <c r="FZ66" s="27"/>
      <c r="GA66" s="27"/>
      <c r="GB66" s="27"/>
      <c r="GC66" s="27"/>
      <c r="GD66" s="27"/>
      <c r="GE66" s="27"/>
      <c r="GF66" s="27"/>
      <c r="GG66" s="27"/>
      <c r="GH66" s="27"/>
      <c r="GI66" s="27"/>
      <c r="GJ66" s="27"/>
      <c r="GK66" s="27"/>
      <c r="GL66" s="27"/>
      <c r="GM66" s="27"/>
      <c r="GN66" s="27"/>
      <c r="GO66" s="27"/>
      <c r="GP66" s="27"/>
      <c r="GQ66" s="27"/>
      <c r="GR66" s="27"/>
      <c r="GS66" s="27"/>
      <c r="GT66" s="27"/>
      <c r="GU66" s="27"/>
      <c r="GV66" s="27"/>
      <c r="GW66" s="27"/>
      <c r="GX66" s="27"/>
      <c r="GY66" s="27"/>
      <c r="GZ66" s="27"/>
      <c r="HA66" s="27"/>
      <c r="HB66" s="27"/>
      <c r="HC66" s="27"/>
      <c r="HD66" s="27"/>
      <c r="HE66" s="27"/>
      <c r="HF66" s="27"/>
      <c r="HG66" s="27"/>
      <c r="HH66" s="27"/>
      <c r="HI66" s="27"/>
      <c r="HJ66" s="27"/>
      <c r="HK66" s="27"/>
      <c r="HL66" s="27"/>
      <c r="HM66" s="27"/>
      <c r="HN66" s="27"/>
      <c r="HO66" s="27"/>
      <c r="HP66" s="27"/>
      <c r="HQ66" s="27"/>
      <c r="HR66" s="27"/>
      <c r="HS66" s="27"/>
      <c r="HT66" s="27"/>
      <c r="HU66" s="27"/>
      <c r="HV66" s="27"/>
      <c r="HW66" s="27"/>
      <c r="HX66" s="27"/>
      <c r="HY66" s="27"/>
      <c r="HZ66" s="27"/>
      <c r="IA66" s="27"/>
      <c r="IB66" s="27"/>
      <c r="IC66" s="27"/>
      <c r="ID66" s="27"/>
      <c r="IE66" s="27"/>
      <c r="IF66" s="27"/>
      <c r="IG66" s="27"/>
      <c r="IH66" s="27"/>
      <c r="II66" s="27"/>
      <c r="IJ66" s="27"/>
      <c r="IK66" s="27"/>
      <c r="IL66" s="27"/>
      <c r="IM66" s="27"/>
      <c r="IN66" s="27"/>
      <c r="IO66" s="27"/>
      <c r="IP66" s="27"/>
      <c r="IQ66" s="27"/>
      <c r="IR66" s="27"/>
      <c r="IS66" s="27"/>
      <c r="IT66" s="27"/>
      <c r="IU66" s="27"/>
      <c r="IV66" s="27"/>
    </row>
    <row r="67" spans="1:256" x14ac:dyDescent="0.25">
      <c r="A67" s="27"/>
      <c r="B67" s="27"/>
      <c r="C67" s="28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  <c r="AE67" s="27"/>
      <c r="AF67" s="27"/>
      <c r="AG67" s="27"/>
      <c r="AH67" s="27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  <c r="BW67" s="27"/>
      <c r="BX67" s="27"/>
      <c r="BY67" s="27"/>
      <c r="BZ67" s="27"/>
      <c r="CA67" s="27"/>
      <c r="CB67" s="27"/>
      <c r="CC67" s="27"/>
      <c r="CD67" s="27"/>
      <c r="CE67" s="27"/>
      <c r="CF67" s="27"/>
      <c r="CG67" s="27"/>
      <c r="CH67" s="27"/>
      <c r="CI67" s="27"/>
      <c r="CJ67" s="27"/>
      <c r="CK67" s="27"/>
      <c r="CL67" s="27"/>
      <c r="CM67" s="27"/>
      <c r="CN67" s="27"/>
      <c r="CO67" s="27"/>
      <c r="CP67" s="27"/>
      <c r="CQ67" s="27"/>
      <c r="CR67" s="27"/>
      <c r="CS67" s="27"/>
      <c r="CT67" s="27"/>
      <c r="CU67" s="27"/>
      <c r="CV67" s="27"/>
      <c r="CW67" s="27"/>
      <c r="CX67" s="27"/>
      <c r="CY67" s="27"/>
      <c r="CZ67" s="27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7"/>
      <c r="DL67" s="27"/>
      <c r="DM67" s="27"/>
      <c r="DN67" s="27"/>
      <c r="DO67" s="27"/>
      <c r="DP67" s="27"/>
      <c r="DQ67" s="27"/>
      <c r="DR67" s="27"/>
      <c r="DS67" s="27"/>
      <c r="DT67" s="27"/>
      <c r="DU67" s="27"/>
      <c r="DV67" s="27"/>
      <c r="DW67" s="27"/>
      <c r="DX67" s="27"/>
      <c r="DY67" s="27"/>
      <c r="DZ67" s="27"/>
      <c r="EA67" s="27"/>
      <c r="EB67" s="27"/>
      <c r="EC67" s="27"/>
      <c r="ED67" s="27"/>
      <c r="EE67" s="27"/>
      <c r="EF67" s="27"/>
      <c r="EG67" s="27"/>
      <c r="EH67" s="27"/>
      <c r="EI67" s="27"/>
      <c r="EJ67" s="27"/>
      <c r="EK67" s="27"/>
      <c r="EL67" s="27"/>
      <c r="EM67" s="27"/>
      <c r="EN67" s="27"/>
      <c r="EO67" s="27"/>
      <c r="EP67" s="27"/>
      <c r="EQ67" s="27"/>
      <c r="ER67" s="27"/>
      <c r="ES67" s="27"/>
      <c r="ET67" s="27"/>
      <c r="EU67" s="27"/>
      <c r="EV67" s="27"/>
      <c r="EW67" s="27"/>
      <c r="EX67" s="27"/>
      <c r="EY67" s="27"/>
      <c r="EZ67" s="27"/>
      <c r="FA67" s="27"/>
      <c r="FB67" s="27"/>
      <c r="FC67" s="27"/>
      <c r="FD67" s="27"/>
      <c r="FE67" s="27"/>
      <c r="FF67" s="27"/>
      <c r="FG67" s="27"/>
      <c r="FH67" s="27"/>
      <c r="FI67" s="27"/>
      <c r="FJ67" s="27"/>
      <c r="FK67" s="27"/>
      <c r="FL67" s="27"/>
      <c r="FM67" s="27"/>
      <c r="FN67" s="27"/>
      <c r="FO67" s="27"/>
      <c r="FP67" s="27"/>
      <c r="FQ67" s="27"/>
      <c r="FR67" s="27"/>
      <c r="FS67" s="27"/>
      <c r="FT67" s="27"/>
      <c r="FU67" s="27"/>
      <c r="FV67" s="27"/>
      <c r="FW67" s="27"/>
      <c r="FX67" s="27"/>
      <c r="FY67" s="27"/>
      <c r="FZ67" s="27"/>
      <c r="GA67" s="27"/>
      <c r="GB67" s="27"/>
      <c r="GC67" s="27"/>
      <c r="GD67" s="27"/>
      <c r="GE67" s="27"/>
      <c r="GF67" s="27"/>
      <c r="GG67" s="27"/>
      <c r="GH67" s="27"/>
      <c r="GI67" s="27"/>
      <c r="GJ67" s="27"/>
      <c r="GK67" s="27"/>
      <c r="GL67" s="27"/>
      <c r="GM67" s="27"/>
      <c r="GN67" s="27"/>
      <c r="GO67" s="27"/>
      <c r="GP67" s="27"/>
      <c r="GQ67" s="27"/>
      <c r="GR67" s="27"/>
      <c r="GS67" s="27"/>
      <c r="GT67" s="27"/>
      <c r="GU67" s="27"/>
      <c r="GV67" s="27"/>
      <c r="GW67" s="27"/>
      <c r="GX67" s="27"/>
      <c r="GY67" s="27"/>
      <c r="GZ67" s="27"/>
      <c r="HA67" s="27"/>
      <c r="HB67" s="27"/>
      <c r="HC67" s="27"/>
      <c r="HD67" s="27"/>
      <c r="HE67" s="27"/>
      <c r="HF67" s="27"/>
      <c r="HG67" s="27"/>
      <c r="HH67" s="27"/>
      <c r="HI67" s="27"/>
      <c r="HJ67" s="27"/>
      <c r="HK67" s="27"/>
      <c r="HL67" s="27"/>
      <c r="HM67" s="27"/>
      <c r="HN67" s="27"/>
      <c r="HO67" s="27"/>
      <c r="HP67" s="27"/>
      <c r="HQ67" s="27"/>
      <c r="HR67" s="27"/>
      <c r="HS67" s="27"/>
      <c r="HT67" s="27"/>
      <c r="HU67" s="27"/>
      <c r="HV67" s="27"/>
      <c r="HW67" s="27"/>
      <c r="HX67" s="27"/>
      <c r="HY67" s="27"/>
      <c r="HZ67" s="27"/>
      <c r="IA67" s="27"/>
      <c r="IB67" s="27"/>
      <c r="IC67" s="27"/>
      <c r="ID67" s="27"/>
      <c r="IE67" s="27"/>
      <c r="IF67" s="27"/>
      <c r="IG67" s="27"/>
      <c r="IH67" s="27"/>
      <c r="II67" s="27"/>
      <c r="IJ67" s="27"/>
      <c r="IK67" s="27"/>
      <c r="IL67" s="27"/>
      <c r="IM67" s="27"/>
      <c r="IN67" s="27"/>
      <c r="IO67" s="27"/>
      <c r="IP67" s="27"/>
      <c r="IQ67" s="27"/>
      <c r="IR67" s="27"/>
      <c r="IS67" s="27"/>
      <c r="IT67" s="27"/>
      <c r="IU67" s="27"/>
      <c r="IV67" s="27"/>
    </row>
    <row r="68" spans="1:256" x14ac:dyDescent="0.25">
      <c r="A68" s="27"/>
      <c r="B68" s="27"/>
      <c r="C68" s="28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  <c r="BW68" s="27"/>
      <c r="BX68" s="27"/>
      <c r="BY68" s="27"/>
      <c r="BZ68" s="27"/>
      <c r="CA68" s="27"/>
      <c r="CB68" s="27"/>
      <c r="CC68" s="27"/>
      <c r="CD68" s="27"/>
      <c r="CE68" s="27"/>
      <c r="CF68" s="27"/>
      <c r="CG68" s="27"/>
      <c r="CH68" s="27"/>
      <c r="CI68" s="27"/>
      <c r="CJ68" s="27"/>
      <c r="CK68" s="27"/>
      <c r="CL68" s="27"/>
      <c r="CM68" s="27"/>
      <c r="CN68" s="27"/>
      <c r="CO68" s="27"/>
      <c r="CP68" s="27"/>
      <c r="CQ68" s="27"/>
      <c r="CR68" s="27"/>
      <c r="CS68" s="27"/>
      <c r="CT68" s="27"/>
      <c r="CU68" s="27"/>
      <c r="CV68" s="27"/>
      <c r="CW68" s="27"/>
      <c r="CX68" s="27"/>
      <c r="CY68" s="27"/>
      <c r="CZ68" s="27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7"/>
      <c r="DL68" s="27"/>
      <c r="DM68" s="27"/>
      <c r="DN68" s="27"/>
      <c r="DO68" s="27"/>
      <c r="DP68" s="27"/>
      <c r="DQ68" s="27"/>
      <c r="DR68" s="27"/>
      <c r="DS68" s="27"/>
      <c r="DT68" s="27"/>
      <c r="DU68" s="27"/>
      <c r="DV68" s="27"/>
      <c r="DW68" s="27"/>
      <c r="DX68" s="27"/>
      <c r="DY68" s="27"/>
      <c r="DZ68" s="27"/>
      <c r="EA68" s="27"/>
      <c r="EB68" s="27"/>
      <c r="EC68" s="27"/>
      <c r="ED68" s="27"/>
      <c r="EE68" s="27"/>
      <c r="EF68" s="27"/>
      <c r="EG68" s="27"/>
      <c r="EH68" s="27"/>
      <c r="EI68" s="27"/>
      <c r="EJ68" s="27"/>
      <c r="EK68" s="27"/>
      <c r="EL68" s="27"/>
      <c r="EM68" s="27"/>
      <c r="EN68" s="27"/>
      <c r="EO68" s="27"/>
      <c r="EP68" s="27"/>
      <c r="EQ68" s="27"/>
      <c r="ER68" s="27"/>
      <c r="ES68" s="27"/>
      <c r="ET68" s="27"/>
      <c r="EU68" s="27"/>
      <c r="EV68" s="27"/>
      <c r="EW68" s="27"/>
      <c r="EX68" s="27"/>
      <c r="EY68" s="27"/>
      <c r="EZ68" s="27"/>
      <c r="FA68" s="27"/>
      <c r="FB68" s="27"/>
      <c r="FC68" s="27"/>
      <c r="FD68" s="27"/>
      <c r="FE68" s="27"/>
      <c r="FF68" s="27"/>
      <c r="FG68" s="27"/>
      <c r="FH68" s="27"/>
      <c r="FI68" s="27"/>
      <c r="FJ68" s="27"/>
      <c r="FK68" s="27"/>
      <c r="FL68" s="27"/>
      <c r="FM68" s="27"/>
      <c r="FN68" s="27"/>
      <c r="FO68" s="27"/>
      <c r="FP68" s="27"/>
      <c r="FQ68" s="27"/>
      <c r="FR68" s="27"/>
      <c r="FS68" s="27"/>
      <c r="FT68" s="27"/>
      <c r="FU68" s="27"/>
      <c r="FV68" s="27"/>
      <c r="FW68" s="27"/>
      <c r="FX68" s="27"/>
      <c r="FY68" s="27"/>
      <c r="FZ68" s="27"/>
      <c r="GA68" s="27"/>
      <c r="GB68" s="27"/>
      <c r="GC68" s="27"/>
      <c r="GD68" s="27"/>
      <c r="GE68" s="27"/>
      <c r="GF68" s="27"/>
      <c r="GG68" s="27"/>
      <c r="GH68" s="27"/>
      <c r="GI68" s="27"/>
      <c r="GJ68" s="27"/>
      <c r="GK68" s="27"/>
      <c r="GL68" s="27"/>
      <c r="GM68" s="27"/>
      <c r="GN68" s="27"/>
      <c r="GO68" s="27"/>
      <c r="GP68" s="27"/>
      <c r="GQ68" s="27"/>
      <c r="GR68" s="27"/>
      <c r="GS68" s="27"/>
      <c r="GT68" s="27"/>
      <c r="GU68" s="27"/>
      <c r="GV68" s="27"/>
      <c r="GW68" s="27"/>
      <c r="GX68" s="27"/>
      <c r="GY68" s="27"/>
      <c r="GZ68" s="27"/>
      <c r="HA68" s="27"/>
      <c r="HB68" s="27"/>
      <c r="HC68" s="27"/>
      <c r="HD68" s="27"/>
      <c r="HE68" s="27"/>
      <c r="HF68" s="27"/>
      <c r="HG68" s="27"/>
      <c r="HH68" s="27"/>
      <c r="HI68" s="27"/>
      <c r="HJ68" s="27"/>
      <c r="HK68" s="27"/>
      <c r="HL68" s="27"/>
      <c r="HM68" s="27"/>
      <c r="HN68" s="27"/>
      <c r="HO68" s="27"/>
      <c r="HP68" s="27"/>
      <c r="HQ68" s="27"/>
      <c r="HR68" s="27"/>
      <c r="HS68" s="27"/>
      <c r="HT68" s="27"/>
      <c r="HU68" s="27"/>
      <c r="HV68" s="27"/>
      <c r="HW68" s="27"/>
      <c r="HX68" s="27"/>
      <c r="HY68" s="27"/>
      <c r="HZ68" s="27"/>
      <c r="IA68" s="27"/>
      <c r="IB68" s="27"/>
      <c r="IC68" s="27"/>
      <c r="ID68" s="27"/>
      <c r="IE68" s="27"/>
      <c r="IF68" s="27"/>
      <c r="IG68" s="27"/>
      <c r="IH68" s="27"/>
      <c r="II68" s="27"/>
      <c r="IJ68" s="27"/>
      <c r="IK68" s="27"/>
      <c r="IL68" s="27"/>
      <c r="IM68" s="27"/>
      <c r="IN68" s="27"/>
      <c r="IO68" s="27"/>
      <c r="IP68" s="27"/>
      <c r="IQ68" s="27"/>
      <c r="IR68" s="27"/>
      <c r="IS68" s="27"/>
      <c r="IT68" s="27"/>
      <c r="IU68" s="27"/>
      <c r="IV68" s="27"/>
    </row>
    <row r="69" spans="1:256" x14ac:dyDescent="0.25">
      <c r="A69" s="27"/>
      <c r="B69" s="27"/>
      <c r="C69" s="28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  <c r="BW69" s="27"/>
      <c r="BX69" s="27"/>
      <c r="BY69" s="27"/>
      <c r="BZ69" s="27"/>
      <c r="CA69" s="27"/>
      <c r="CB69" s="27"/>
      <c r="CC69" s="27"/>
      <c r="CD69" s="27"/>
      <c r="CE69" s="27"/>
      <c r="CF69" s="27"/>
      <c r="CG69" s="27"/>
      <c r="CH69" s="27"/>
      <c r="CI69" s="27"/>
      <c r="CJ69" s="27"/>
      <c r="CK69" s="27"/>
      <c r="CL69" s="27"/>
      <c r="CM69" s="27"/>
      <c r="CN69" s="27"/>
      <c r="CO69" s="27"/>
      <c r="CP69" s="27"/>
      <c r="CQ69" s="27"/>
      <c r="CR69" s="27"/>
      <c r="CS69" s="27"/>
      <c r="CT69" s="27"/>
      <c r="CU69" s="27"/>
      <c r="CV69" s="27"/>
      <c r="CW69" s="27"/>
      <c r="CX69" s="27"/>
      <c r="CY69" s="27"/>
      <c r="CZ69" s="27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7"/>
      <c r="DL69" s="27"/>
      <c r="DM69" s="27"/>
      <c r="DN69" s="27"/>
      <c r="DO69" s="27"/>
      <c r="DP69" s="27"/>
      <c r="DQ69" s="27"/>
      <c r="DR69" s="27"/>
      <c r="DS69" s="27"/>
      <c r="DT69" s="27"/>
      <c r="DU69" s="27"/>
      <c r="DV69" s="27"/>
      <c r="DW69" s="27"/>
      <c r="DX69" s="27"/>
      <c r="DY69" s="27"/>
      <c r="DZ69" s="27"/>
      <c r="EA69" s="27"/>
      <c r="EB69" s="27"/>
      <c r="EC69" s="27"/>
      <c r="ED69" s="27"/>
      <c r="EE69" s="27"/>
      <c r="EF69" s="27"/>
      <c r="EG69" s="27"/>
      <c r="EH69" s="27"/>
      <c r="EI69" s="27"/>
      <c r="EJ69" s="27"/>
      <c r="EK69" s="27"/>
      <c r="EL69" s="27"/>
      <c r="EM69" s="27"/>
      <c r="EN69" s="27"/>
      <c r="EO69" s="27"/>
      <c r="EP69" s="27"/>
      <c r="EQ69" s="27"/>
      <c r="ER69" s="27"/>
      <c r="ES69" s="27"/>
      <c r="ET69" s="27"/>
      <c r="EU69" s="27"/>
      <c r="EV69" s="27"/>
      <c r="EW69" s="27"/>
      <c r="EX69" s="27"/>
      <c r="EY69" s="27"/>
      <c r="EZ69" s="27"/>
      <c r="FA69" s="27"/>
      <c r="FB69" s="27"/>
      <c r="FC69" s="27"/>
      <c r="FD69" s="27"/>
      <c r="FE69" s="27"/>
      <c r="FF69" s="27"/>
      <c r="FG69" s="27"/>
      <c r="FH69" s="27"/>
      <c r="FI69" s="27"/>
      <c r="FJ69" s="27"/>
      <c r="FK69" s="27"/>
      <c r="FL69" s="27"/>
      <c r="FM69" s="27"/>
      <c r="FN69" s="27"/>
      <c r="FO69" s="27"/>
      <c r="FP69" s="27"/>
      <c r="FQ69" s="27"/>
      <c r="FR69" s="27"/>
      <c r="FS69" s="27"/>
      <c r="FT69" s="27"/>
      <c r="FU69" s="27"/>
      <c r="FV69" s="27"/>
      <c r="FW69" s="27"/>
      <c r="FX69" s="27"/>
      <c r="FY69" s="27"/>
      <c r="FZ69" s="27"/>
      <c r="GA69" s="27"/>
      <c r="GB69" s="27"/>
      <c r="GC69" s="27"/>
      <c r="GD69" s="27"/>
      <c r="GE69" s="27"/>
      <c r="GF69" s="27"/>
      <c r="GG69" s="27"/>
      <c r="GH69" s="27"/>
      <c r="GI69" s="27"/>
      <c r="GJ69" s="27"/>
      <c r="GK69" s="27"/>
      <c r="GL69" s="27"/>
      <c r="GM69" s="27"/>
      <c r="GN69" s="27"/>
      <c r="GO69" s="27"/>
      <c r="GP69" s="27"/>
      <c r="GQ69" s="27"/>
      <c r="GR69" s="27"/>
      <c r="GS69" s="27"/>
      <c r="GT69" s="27"/>
      <c r="GU69" s="27"/>
      <c r="GV69" s="27"/>
      <c r="GW69" s="27"/>
      <c r="GX69" s="27"/>
      <c r="GY69" s="27"/>
      <c r="GZ69" s="27"/>
      <c r="HA69" s="27"/>
      <c r="HB69" s="27"/>
      <c r="HC69" s="27"/>
      <c r="HD69" s="27"/>
      <c r="HE69" s="27"/>
      <c r="HF69" s="27"/>
      <c r="HG69" s="27"/>
      <c r="HH69" s="27"/>
      <c r="HI69" s="27"/>
      <c r="HJ69" s="27"/>
      <c r="HK69" s="27"/>
      <c r="HL69" s="27"/>
      <c r="HM69" s="27"/>
      <c r="HN69" s="27"/>
      <c r="HO69" s="27"/>
      <c r="HP69" s="27"/>
      <c r="HQ69" s="27"/>
      <c r="HR69" s="27"/>
      <c r="HS69" s="27"/>
      <c r="HT69" s="27"/>
      <c r="HU69" s="27"/>
      <c r="HV69" s="27"/>
      <c r="HW69" s="27"/>
      <c r="HX69" s="27"/>
      <c r="HY69" s="27"/>
      <c r="HZ69" s="27"/>
      <c r="IA69" s="27"/>
      <c r="IB69" s="27"/>
      <c r="IC69" s="27"/>
      <c r="ID69" s="27"/>
      <c r="IE69" s="27"/>
      <c r="IF69" s="27"/>
      <c r="IG69" s="27"/>
      <c r="IH69" s="27"/>
      <c r="II69" s="27"/>
      <c r="IJ69" s="27"/>
      <c r="IK69" s="27"/>
      <c r="IL69" s="27"/>
      <c r="IM69" s="27"/>
      <c r="IN69" s="27"/>
      <c r="IO69" s="27"/>
      <c r="IP69" s="27"/>
      <c r="IQ69" s="27"/>
      <c r="IR69" s="27"/>
      <c r="IS69" s="27"/>
      <c r="IT69" s="27"/>
      <c r="IU69" s="27"/>
      <c r="IV69" s="27"/>
    </row>
    <row r="70" spans="1:256" x14ac:dyDescent="0.25">
      <c r="A70" s="27"/>
      <c r="B70" s="27"/>
      <c r="C70" s="28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27"/>
      <c r="AD70" s="27"/>
      <c r="AE70" s="27"/>
      <c r="AF70" s="27"/>
      <c r="AG70" s="27"/>
      <c r="AH70" s="27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  <c r="BW70" s="27"/>
      <c r="BX70" s="27"/>
      <c r="BY70" s="27"/>
      <c r="BZ70" s="27"/>
      <c r="CA70" s="27"/>
      <c r="CB70" s="27"/>
      <c r="CC70" s="27"/>
      <c r="CD70" s="27"/>
      <c r="CE70" s="27"/>
      <c r="CF70" s="27"/>
      <c r="CG70" s="27"/>
      <c r="CH70" s="27"/>
      <c r="CI70" s="27"/>
      <c r="CJ70" s="27"/>
      <c r="CK70" s="27"/>
      <c r="CL70" s="27"/>
      <c r="CM70" s="27"/>
      <c r="CN70" s="27"/>
      <c r="CO70" s="27"/>
      <c r="CP70" s="27"/>
      <c r="CQ70" s="27"/>
      <c r="CR70" s="27"/>
      <c r="CS70" s="27"/>
      <c r="CT70" s="27"/>
      <c r="CU70" s="27"/>
      <c r="CV70" s="27"/>
      <c r="CW70" s="27"/>
      <c r="CX70" s="27"/>
      <c r="CY70" s="27"/>
      <c r="CZ70" s="27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7"/>
      <c r="DL70" s="27"/>
      <c r="DM70" s="27"/>
      <c r="DN70" s="27"/>
      <c r="DO70" s="27"/>
      <c r="DP70" s="27"/>
      <c r="DQ70" s="27"/>
      <c r="DR70" s="27"/>
      <c r="DS70" s="27"/>
      <c r="DT70" s="27"/>
      <c r="DU70" s="27"/>
      <c r="DV70" s="27"/>
      <c r="DW70" s="27"/>
      <c r="DX70" s="27"/>
      <c r="DY70" s="27"/>
      <c r="DZ70" s="27"/>
      <c r="EA70" s="27"/>
      <c r="EB70" s="27"/>
      <c r="EC70" s="27"/>
      <c r="ED70" s="27"/>
      <c r="EE70" s="27"/>
      <c r="EF70" s="27"/>
      <c r="EG70" s="27"/>
      <c r="EH70" s="27"/>
      <c r="EI70" s="27"/>
      <c r="EJ70" s="27"/>
      <c r="EK70" s="27"/>
      <c r="EL70" s="27"/>
      <c r="EM70" s="27"/>
      <c r="EN70" s="27"/>
      <c r="EO70" s="27"/>
      <c r="EP70" s="27"/>
      <c r="EQ70" s="27"/>
      <c r="ER70" s="27"/>
      <c r="ES70" s="27"/>
      <c r="ET70" s="27"/>
      <c r="EU70" s="27"/>
      <c r="EV70" s="27"/>
      <c r="EW70" s="27"/>
      <c r="EX70" s="27"/>
      <c r="EY70" s="27"/>
      <c r="EZ70" s="27"/>
      <c r="FA70" s="27"/>
      <c r="FB70" s="27"/>
      <c r="FC70" s="27"/>
      <c r="FD70" s="27"/>
      <c r="FE70" s="27"/>
      <c r="FF70" s="27"/>
      <c r="FG70" s="27"/>
      <c r="FH70" s="27"/>
      <c r="FI70" s="27"/>
      <c r="FJ70" s="27"/>
      <c r="FK70" s="27"/>
      <c r="FL70" s="27"/>
      <c r="FM70" s="27"/>
      <c r="FN70" s="27"/>
      <c r="FO70" s="27"/>
      <c r="FP70" s="27"/>
      <c r="FQ70" s="27"/>
      <c r="FR70" s="27"/>
      <c r="FS70" s="27"/>
      <c r="FT70" s="27"/>
      <c r="FU70" s="27"/>
      <c r="FV70" s="27"/>
      <c r="FW70" s="27"/>
      <c r="FX70" s="27"/>
      <c r="FY70" s="27"/>
      <c r="FZ70" s="27"/>
      <c r="GA70" s="27"/>
      <c r="GB70" s="27"/>
      <c r="GC70" s="27"/>
      <c r="GD70" s="27"/>
      <c r="GE70" s="27"/>
      <c r="GF70" s="27"/>
      <c r="GG70" s="27"/>
      <c r="GH70" s="27"/>
      <c r="GI70" s="27"/>
      <c r="GJ70" s="27"/>
      <c r="GK70" s="27"/>
      <c r="GL70" s="27"/>
      <c r="GM70" s="27"/>
      <c r="GN70" s="27"/>
      <c r="GO70" s="27"/>
      <c r="GP70" s="27"/>
      <c r="GQ70" s="27"/>
      <c r="GR70" s="27"/>
      <c r="GS70" s="27"/>
      <c r="GT70" s="27"/>
      <c r="GU70" s="27"/>
      <c r="GV70" s="27"/>
      <c r="GW70" s="27"/>
      <c r="GX70" s="27"/>
      <c r="GY70" s="27"/>
      <c r="GZ70" s="27"/>
      <c r="HA70" s="27"/>
      <c r="HB70" s="27"/>
      <c r="HC70" s="27"/>
      <c r="HD70" s="27"/>
      <c r="HE70" s="27"/>
      <c r="HF70" s="27"/>
      <c r="HG70" s="27"/>
      <c r="HH70" s="27"/>
      <c r="HI70" s="27"/>
      <c r="HJ70" s="27"/>
      <c r="HK70" s="27"/>
      <c r="HL70" s="27"/>
      <c r="HM70" s="27"/>
      <c r="HN70" s="27"/>
      <c r="HO70" s="27"/>
      <c r="HP70" s="27"/>
      <c r="HQ70" s="27"/>
      <c r="HR70" s="27"/>
      <c r="HS70" s="27"/>
      <c r="HT70" s="27"/>
      <c r="HU70" s="27"/>
      <c r="HV70" s="27"/>
      <c r="HW70" s="27"/>
      <c r="HX70" s="27"/>
      <c r="HY70" s="27"/>
      <c r="HZ70" s="27"/>
      <c r="IA70" s="27"/>
      <c r="IB70" s="27"/>
      <c r="IC70" s="27"/>
      <c r="ID70" s="27"/>
      <c r="IE70" s="27"/>
      <c r="IF70" s="27"/>
      <c r="IG70" s="27"/>
      <c r="IH70" s="27"/>
      <c r="II70" s="27"/>
      <c r="IJ70" s="27"/>
      <c r="IK70" s="27"/>
      <c r="IL70" s="27"/>
      <c r="IM70" s="27"/>
      <c r="IN70" s="27"/>
      <c r="IO70" s="27"/>
      <c r="IP70" s="27"/>
      <c r="IQ70" s="27"/>
      <c r="IR70" s="27"/>
      <c r="IS70" s="27"/>
      <c r="IT70" s="27"/>
      <c r="IU70" s="27"/>
      <c r="IV70" s="27"/>
    </row>
    <row r="71" spans="1:256" x14ac:dyDescent="0.25">
      <c r="A71" s="27"/>
      <c r="B71" s="27"/>
      <c r="C71" s="28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27"/>
      <c r="AD71" s="27"/>
      <c r="AE71" s="27"/>
      <c r="AF71" s="27"/>
      <c r="AG71" s="27"/>
      <c r="AH71" s="27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  <c r="BW71" s="27"/>
      <c r="BX71" s="27"/>
      <c r="BY71" s="27"/>
      <c r="BZ71" s="27"/>
      <c r="CA71" s="27"/>
      <c r="CB71" s="27"/>
      <c r="CC71" s="27"/>
      <c r="CD71" s="27"/>
      <c r="CE71" s="27"/>
      <c r="CF71" s="27"/>
      <c r="CG71" s="27"/>
      <c r="CH71" s="27"/>
      <c r="CI71" s="27"/>
      <c r="CJ71" s="27"/>
      <c r="CK71" s="27"/>
      <c r="CL71" s="27"/>
      <c r="CM71" s="27"/>
      <c r="CN71" s="27"/>
      <c r="CO71" s="27"/>
      <c r="CP71" s="27"/>
      <c r="CQ71" s="27"/>
      <c r="CR71" s="27"/>
      <c r="CS71" s="27"/>
      <c r="CT71" s="27"/>
      <c r="CU71" s="27"/>
      <c r="CV71" s="27"/>
      <c r="CW71" s="27"/>
      <c r="CX71" s="27"/>
      <c r="CY71" s="27"/>
      <c r="CZ71" s="27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7"/>
      <c r="DL71" s="27"/>
      <c r="DM71" s="27"/>
      <c r="DN71" s="27"/>
      <c r="DO71" s="27"/>
      <c r="DP71" s="27"/>
      <c r="DQ71" s="27"/>
      <c r="DR71" s="27"/>
      <c r="DS71" s="27"/>
      <c r="DT71" s="27"/>
      <c r="DU71" s="27"/>
      <c r="DV71" s="27"/>
      <c r="DW71" s="27"/>
      <c r="DX71" s="27"/>
      <c r="DY71" s="27"/>
      <c r="DZ71" s="27"/>
      <c r="EA71" s="27"/>
      <c r="EB71" s="27"/>
      <c r="EC71" s="27"/>
      <c r="ED71" s="27"/>
      <c r="EE71" s="27"/>
      <c r="EF71" s="27"/>
      <c r="EG71" s="27"/>
      <c r="EH71" s="27"/>
      <c r="EI71" s="27"/>
      <c r="EJ71" s="27"/>
      <c r="EK71" s="27"/>
      <c r="EL71" s="27"/>
      <c r="EM71" s="27"/>
      <c r="EN71" s="27"/>
      <c r="EO71" s="27"/>
      <c r="EP71" s="27"/>
      <c r="EQ71" s="27"/>
      <c r="ER71" s="27"/>
      <c r="ES71" s="27"/>
      <c r="ET71" s="27"/>
      <c r="EU71" s="27"/>
      <c r="EV71" s="27"/>
      <c r="EW71" s="27"/>
      <c r="EX71" s="27"/>
      <c r="EY71" s="27"/>
      <c r="EZ71" s="27"/>
      <c r="FA71" s="27"/>
      <c r="FB71" s="27"/>
      <c r="FC71" s="27"/>
      <c r="FD71" s="27"/>
      <c r="FE71" s="27"/>
      <c r="FF71" s="27"/>
      <c r="FG71" s="27"/>
      <c r="FH71" s="27"/>
      <c r="FI71" s="27"/>
      <c r="FJ71" s="27"/>
      <c r="FK71" s="27"/>
      <c r="FL71" s="27"/>
      <c r="FM71" s="27"/>
      <c r="FN71" s="27"/>
      <c r="FO71" s="27"/>
      <c r="FP71" s="27"/>
      <c r="FQ71" s="27"/>
      <c r="FR71" s="27"/>
      <c r="FS71" s="27"/>
      <c r="FT71" s="27"/>
      <c r="FU71" s="27"/>
      <c r="FV71" s="27"/>
      <c r="FW71" s="27"/>
      <c r="FX71" s="27"/>
      <c r="FY71" s="27"/>
      <c r="FZ71" s="27"/>
      <c r="GA71" s="27"/>
      <c r="GB71" s="27"/>
      <c r="GC71" s="27"/>
      <c r="GD71" s="27"/>
      <c r="GE71" s="27"/>
      <c r="GF71" s="27"/>
      <c r="GG71" s="27"/>
      <c r="GH71" s="27"/>
      <c r="GI71" s="27"/>
      <c r="GJ71" s="27"/>
      <c r="GK71" s="27"/>
      <c r="GL71" s="27"/>
      <c r="GM71" s="27"/>
      <c r="GN71" s="27"/>
      <c r="GO71" s="27"/>
      <c r="GP71" s="27"/>
      <c r="GQ71" s="27"/>
      <c r="GR71" s="27"/>
      <c r="GS71" s="27"/>
      <c r="GT71" s="27"/>
      <c r="GU71" s="27"/>
      <c r="GV71" s="27"/>
      <c r="GW71" s="27"/>
      <c r="GX71" s="27"/>
      <c r="GY71" s="27"/>
      <c r="GZ71" s="27"/>
      <c r="HA71" s="27"/>
      <c r="HB71" s="27"/>
      <c r="HC71" s="27"/>
      <c r="HD71" s="27"/>
      <c r="HE71" s="27"/>
      <c r="HF71" s="27"/>
      <c r="HG71" s="27"/>
      <c r="HH71" s="27"/>
      <c r="HI71" s="27"/>
      <c r="HJ71" s="27"/>
      <c r="HK71" s="27"/>
      <c r="HL71" s="27"/>
      <c r="HM71" s="27"/>
      <c r="HN71" s="27"/>
      <c r="HO71" s="27"/>
      <c r="HP71" s="27"/>
      <c r="HQ71" s="27"/>
      <c r="HR71" s="27"/>
      <c r="HS71" s="27"/>
      <c r="HT71" s="27"/>
      <c r="HU71" s="27"/>
      <c r="HV71" s="27"/>
      <c r="HW71" s="27"/>
      <c r="HX71" s="27"/>
      <c r="HY71" s="27"/>
      <c r="HZ71" s="27"/>
      <c r="IA71" s="27"/>
      <c r="IB71" s="27"/>
      <c r="IC71" s="27"/>
      <c r="ID71" s="27"/>
      <c r="IE71" s="27"/>
      <c r="IF71" s="27"/>
      <c r="IG71" s="27"/>
      <c r="IH71" s="27"/>
      <c r="II71" s="27"/>
      <c r="IJ71" s="27"/>
      <c r="IK71" s="27"/>
      <c r="IL71" s="27"/>
      <c r="IM71" s="27"/>
      <c r="IN71" s="27"/>
      <c r="IO71" s="27"/>
      <c r="IP71" s="27"/>
      <c r="IQ71" s="27"/>
      <c r="IR71" s="27"/>
      <c r="IS71" s="27"/>
      <c r="IT71" s="27"/>
      <c r="IU71" s="27"/>
      <c r="IV71" s="27"/>
    </row>
    <row r="72" spans="1:256" x14ac:dyDescent="0.25">
      <c r="A72" s="27"/>
      <c r="B72" s="27"/>
      <c r="C72" s="28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  <c r="DN72" s="27"/>
      <c r="DO72" s="27"/>
      <c r="DP72" s="27"/>
      <c r="DQ72" s="27"/>
      <c r="DR72" s="27"/>
      <c r="DS72" s="27"/>
      <c r="DT72" s="27"/>
      <c r="DU72" s="27"/>
      <c r="DV72" s="27"/>
      <c r="DW72" s="27"/>
      <c r="DX72" s="27"/>
      <c r="DY72" s="27"/>
      <c r="DZ72" s="27"/>
      <c r="EA72" s="27"/>
      <c r="EB72" s="27"/>
      <c r="EC72" s="27"/>
      <c r="ED72" s="27"/>
      <c r="EE72" s="27"/>
      <c r="EF72" s="27"/>
      <c r="EG72" s="27"/>
      <c r="EH72" s="27"/>
      <c r="EI72" s="27"/>
      <c r="EJ72" s="27"/>
      <c r="EK72" s="27"/>
      <c r="EL72" s="27"/>
      <c r="EM72" s="27"/>
      <c r="EN72" s="27"/>
      <c r="EO72" s="27"/>
      <c r="EP72" s="27"/>
      <c r="EQ72" s="27"/>
      <c r="ER72" s="27"/>
      <c r="ES72" s="27"/>
      <c r="ET72" s="27"/>
      <c r="EU72" s="27"/>
      <c r="EV72" s="27"/>
      <c r="EW72" s="27"/>
      <c r="EX72" s="27"/>
      <c r="EY72" s="27"/>
      <c r="EZ72" s="27"/>
      <c r="FA72" s="27"/>
      <c r="FB72" s="27"/>
      <c r="FC72" s="27"/>
      <c r="FD72" s="27"/>
      <c r="FE72" s="27"/>
      <c r="FF72" s="27"/>
      <c r="FG72" s="27"/>
      <c r="FH72" s="27"/>
      <c r="FI72" s="27"/>
      <c r="FJ72" s="27"/>
      <c r="FK72" s="27"/>
      <c r="FL72" s="27"/>
      <c r="FM72" s="27"/>
      <c r="FN72" s="27"/>
      <c r="FO72" s="27"/>
      <c r="FP72" s="27"/>
      <c r="FQ72" s="27"/>
      <c r="FR72" s="27"/>
      <c r="FS72" s="27"/>
      <c r="FT72" s="27"/>
      <c r="FU72" s="27"/>
      <c r="FV72" s="27"/>
      <c r="FW72" s="27"/>
      <c r="FX72" s="27"/>
      <c r="FY72" s="27"/>
      <c r="FZ72" s="27"/>
      <c r="GA72" s="27"/>
      <c r="GB72" s="27"/>
      <c r="GC72" s="27"/>
      <c r="GD72" s="27"/>
      <c r="GE72" s="27"/>
      <c r="GF72" s="27"/>
      <c r="GG72" s="27"/>
      <c r="GH72" s="27"/>
      <c r="GI72" s="27"/>
      <c r="GJ72" s="27"/>
      <c r="GK72" s="27"/>
      <c r="GL72" s="27"/>
      <c r="GM72" s="27"/>
      <c r="GN72" s="27"/>
      <c r="GO72" s="27"/>
      <c r="GP72" s="27"/>
      <c r="GQ72" s="27"/>
      <c r="GR72" s="27"/>
      <c r="GS72" s="27"/>
      <c r="GT72" s="27"/>
      <c r="GU72" s="27"/>
      <c r="GV72" s="27"/>
      <c r="GW72" s="27"/>
      <c r="GX72" s="27"/>
      <c r="GY72" s="27"/>
      <c r="GZ72" s="27"/>
      <c r="HA72" s="27"/>
      <c r="HB72" s="27"/>
      <c r="HC72" s="27"/>
      <c r="HD72" s="27"/>
      <c r="HE72" s="27"/>
      <c r="HF72" s="27"/>
      <c r="HG72" s="27"/>
      <c r="HH72" s="27"/>
      <c r="HI72" s="27"/>
      <c r="HJ72" s="27"/>
      <c r="HK72" s="27"/>
      <c r="HL72" s="27"/>
      <c r="HM72" s="27"/>
      <c r="HN72" s="27"/>
      <c r="HO72" s="27"/>
      <c r="HP72" s="27"/>
      <c r="HQ72" s="27"/>
      <c r="HR72" s="27"/>
      <c r="HS72" s="27"/>
      <c r="HT72" s="27"/>
      <c r="HU72" s="27"/>
      <c r="HV72" s="27"/>
      <c r="HW72" s="27"/>
      <c r="HX72" s="27"/>
      <c r="HY72" s="27"/>
      <c r="HZ72" s="27"/>
      <c r="IA72" s="27"/>
      <c r="IB72" s="27"/>
      <c r="IC72" s="27"/>
      <c r="ID72" s="27"/>
      <c r="IE72" s="27"/>
      <c r="IF72" s="27"/>
      <c r="IG72" s="27"/>
      <c r="IH72" s="27"/>
      <c r="II72" s="27"/>
      <c r="IJ72" s="27"/>
      <c r="IK72" s="27"/>
      <c r="IL72" s="27"/>
      <c r="IM72" s="27"/>
      <c r="IN72" s="27"/>
      <c r="IO72" s="27"/>
      <c r="IP72" s="27"/>
      <c r="IQ72" s="27"/>
      <c r="IR72" s="27"/>
      <c r="IS72" s="27"/>
      <c r="IT72" s="27"/>
      <c r="IU72" s="27"/>
      <c r="IV72" s="27"/>
    </row>
    <row r="73" spans="1:256" x14ac:dyDescent="0.25">
      <c r="A73" s="27"/>
      <c r="B73" s="27"/>
      <c r="C73" s="28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27"/>
      <c r="AD73" s="27"/>
      <c r="AE73" s="27"/>
      <c r="AF73" s="27"/>
      <c r="AG73" s="27"/>
      <c r="AH73" s="27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  <c r="BW73" s="27"/>
      <c r="BX73" s="27"/>
      <c r="BY73" s="27"/>
      <c r="BZ73" s="27"/>
      <c r="CA73" s="27"/>
      <c r="CB73" s="27"/>
      <c r="CC73" s="27"/>
      <c r="CD73" s="27"/>
      <c r="CE73" s="27"/>
      <c r="CF73" s="27"/>
      <c r="CG73" s="27"/>
      <c r="CH73" s="27"/>
      <c r="CI73" s="27"/>
      <c r="CJ73" s="27"/>
      <c r="CK73" s="27"/>
      <c r="CL73" s="27"/>
      <c r="CM73" s="27"/>
      <c r="CN73" s="27"/>
      <c r="CO73" s="27"/>
      <c r="CP73" s="27"/>
      <c r="CQ73" s="27"/>
      <c r="CR73" s="27"/>
      <c r="CS73" s="27"/>
      <c r="CT73" s="27"/>
      <c r="CU73" s="27"/>
      <c r="CV73" s="27"/>
      <c r="CW73" s="27"/>
      <c r="CX73" s="27"/>
      <c r="CY73" s="27"/>
      <c r="CZ73" s="27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7"/>
      <c r="DL73" s="27"/>
      <c r="DM73" s="27"/>
      <c r="DN73" s="27"/>
      <c r="DO73" s="27"/>
      <c r="DP73" s="27"/>
      <c r="DQ73" s="27"/>
      <c r="DR73" s="27"/>
      <c r="DS73" s="27"/>
      <c r="DT73" s="27"/>
      <c r="DU73" s="27"/>
      <c r="DV73" s="27"/>
      <c r="DW73" s="27"/>
      <c r="DX73" s="27"/>
      <c r="DY73" s="27"/>
      <c r="DZ73" s="27"/>
      <c r="EA73" s="27"/>
      <c r="EB73" s="27"/>
      <c r="EC73" s="27"/>
      <c r="ED73" s="27"/>
      <c r="EE73" s="27"/>
      <c r="EF73" s="27"/>
      <c r="EG73" s="27"/>
      <c r="EH73" s="27"/>
      <c r="EI73" s="27"/>
      <c r="EJ73" s="27"/>
      <c r="EK73" s="27"/>
      <c r="EL73" s="27"/>
      <c r="EM73" s="27"/>
      <c r="EN73" s="27"/>
      <c r="EO73" s="27"/>
      <c r="EP73" s="27"/>
      <c r="EQ73" s="27"/>
      <c r="ER73" s="27"/>
      <c r="ES73" s="27"/>
      <c r="ET73" s="27"/>
      <c r="EU73" s="27"/>
      <c r="EV73" s="27"/>
      <c r="EW73" s="27"/>
      <c r="EX73" s="27"/>
      <c r="EY73" s="27"/>
      <c r="EZ73" s="27"/>
      <c r="FA73" s="27"/>
      <c r="FB73" s="27"/>
      <c r="FC73" s="27"/>
      <c r="FD73" s="27"/>
      <c r="FE73" s="27"/>
      <c r="FF73" s="27"/>
      <c r="FG73" s="27"/>
      <c r="FH73" s="27"/>
      <c r="FI73" s="27"/>
      <c r="FJ73" s="27"/>
      <c r="FK73" s="27"/>
      <c r="FL73" s="27"/>
      <c r="FM73" s="27"/>
      <c r="FN73" s="27"/>
      <c r="FO73" s="27"/>
      <c r="FP73" s="27"/>
      <c r="FQ73" s="27"/>
      <c r="FR73" s="27"/>
      <c r="FS73" s="27"/>
      <c r="FT73" s="27"/>
      <c r="FU73" s="27"/>
      <c r="FV73" s="27"/>
      <c r="FW73" s="27"/>
      <c r="FX73" s="27"/>
      <c r="FY73" s="27"/>
      <c r="FZ73" s="27"/>
      <c r="GA73" s="27"/>
      <c r="GB73" s="27"/>
      <c r="GC73" s="27"/>
      <c r="GD73" s="27"/>
      <c r="GE73" s="27"/>
      <c r="GF73" s="27"/>
      <c r="GG73" s="27"/>
      <c r="GH73" s="27"/>
      <c r="GI73" s="27"/>
      <c r="GJ73" s="27"/>
      <c r="GK73" s="27"/>
      <c r="GL73" s="27"/>
      <c r="GM73" s="27"/>
      <c r="GN73" s="27"/>
      <c r="GO73" s="27"/>
      <c r="GP73" s="27"/>
      <c r="GQ73" s="27"/>
      <c r="GR73" s="27"/>
      <c r="GS73" s="27"/>
      <c r="GT73" s="27"/>
      <c r="GU73" s="27"/>
      <c r="GV73" s="27"/>
      <c r="GW73" s="27"/>
      <c r="GX73" s="27"/>
      <c r="GY73" s="27"/>
      <c r="GZ73" s="27"/>
      <c r="HA73" s="27"/>
      <c r="HB73" s="27"/>
      <c r="HC73" s="27"/>
      <c r="HD73" s="27"/>
      <c r="HE73" s="27"/>
      <c r="HF73" s="27"/>
      <c r="HG73" s="27"/>
      <c r="HH73" s="27"/>
      <c r="HI73" s="27"/>
      <c r="HJ73" s="27"/>
      <c r="HK73" s="27"/>
      <c r="HL73" s="27"/>
      <c r="HM73" s="27"/>
      <c r="HN73" s="27"/>
      <c r="HO73" s="27"/>
      <c r="HP73" s="27"/>
      <c r="HQ73" s="27"/>
      <c r="HR73" s="27"/>
      <c r="HS73" s="27"/>
      <c r="HT73" s="27"/>
      <c r="HU73" s="27"/>
      <c r="HV73" s="27"/>
      <c r="HW73" s="27"/>
      <c r="HX73" s="27"/>
      <c r="HY73" s="27"/>
      <c r="HZ73" s="27"/>
      <c r="IA73" s="27"/>
      <c r="IB73" s="27"/>
      <c r="IC73" s="27"/>
      <c r="ID73" s="27"/>
      <c r="IE73" s="27"/>
      <c r="IF73" s="27"/>
      <c r="IG73" s="27"/>
      <c r="IH73" s="27"/>
      <c r="II73" s="27"/>
      <c r="IJ73" s="27"/>
      <c r="IK73" s="27"/>
      <c r="IL73" s="27"/>
      <c r="IM73" s="27"/>
      <c r="IN73" s="27"/>
      <c r="IO73" s="27"/>
      <c r="IP73" s="27"/>
      <c r="IQ73" s="27"/>
      <c r="IR73" s="27"/>
      <c r="IS73" s="27"/>
      <c r="IT73" s="27"/>
      <c r="IU73" s="27"/>
      <c r="IV73" s="27"/>
    </row>
    <row r="74" spans="1:256" x14ac:dyDescent="0.25">
      <c r="A74" s="27"/>
      <c r="B74" s="27"/>
      <c r="C74" s="28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  <c r="BW74" s="27"/>
      <c r="BX74" s="27"/>
      <c r="BY74" s="27"/>
      <c r="BZ74" s="27"/>
      <c r="CA74" s="27"/>
      <c r="CB74" s="27"/>
      <c r="CC74" s="27"/>
      <c r="CD74" s="27"/>
      <c r="CE74" s="27"/>
      <c r="CF74" s="27"/>
      <c r="CG74" s="27"/>
      <c r="CH74" s="27"/>
      <c r="CI74" s="27"/>
      <c r="CJ74" s="27"/>
      <c r="CK74" s="27"/>
      <c r="CL74" s="27"/>
      <c r="CM74" s="27"/>
      <c r="CN74" s="27"/>
      <c r="CO74" s="27"/>
      <c r="CP74" s="27"/>
      <c r="CQ74" s="27"/>
      <c r="CR74" s="27"/>
      <c r="CS74" s="27"/>
      <c r="CT74" s="27"/>
      <c r="CU74" s="27"/>
      <c r="CV74" s="27"/>
      <c r="CW74" s="27"/>
      <c r="CX74" s="27"/>
      <c r="CY74" s="27"/>
      <c r="CZ74" s="27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7"/>
      <c r="DL74" s="27"/>
      <c r="DM74" s="27"/>
      <c r="DN74" s="27"/>
      <c r="DO74" s="27"/>
      <c r="DP74" s="27"/>
      <c r="DQ74" s="27"/>
      <c r="DR74" s="27"/>
      <c r="DS74" s="27"/>
      <c r="DT74" s="27"/>
      <c r="DU74" s="27"/>
      <c r="DV74" s="27"/>
      <c r="DW74" s="27"/>
      <c r="DX74" s="27"/>
      <c r="DY74" s="27"/>
      <c r="DZ74" s="27"/>
      <c r="EA74" s="27"/>
      <c r="EB74" s="27"/>
      <c r="EC74" s="27"/>
      <c r="ED74" s="27"/>
      <c r="EE74" s="27"/>
      <c r="EF74" s="27"/>
      <c r="EG74" s="27"/>
      <c r="EH74" s="27"/>
      <c r="EI74" s="27"/>
      <c r="EJ74" s="27"/>
      <c r="EK74" s="27"/>
      <c r="EL74" s="27"/>
      <c r="EM74" s="27"/>
      <c r="EN74" s="27"/>
      <c r="EO74" s="27"/>
      <c r="EP74" s="27"/>
      <c r="EQ74" s="27"/>
      <c r="ER74" s="27"/>
      <c r="ES74" s="27"/>
      <c r="ET74" s="27"/>
      <c r="EU74" s="27"/>
      <c r="EV74" s="27"/>
      <c r="EW74" s="27"/>
      <c r="EX74" s="27"/>
      <c r="EY74" s="27"/>
      <c r="EZ74" s="27"/>
      <c r="FA74" s="27"/>
      <c r="FB74" s="27"/>
      <c r="FC74" s="27"/>
      <c r="FD74" s="27"/>
      <c r="FE74" s="27"/>
      <c r="FF74" s="27"/>
      <c r="FG74" s="27"/>
      <c r="FH74" s="27"/>
      <c r="FI74" s="27"/>
      <c r="FJ74" s="27"/>
      <c r="FK74" s="27"/>
      <c r="FL74" s="27"/>
      <c r="FM74" s="27"/>
      <c r="FN74" s="27"/>
      <c r="FO74" s="27"/>
      <c r="FP74" s="27"/>
      <c r="FQ74" s="27"/>
      <c r="FR74" s="27"/>
      <c r="FS74" s="27"/>
      <c r="FT74" s="27"/>
      <c r="FU74" s="27"/>
      <c r="FV74" s="27"/>
      <c r="FW74" s="27"/>
      <c r="FX74" s="27"/>
      <c r="FY74" s="27"/>
      <c r="FZ74" s="27"/>
      <c r="GA74" s="27"/>
      <c r="GB74" s="27"/>
      <c r="GC74" s="27"/>
      <c r="GD74" s="27"/>
      <c r="GE74" s="27"/>
      <c r="GF74" s="27"/>
      <c r="GG74" s="27"/>
      <c r="GH74" s="27"/>
      <c r="GI74" s="27"/>
      <c r="GJ74" s="27"/>
      <c r="GK74" s="27"/>
      <c r="GL74" s="27"/>
      <c r="GM74" s="27"/>
      <c r="GN74" s="27"/>
      <c r="GO74" s="27"/>
      <c r="GP74" s="27"/>
      <c r="GQ74" s="27"/>
      <c r="GR74" s="27"/>
      <c r="GS74" s="27"/>
      <c r="GT74" s="27"/>
      <c r="GU74" s="27"/>
      <c r="GV74" s="27"/>
      <c r="GW74" s="27"/>
      <c r="GX74" s="27"/>
      <c r="GY74" s="27"/>
      <c r="GZ74" s="27"/>
      <c r="HA74" s="27"/>
      <c r="HB74" s="27"/>
      <c r="HC74" s="27"/>
      <c r="HD74" s="27"/>
      <c r="HE74" s="27"/>
      <c r="HF74" s="27"/>
      <c r="HG74" s="27"/>
      <c r="HH74" s="27"/>
      <c r="HI74" s="27"/>
      <c r="HJ74" s="27"/>
      <c r="HK74" s="27"/>
      <c r="HL74" s="27"/>
      <c r="HM74" s="27"/>
      <c r="HN74" s="27"/>
      <c r="HO74" s="27"/>
      <c r="HP74" s="27"/>
      <c r="HQ74" s="27"/>
      <c r="HR74" s="27"/>
      <c r="HS74" s="27"/>
      <c r="HT74" s="27"/>
      <c r="HU74" s="27"/>
      <c r="HV74" s="27"/>
      <c r="HW74" s="27"/>
      <c r="HX74" s="27"/>
      <c r="HY74" s="27"/>
      <c r="HZ74" s="27"/>
      <c r="IA74" s="27"/>
      <c r="IB74" s="27"/>
      <c r="IC74" s="27"/>
      <c r="ID74" s="27"/>
      <c r="IE74" s="27"/>
      <c r="IF74" s="27"/>
      <c r="IG74" s="27"/>
      <c r="IH74" s="27"/>
      <c r="II74" s="27"/>
      <c r="IJ74" s="27"/>
      <c r="IK74" s="27"/>
      <c r="IL74" s="27"/>
      <c r="IM74" s="27"/>
      <c r="IN74" s="27"/>
      <c r="IO74" s="27"/>
      <c r="IP74" s="27"/>
      <c r="IQ74" s="27"/>
      <c r="IR74" s="27"/>
      <c r="IS74" s="27"/>
      <c r="IT74" s="27"/>
      <c r="IU74" s="27"/>
      <c r="IV74" s="27"/>
    </row>
    <row r="75" spans="1:256" x14ac:dyDescent="0.25">
      <c r="A75" s="27"/>
      <c r="B75" s="27"/>
      <c r="C75" s="28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  <c r="BW75" s="27"/>
      <c r="BX75" s="27"/>
      <c r="BY75" s="27"/>
      <c r="BZ75" s="27"/>
      <c r="CA75" s="27"/>
      <c r="CB75" s="27"/>
      <c r="CC75" s="27"/>
      <c r="CD75" s="27"/>
      <c r="CE75" s="27"/>
      <c r="CF75" s="27"/>
      <c r="CG75" s="27"/>
      <c r="CH75" s="27"/>
      <c r="CI75" s="27"/>
      <c r="CJ75" s="27"/>
      <c r="CK75" s="27"/>
      <c r="CL75" s="27"/>
      <c r="CM75" s="27"/>
      <c r="CN75" s="27"/>
      <c r="CO75" s="27"/>
      <c r="CP75" s="27"/>
      <c r="CQ75" s="27"/>
      <c r="CR75" s="27"/>
      <c r="CS75" s="27"/>
      <c r="CT75" s="27"/>
      <c r="CU75" s="27"/>
      <c r="CV75" s="27"/>
      <c r="CW75" s="27"/>
      <c r="CX75" s="27"/>
      <c r="CY75" s="27"/>
      <c r="CZ75" s="27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7"/>
      <c r="DL75" s="27"/>
      <c r="DM75" s="27"/>
      <c r="DN75" s="27"/>
      <c r="DO75" s="27"/>
      <c r="DP75" s="27"/>
      <c r="DQ75" s="27"/>
      <c r="DR75" s="27"/>
      <c r="DS75" s="27"/>
      <c r="DT75" s="27"/>
      <c r="DU75" s="27"/>
      <c r="DV75" s="27"/>
      <c r="DW75" s="27"/>
      <c r="DX75" s="27"/>
      <c r="DY75" s="27"/>
      <c r="DZ75" s="27"/>
      <c r="EA75" s="27"/>
      <c r="EB75" s="27"/>
      <c r="EC75" s="27"/>
      <c r="ED75" s="27"/>
      <c r="EE75" s="27"/>
      <c r="EF75" s="27"/>
      <c r="EG75" s="27"/>
      <c r="EH75" s="27"/>
      <c r="EI75" s="27"/>
      <c r="EJ75" s="27"/>
      <c r="EK75" s="27"/>
      <c r="EL75" s="27"/>
      <c r="EM75" s="27"/>
      <c r="EN75" s="27"/>
      <c r="EO75" s="27"/>
      <c r="EP75" s="27"/>
      <c r="EQ75" s="27"/>
      <c r="ER75" s="27"/>
      <c r="ES75" s="27"/>
      <c r="ET75" s="27"/>
      <c r="EU75" s="27"/>
      <c r="EV75" s="27"/>
      <c r="EW75" s="27"/>
      <c r="EX75" s="27"/>
      <c r="EY75" s="27"/>
      <c r="EZ75" s="27"/>
      <c r="FA75" s="27"/>
      <c r="FB75" s="27"/>
      <c r="FC75" s="27"/>
      <c r="FD75" s="27"/>
      <c r="FE75" s="27"/>
      <c r="FF75" s="27"/>
      <c r="FG75" s="27"/>
      <c r="FH75" s="27"/>
      <c r="FI75" s="27"/>
      <c r="FJ75" s="27"/>
      <c r="FK75" s="27"/>
      <c r="FL75" s="27"/>
      <c r="FM75" s="27"/>
      <c r="FN75" s="27"/>
      <c r="FO75" s="27"/>
      <c r="FP75" s="27"/>
      <c r="FQ75" s="27"/>
      <c r="FR75" s="27"/>
      <c r="FS75" s="27"/>
      <c r="FT75" s="27"/>
      <c r="FU75" s="27"/>
      <c r="FV75" s="27"/>
      <c r="FW75" s="27"/>
      <c r="FX75" s="27"/>
      <c r="FY75" s="27"/>
      <c r="FZ75" s="27"/>
      <c r="GA75" s="27"/>
      <c r="GB75" s="27"/>
      <c r="GC75" s="27"/>
      <c r="GD75" s="27"/>
      <c r="GE75" s="27"/>
      <c r="GF75" s="27"/>
      <c r="GG75" s="27"/>
      <c r="GH75" s="27"/>
      <c r="GI75" s="27"/>
      <c r="GJ75" s="27"/>
      <c r="GK75" s="27"/>
      <c r="GL75" s="27"/>
      <c r="GM75" s="27"/>
      <c r="GN75" s="27"/>
      <c r="GO75" s="27"/>
      <c r="GP75" s="27"/>
      <c r="GQ75" s="27"/>
      <c r="GR75" s="27"/>
      <c r="GS75" s="27"/>
      <c r="GT75" s="27"/>
      <c r="GU75" s="27"/>
      <c r="GV75" s="27"/>
      <c r="GW75" s="27"/>
      <c r="GX75" s="27"/>
      <c r="GY75" s="27"/>
      <c r="GZ75" s="27"/>
      <c r="HA75" s="27"/>
      <c r="HB75" s="27"/>
      <c r="HC75" s="27"/>
      <c r="HD75" s="27"/>
      <c r="HE75" s="27"/>
      <c r="HF75" s="27"/>
      <c r="HG75" s="27"/>
      <c r="HH75" s="27"/>
      <c r="HI75" s="27"/>
      <c r="HJ75" s="27"/>
      <c r="HK75" s="27"/>
      <c r="HL75" s="27"/>
      <c r="HM75" s="27"/>
      <c r="HN75" s="27"/>
      <c r="HO75" s="27"/>
      <c r="HP75" s="27"/>
      <c r="HQ75" s="27"/>
      <c r="HR75" s="27"/>
      <c r="HS75" s="27"/>
      <c r="HT75" s="27"/>
      <c r="HU75" s="27"/>
      <c r="HV75" s="27"/>
      <c r="HW75" s="27"/>
      <c r="HX75" s="27"/>
      <c r="HY75" s="27"/>
      <c r="HZ75" s="27"/>
      <c r="IA75" s="27"/>
      <c r="IB75" s="27"/>
      <c r="IC75" s="27"/>
      <c r="ID75" s="27"/>
      <c r="IE75" s="27"/>
      <c r="IF75" s="27"/>
      <c r="IG75" s="27"/>
      <c r="IH75" s="27"/>
      <c r="II75" s="27"/>
      <c r="IJ75" s="27"/>
      <c r="IK75" s="27"/>
      <c r="IL75" s="27"/>
      <c r="IM75" s="27"/>
      <c r="IN75" s="27"/>
      <c r="IO75" s="27"/>
      <c r="IP75" s="27"/>
      <c r="IQ75" s="27"/>
      <c r="IR75" s="27"/>
      <c r="IS75" s="27"/>
      <c r="IT75" s="27"/>
      <c r="IU75" s="27"/>
      <c r="IV75" s="27"/>
    </row>
    <row r="76" spans="1:256" x14ac:dyDescent="0.25">
      <c r="A76" s="27"/>
      <c r="B76" s="27"/>
      <c r="C76" s="28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  <c r="BW76" s="27"/>
      <c r="BX76" s="27"/>
      <c r="BY76" s="27"/>
      <c r="BZ76" s="27"/>
      <c r="CA76" s="27"/>
      <c r="CB76" s="27"/>
      <c r="CC76" s="27"/>
      <c r="CD76" s="27"/>
      <c r="CE76" s="27"/>
      <c r="CF76" s="27"/>
      <c r="CG76" s="27"/>
      <c r="CH76" s="27"/>
      <c r="CI76" s="27"/>
      <c r="CJ76" s="27"/>
      <c r="CK76" s="27"/>
      <c r="CL76" s="27"/>
      <c r="CM76" s="27"/>
      <c r="CN76" s="27"/>
      <c r="CO76" s="27"/>
      <c r="CP76" s="27"/>
      <c r="CQ76" s="27"/>
      <c r="CR76" s="27"/>
      <c r="CS76" s="27"/>
      <c r="CT76" s="27"/>
      <c r="CU76" s="27"/>
      <c r="CV76" s="27"/>
      <c r="CW76" s="27"/>
      <c r="CX76" s="27"/>
      <c r="CY76" s="27"/>
      <c r="CZ76" s="27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7"/>
      <c r="DL76" s="27"/>
      <c r="DM76" s="27"/>
      <c r="DN76" s="27"/>
      <c r="DO76" s="27"/>
      <c r="DP76" s="27"/>
      <c r="DQ76" s="27"/>
      <c r="DR76" s="27"/>
      <c r="DS76" s="27"/>
      <c r="DT76" s="27"/>
      <c r="DU76" s="27"/>
      <c r="DV76" s="27"/>
      <c r="DW76" s="27"/>
      <c r="DX76" s="27"/>
      <c r="DY76" s="27"/>
      <c r="DZ76" s="27"/>
      <c r="EA76" s="27"/>
      <c r="EB76" s="27"/>
      <c r="EC76" s="27"/>
      <c r="ED76" s="27"/>
      <c r="EE76" s="27"/>
      <c r="EF76" s="27"/>
      <c r="EG76" s="27"/>
      <c r="EH76" s="27"/>
      <c r="EI76" s="27"/>
      <c r="EJ76" s="27"/>
      <c r="EK76" s="27"/>
      <c r="EL76" s="27"/>
      <c r="EM76" s="27"/>
      <c r="EN76" s="27"/>
      <c r="EO76" s="27"/>
      <c r="EP76" s="27"/>
      <c r="EQ76" s="27"/>
      <c r="ER76" s="27"/>
      <c r="ES76" s="27"/>
      <c r="ET76" s="27"/>
      <c r="EU76" s="27"/>
      <c r="EV76" s="27"/>
      <c r="EW76" s="27"/>
      <c r="EX76" s="27"/>
      <c r="EY76" s="27"/>
      <c r="EZ76" s="27"/>
      <c r="FA76" s="27"/>
      <c r="FB76" s="27"/>
      <c r="FC76" s="27"/>
      <c r="FD76" s="27"/>
      <c r="FE76" s="27"/>
      <c r="FF76" s="27"/>
      <c r="FG76" s="27"/>
      <c r="FH76" s="27"/>
      <c r="FI76" s="27"/>
      <c r="FJ76" s="27"/>
      <c r="FK76" s="27"/>
      <c r="FL76" s="27"/>
      <c r="FM76" s="27"/>
      <c r="FN76" s="27"/>
      <c r="FO76" s="27"/>
      <c r="FP76" s="27"/>
      <c r="FQ76" s="27"/>
      <c r="FR76" s="27"/>
      <c r="FS76" s="27"/>
      <c r="FT76" s="27"/>
      <c r="FU76" s="27"/>
      <c r="FV76" s="27"/>
      <c r="FW76" s="27"/>
      <c r="FX76" s="27"/>
      <c r="FY76" s="27"/>
      <c r="FZ76" s="27"/>
      <c r="GA76" s="27"/>
      <c r="GB76" s="27"/>
      <c r="GC76" s="27"/>
      <c r="GD76" s="27"/>
      <c r="GE76" s="27"/>
      <c r="GF76" s="27"/>
      <c r="GG76" s="27"/>
      <c r="GH76" s="27"/>
      <c r="GI76" s="27"/>
      <c r="GJ76" s="27"/>
      <c r="GK76" s="27"/>
      <c r="GL76" s="27"/>
      <c r="GM76" s="27"/>
      <c r="GN76" s="27"/>
      <c r="GO76" s="27"/>
      <c r="GP76" s="27"/>
      <c r="GQ76" s="27"/>
      <c r="GR76" s="27"/>
      <c r="GS76" s="27"/>
      <c r="GT76" s="27"/>
      <c r="GU76" s="27"/>
      <c r="GV76" s="27"/>
      <c r="GW76" s="27"/>
      <c r="GX76" s="27"/>
      <c r="GY76" s="27"/>
      <c r="GZ76" s="27"/>
      <c r="HA76" s="27"/>
      <c r="HB76" s="27"/>
      <c r="HC76" s="27"/>
      <c r="HD76" s="27"/>
      <c r="HE76" s="27"/>
      <c r="HF76" s="27"/>
      <c r="HG76" s="27"/>
      <c r="HH76" s="27"/>
      <c r="HI76" s="27"/>
      <c r="HJ76" s="27"/>
      <c r="HK76" s="27"/>
      <c r="HL76" s="27"/>
      <c r="HM76" s="27"/>
      <c r="HN76" s="27"/>
      <c r="HO76" s="27"/>
      <c r="HP76" s="27"/>
      <c r="HQ76" s="27"/>
      <c r="HR76" s="27"/>
      <c r="HS76" s="27"/>
      <c r="HT76" s="27"/>
      <c r="HU76" s="27"/>
      <c r="HV76" s="27"/>
      <c r="HW76" s="27"/>
      <c r="HX76" s="27"/>
      <c r="HY76" s="27"/>
      <c r="HZ76" s="27"/>
      <c r="IA76" s="27"/>
      <c r="IB76" s="27"/>
      <c r="IC76" s="27"/>
      <c r="ID76" s="27"/>
      <c r="IE76" s="27"/>
      <c r="IF76" s="27"/>
      <c r="IG76" s="27"/>
      <c r="IH76" s="27"/>
      <c r="II76" s="27"/>
      <c r="IJ76" s="27"/>
      <c r="IK76" s="27"/>
      <c r="IL76" s="27"/>
      <c r="IM76" s="27"/>
      <c r="IN76" s="27"/>
      <c r="IO76" s="27"/>
      <c r="IP76" s="27"/>
      <c r="IQ76" s="27"/>
      <c r="IR76" s="27"/>
      <c r="IS76" s="27"/>
      <c r="IT76" s="27"/>
      <c r="IU76" s="27"/>
      <c r="IV76" s="27"/>
    </row>
    <row r="77" spans="1:256" x14ac:dyDescent="0.25">
      <c r="A77" s="27"/>
      <c r="B77" s="27"/>
      <c r="C77" s="28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27"/>
      <c r="DO77" s="27"/>
      <c r="DP77" s="27"/>
      <c r="DQ77" s="27"/>
      <c r="DR77" s="27"/>
      <c r="DS77" s="27"/>
      <c r="DT77" s="27"/>
      <c r="DU77" s="27"/>
      <c r="DV77" s="27"/>
      <c r="DW77" s="27"/>
      <c r="DX77" s="27"/>
      <c r="DY77" s="27"/>
      <c r="DZ77" s="27"/>
      <c r="EA77" s="27"/>
      <c r="EB77" s="27"/>
      <c r="EC77" s="27"/>
      <c r="ED77" s="27"/>
      <c r="EE77" s="27"/>
      <c r="EF77" s="27"/>
      <c r="EG77" s="27"/>
      <c r="EH77" s="27"/>
      <c r="EI77" s="27"/>
      <c r="EJ77" s="27"/>
      <c r="EK77" s="27"/>
      <c r="EL77" s="27"/>
      <c r="EM77" s="27"/>
      <c r="EN77" s="27"/>
      <c r="EO77" s="27"/>
      <c r="EP77" s="27"/>
      <c r="EQ77" s="27"/>
      <c r="ER77" s="27"/>
      <c r="ES77" s="27"/>
      <c r="ET77" s="27"/>
      <c r="EU77" s="27"/>
      <c r="EV77" s="27"/>
      <c r="EW77" s="27"/>
      <c r="EX77" s="27"/>
      <c r="EY77" s="27"/>
      <c r="EZ77" s="27"/>
      <c r="FA77" s="27"/>
      <c r="FB77" s="27"/>
      <c r="FC77" s="27"/>
      <c r="FD77" s="27"/>
      <c r="FE77" s="27"/>
      <c r="FF77" s="27"/>
      <c r="FG77" s="27"/>
      <c r="FH77" s="27"/>
      <c r="FI77" s="27"/>
      <c r="FJ77" s="27"/>
      <c r="FK77" s="27"/>
      <c r="FL77" s="27"/>
      <c r="FM77" s="27"/>
      <c r="FN77" s="27"/>
      <c r="FO77" s="27"/>
      <c r="FP77" s="27"/>
      <c r="FQ77" s="27"/>
      <c r="FR77" s="27"/>
      <c r="FS77" s="27"/>
      <c r="FT77" s="27"/>
      <c r="FU77" s="27"/>
      <c r="FV77" s="27"/>
      <c r="FW77" s="27"/>
      <c r="FX77" s="27"/>
      <c r="FY77" s="27"/>
      <c r="FZ77" s="27"/>
      <c r="GA77" s="27"/>
      <c r="GB77" s="27"/>
      <c r="GC77" s="27"/>
      <c r="GD77" s="27"/>
      <c r="GE77" s="27"/>
      <c r="GF77" s="27"/>
      <c r="GG77" s="27"/>
      <c r="GH77" s="27"/>
      <c r="GI77" s="27"/>
      <c r="GJ77" s="27"/>
      <c r="GK77" s="27"/>
      <c r="GL77" s="27"/>
      <c r="GM77" s="27"/>
      <c r="GN77" s="27"/>
      <c r="GO77" s="27"/>
      <c r="GP77" s="27"/>
      <c r="GQ77" s="27"/>
      <c r="GR77" s="27"/>
      <c r="GS77" s="27"/>
      <c r="GT77" s="27"/>
      <c r="GU77" s="27"/>
      <c r="GV77" s="27"/>
      <c r="GW77" s="27"/>
      <c r="GX77" s="27"/>
      <c r="GY77" s="27"/>
      <c r="GZ77" s="27"/>
      <c r="HA77" s="27"/>
      <c r="HB77" s="27"/>
      <c r="HC77" s="27"/>
      <c r="HD77" s="27"/>
      <c r="HE77" s="27"/>
      <c r="HF77" s="27"/>
      <c r="HG77" s="27"/>
      <c r="HH77" s="27"/>
      <c r="HI77" s="27"/>
      <c r="HJ77" s="27"/>
      <c r="HK77" s="27"/>
      <c r="HL77" s="27"/>
      <c r="HM77" s="27"/>
      <c r="HN77" s="27"/>
      <c r="HO77" s="27"/>
      <c r="HP77" s="27"/>
      <c r="HQ77" s="27"/>
      <c r="HR77" s="27"/>
      <c r="HS77" s="27"/>
      <c r="HT77" s="27"/>
      <c r="HU77" s="27"/>
      <c r="HV77" s="27"/>
      <c r="HW77" s="27"/>
      <c r="HX77" s="27"/>
      <c r="HY77" s="27"/>
      <c r="HZ77" s="27"/>
      <c r="IA77" s="27"/>
      <c r="IB77" s="27"/>
      <c r="IC77" s="27"/>
      <c r="ID77" s="27"/>
      <c r="IE77" s="27"/>
      <c r="IF77" s="27"/>
      <c r="IG77" s="27"/>
      <c r="IH77" s="27"/>
      <c r="II77" s="27"/>
      <c r="IJ77" s="27"/>
      <c r="IK77" s="27"/>
      <c r="IL77" s="27"/>
      <c r="IM77" s="27"/>
      <c r="IN77" s="27"/>
      <c r="IO77" s="27"/>
      <c r="IP77" s="27"/>
      <c r="IQ77" s="27"/>
      <c r="IR77" s="27"/>
      <c r="IS77" s="27"/>
      <c r="IT77" s="27"/>
      <c r="IU77" s="27"/>
      <c r="IV77" s="27"/>
    </row>
    <row r="78" spans="1:256" x14ac:dyDescent="0.25">
      <c r="A78" s="27"/>
      <c r="B78" s="27"/>
      <c r="C78" s="28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  <c r="BW78" s="27"/>
      <c r="BX78" s="27"/>
      <c r="BY78" s="27"/>
      <c r="BZ78" s="27"/>
      <c r="CA78" s="27"/>
      <c r="CB78" s="27"/>
      <c r="CC78" s="27"/>
      <c r="CD78" s="27"/>
      <c r="CE78" s="27"/>
      <c r="CF78" s="27"/>
      <c r="CG78" s="27"/>
      <c r="CH78" s="27"/>
      <c r="CI78" s="27"/>
      <c r="CJ78" s="27"/>
      <c r="CK78" s="27"/>
      <c r="CL78" s="27"/>
      <c r="CM78" s="27"/>
      <c r="CN78" s="27"/>
      <c r="CO78" s="27"/>
      <c r="CP78" s="27"/>
      <c r="CQ78" s="27"/>
      <c r="CR78" s="27"/>
      <c r="CS78" s="27"/>
      <c r="CT78" s="27"/>
      <c r="CU78" s="27"/>
      <c r="CV78" s="27"/>
      <c r="CW78" s="27"/>
      <c r="CX78" s="27"/>
      <c r="CY78" s="27"/>
      <c r="CZ78" s="27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7"/>
      <c r="DL78" s="27"/>
      <c r="DM78" s="27"/>
      <c r="DN78" s="27"/>
      <c r="DO78" s="27"/>
      <c r="DP78" s="27"/>
      <c r="DQ78" s="27"/>
      <c r="DR78" s="27"/>
      <c r="DS78" s="27"/>
      <c r="DT78" s="27"/>
      <c r="DU78" s="27"/>
      <c r="DV78" s="27"/>
      <c r="DW78" s="27"/>
      <c r="DX78" s="27"/>
      <c r="DY78" s="27"/>
      <c r="DZ78" s="27"/>
      <c r="EA78" s="27"/>
      <c r="EB78" s="27"/>
      <c r="EC78" s="27"/>
      <c r="ED78" s="27"/>
      <c r="EE78" s="27"/>
      <c r="EF78" s="27"/>
      <c r="EG78" s="27"/>
      <c r="EH78" s="27"/>
      <c r="EI78" s="27"/>
      <c r="EJ78" s="27"/>
      <c r="EK78" s="27"/>
      <c r="EL78" s="27"/>
      <c r="EM78" s="27"/>
      <c r="EN78" s="27"/>
      <c r="EO78" s="27"/>
      <c r="EP78" s="27"/>
      <c r="EQ78" s="27"/>
      <c r="ER78" s="27"/>
      <c r="ES78" s="27"/>
      <c r="ET78" s="27"/>
      <c r="EU78" s="27"/>
      <c r="EV78" s="27"/>
      <c r="EW78" s="27"/>
      <c r="EX78" s="27"/>
      <c r="EY78" s="27"/>
      <c r="EZ78" s="27"/>
      <c r="FA78" s="27"/>
      <c r="FB78" s="27"/>
      <c r="FC78" s="27"/>
      <c r="FD78" s="27"/>
      <c r="FE78" s="27"/>
      <c r="FF78" s="27"/>
      <c r="FG78" s="27"/>
      <c r="FH78" s="27"/>
      <c r="FI78" s="27"/>
      <c r="FJ78" s="27"/>
      <c r="FK78" s="27"/>
      <c r="FL78" s="27"/>
      <c r="FM78" s="27"/>
      <c r="FN78" s="27"/>
      <c r="FO78" s="27"/>
      <c r="FP78" s="27"/>
      <c r="FQ78" s="27"/>
      <c r="FR78" s="27"/>
      <c r="FS78" s="27"/>
      <c r="FT78" s="27"/>
      <c r="FU78" s="27"/>
      <c r="FV78" s="27"/>
      <c r="FW78" s="27"/>
      <c r="FX78" s="27"/>
      <c r="FY78" s="27"/>
      <c r="FZ78" s="27"/>
      <c r="GA78" s="27"/>
      <c r="GB78" s="27"/>
      <c r="GC78" s="27"/>
      <c r="GD78" s="27"/>
      <c r="GE78" s="27"/>
      <c r="GF78" s="27"/>
      <c r="GG78" s="27"/>
      <c r="GH78" s="27"/>
      <c r="GI78" s="27"/>
      <c r="GJ78" s="27"/>
      <c r="GK78" s="27"/>
      <c r="GL78" s="27"/>
      <c r="GM78" s="27"/>
      <c r="GN78" s="27"/>
      <c r="GO78" s="27"/>
      <c r="GP78" s="27"/>
      <c r="GQ78" s="27"/>
      <c r="GR78" s="27"/>
      <c r="GS78" s="27"/>
      <c r="GT78" s="27"/>
      <c r="GU78" s="27"/>
      <c r="GV78" s="27"/>
      <c r="GW78" s="27"/>
      <c r="GX78" s="27"/>
      <c r="GY78" s="27"/>
      <c r="GZ78" s="27"/>
      <c r="HA78" s="27"/>
      <c r="HB78" s="27"/>
      <c r="HC78" s="27"/>
      <c r="HD78" s="27"/>
      <c r="HE78" s="27"/>
      <c r="HF78" s="27"/>
      <c r="HG78" s="27"/>
      <c r="HH78" s="27"/>
      <c r="HI78" s="27"/>
      <c r="HJ78" s="27"/>
      <c r="HK78" s="27"/>
      <c r="HL78" s="27"/>
      <c r="HM78" s="27"/>
      <c r="HN78" s="27"/>
      <c r="HO78" s="27"/>
      <c r="HP78" s="27"/>
      <c r="HQ78" s="27"/>
      <c r="HR78" s="27"/>
      <c r="HS78" s="27"/>
      <c r="HT78" s="27"/>
      <c r="HU78" s="27"/>
      <c r="HV78" s="27"/>
      <c r="HW78" s="27"/>
      <c r="HX78" s="27"/>
      <c r="HY78" s="27"/>
      <c r="HZ78" s="27"/>
      <c r="IA78" s="27"/>
      <c r="IB78" s="27"/>
      <c r="IC78" s="27"/>
      <c r="ID78" s="27"/>
      <c r="IE78" s="27"/>
      <c r="IF78" s="27"/>
      <c r="IG78" s="27"/>
      <c r="IH78" s="27"/>
      <c r="II78" s="27"/>
      <c r="IJ78" s="27"/>
      <c r="IK78" s="27"/>
      <c r="IL78" s="27"/>
      <c r="IM78" s="27"/>
      <c r="IN78" s="27"/>
      <c r="IO78" s="27"/>
      <c r="IP78" s="27"/>
      <c r="IQ78" s="27"/>
      <c r="IR78" s="27"/>
      <c r="IS78" s="27"/>
      <c r="IT78" s="27"/>
      <c r="IU78" s="27"/>
      <c r="IV78" s="27"/>
    </row>
    <row r="79" spans="1:256" x14ac:dyDescent="0.25">
      <c r="A79" s="27"/>
      <c r="B79" s="27"/>
      <c r="C79" s="28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  <c r="DN79" s="27"/>
      <c r="DO79" s="27"/>
      <c r="DP79" s="27"/>
      <c r="DQ79" s="27"/>
      <c r="DR79" s="27"/>
      <c r="DS79" s="27"/>
      <c r="DT79" s="27"/>
      <c r="DU79" s="27"/>
      <c r="DV79" s="27"/>
      <c r="DW79" s="27"/>
      <c r="DX79" s="27"/>
      <c r="DY79" s="27"/>
      <c r="DZ79" s="27"/>
      <c r="EA79" s="27"/>
      <c r="EB79" s="27"/>
      <c r="EC79" s="27"/>
      <c r="ED79" s="27"/>
      <c r="EE79" s="27"/>
      <c r="EF79" s="27"/>
      <c r="EG79" s="27"/>
      <c r="EH79" s="27"/>
      <c r="EI79" s="27"/>
      <c r="EJ79" s="27"/>
      <c r="EK79" s="27"/>
      <c r="EL79" s="27"/>
      <c r="EM79" s="27"/>
      <c r="EN79" s="27"/>
      <c r="EO79" s="27"/>
      <c r="EP79" s="27"/>
      <c r="EQ79" s="27"/>
      <c r="ER79" s="27"/>
      <c r="ES79" s="27"/>
      <c r="ET79" s="27"/>
      <c r="EU79" s="27"/>
      <c r="EV79" s="27"/>
      <c r="EW79" s="27"/>
      <c r="EX79" s="27"/>
      <c r="EY79" s="27"/>
      <c r="EZ79" s="27"/>
      <c r="FA79" s="27"/>
      <c r="FB79" s="27"/>
      <c r="FC79" s="27"/>
      <c r="FD79" s="27"/>
      <c r="FE79" s="27"/>
      <c r="FF79" s="27"/>
      <c r="FG79" s="27"/>
      <c r="FH79" s="27"/>
      <c r="FI79" s="27"/>
      <c r="FJ79" s="27"/>
      <c r="FK79" s="27"/>
      <c r="FL79" s="27"/>
      <c r="FM79" s="27"/>
      <c r="FN79" s="27"/>
      <c r="FO79" s="27"/>
      <c r="FP79" s="27"/>
      <c r="FQ79" s="27"/>
      <c r="FR79" s="27"/>
      <c r="FS79" s="27"/>
      <c r="FT79" s="27"/>
      <c r="FU79" s="27"/>
      <c r="FV79" s="27"/>
      <c r="FW79" s="27"/>
      <c r="FX79" s="27"/>
      <c r="FY79" s="27"/>
      <c r="FZ79" s="27"/>
      <c r="GA79" s="27"/>
      <c r="GB79" s="27"/>
      <c r="GC79" s="27"/>
      <c r="GD79" s="27"/>
      <c r="GE79" s="27"/>
      <c r="GF79" s="27"/>
      <c r="GG79" s="27"/>
      <c r="GH79" s="27"/>
      <c r="GI79" s="27"/>
      <c r="GJ79" s="27"/>
      <c r="GK79" s="27"/>
      <c r="GL79" s="27"/>
      <c r="GM79" s="27"/>
      <c r="GN79" s="27"/>
      <c r="GO79" s="27"/>
      <c r="GP79" s="27"/>
      <c r="GQ79" s="27"/>
      <c r="GR79" s="27"/>
      <c r="GS79" s="27"/>
      <c r="GT79" s="27"/>
      <c r="GU79" s="27"/>
      <c r="GV79" s="27"/>
      <c r="GW79" s="27"/>
      <c r="GX79" s="27"/>
      <c r="GY79" s="27"/>
      <c r="GZ79" s="27"/>
      <c r="HA79" s="27"/>
      <c r="HB79" s="27"/>
      <c r="HC79" s="27"/>
      <c r="HD79" s="27"/>
      <c r="HE79" s="27"/>
      <c r="HF79" s="27"/>
      <c r="HG79" s="27"/>
      <c r="HH79" s="27"/>
      <c r="HI79" s="27"/>
      <c r="HJ79" s="27"/>
      <c r="HK79" s="27"/>
      <c r="HL79" s="27"/>
      <c r="HM79" s="27"/>
      <c r="HN79" s="27"/>
      <c r="HO79" s="27"/>
      <c r="HP79" s="27"/>
      <c r="HQ79" s="27"/>
      <c r="HR79" s="27"/>
      <c r="HS79" s="27"/>
      <c r="HT79" s="27"/>
      <c r="HU79" s="27"/>
      <c r="HV79" s="27"/>
      <c r="HW79" s="27"/>
      <c r="HX79" s="27"/>
      <c r="HY79" s="27"/>
      <c r="HZ79" s="27"/>
      <c r="IA79" s="27"/>
      <c r="IB79" s="27"/>
      <c r="IC79" s="27"/>
      <c r="ID79" s="27"/>
      <c r="IE79" s="27"/>
      <c r="IF79" s="27"/>
      <c r="IG79" s="27"/>
      <c r="IH79" s="27"/>
      <c r="II79" s="27"/>
      <c r="IJ79" s="27"/>
      <c r="IK79" s="27"/>
      <c r="IL79" s="27"/>
      <c r="IM79" s="27"/>
      <c r="IN79" s="27"/>
      <c r="IO79" s="27"/>
      <c r="IP79" s="27"/>
      <c r="IQ79" s="27"/>
      <c r="IR79" s="27"/>
      <c r="IS79" s="27"/>
      <c r="IT79" s="27"/>
      <c r="IU79" s="27"/>
      <c r="IV79" s="27"/>
    </row>
    <row r="80" spans="1:256" x14ac:dyDescent="0.25">
      <c r="A80" s="27"/>
      <c r="B80" s="27"/>
      <c r="C80" s="28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27"/>
      <c r="AD80" s="27"/>
      <c r="AE80" s="27"/>
      <c r="AF80" s="27"/>
      <c r="AG80" s="27"/>
      <c r="AH80" s="27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  <c r="BW80" s="27"/>
      <c r="BX80" s="27"/>
      <c r="BY80" s="27"/>
      <c r="BZ80" s="27"/>
      <c r="CA80" s="27"/>
      <c r="CB80" s="27"/>
      <c r="CC80" s="27"/>
      <c r="CD80" s="27"/>
      <c r="CE80" s="27"/>
      <c r="CF80" s="27"/>
      <c r="CG80" s="27"/>
      <c r="CH80" s="27"/>
      <c r="CI80" s="27"/>
      <c r="CJ80" s="27"/>
      <c r="CK80" s="27"/>
      <c r="CL80" s="27"/>
      <c r="CM80" s="27"/>
      <c r="CN80" s="27"/>
      <c r="CO80" s="27"/>
      <c r="CP80" s="27"/>
      <c r="CQ80" s="27"/>
      <c r="CR80" s="27"/>
      <c r="CS80" s="27"/>
      <c r="CT80" s="27"/>
      <c r="CU80" s="27"/>
      <c r="CV80" s="27"/>
      <c r="CW80" s="27"/>
      <c r="CX80" s="27"/>
      <c r="CY80" s="27"/>
      <c r="CZ80" s="27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7"/>
      <c r="DL80" s="27"/>
      <c r="DM80" s="27"/>
      <c r="DN80" s="27"/>
      <c r="DO80" s="27"/>
      <c r="DP80" s="27"/>
      <c r="DQ80" s="27"/>
      <c r="DR80" s="27"/>
      <c r="DS80" s="27"/>
      <c r="DT80" s="27"/>
      <c r="DU80" s="27"/>
      <c r="DV80" s="27"/>
      <c r="DW80" s="27"/>
      <c r="DX80" s="27"/>
      <c r="DY80" s="27"/>
      <c r="DZ80" s="27"/>
      <c r="EA80" s="27"/>
      <c r="EB80" s="27"/>
      <c r="EC80" s="27"/>
      <c r="ED80" s="27"/>
      <c r="EE80" s="27"/>
      <c r="EF80" s="27"/>
      <c r="EG80" s="27"/>
      <c r="EH80" s="27"/>
      <c r="EI80" s="27"/>
      <c r="EJ80" s="27"/>
      <c r="EK80" s="27"/>
      <c r="EL80" s="27"/>
      <c r="EM80" s="27"/>
      <c r="EN80" s="27"/>
      <c r="EO80" s="27"/>
      <c r="EP80" s="27"/>
      <c r="EQ80" s="27"/>
      <c r="ER80" s="27"/>
      <c r="ES80" s="27"/>
      <c r="ET80" s="27"/>
      <c r="EU80" s="27"/>
      <c r="EV80" s="27"/>
      <c r="EW80" s="27"/>
      <c r="EX80" s="27"/>
      <c r="EY80" s="27"/>
      <c r="EZ80" s="27"/>
      <c r="FA80" s="27"/>
      <c r="FB80" s="27"/>
      <c r="FC80" s="27"/>
      <c r="FD80" s="27"/>
      <c r="FE80" s="27"/>
      <c r="FF80" s="27"/>
      <c r="FG80" s="27"/>
      <c r="FH80" s="27"/>
      <c r="FI80" s="27"/>
      <c r="FJ80" s="27"/>
      <c r="FK80" s="27"/>
      <c r="FL80" s="27"/>
      <c r="FM80" s="27"/>
      <c r="FN80" s="27"/>
      <c r="FO80" s="27"/>
      <c r="FP80" s="27"/>
      <c r="FQ80" s="27"/>
      <c r="FR80" s="27"/>
      <c r="FS80" s="27"/>
      <c r="FT80" s="27"/>
      <c r="FU80" s="27"/>
      <c r="FV80" s="27"/>
      <c r="FW80" s="27"/>
      <c r="FX80" s="27"/>
      <c r="FY80" s="27"/>
      <c r="FZ80" s="27"/>
      <c r="GA80" s="27"/>
      <c r="GB80" s="27"/>
      <c r="GC80" s="27"/>
      <c r="GD80" s="27"/>
      <c r="GE80" s="27"/>
      <c r="GF80" s="27"/>
      <c r="GG80" s="27"/>
      <c r="GH80" s="27"/>
      <c r="GI80" s="27"/>
      <c r="GJ80" s="27"/>
      <c r="GK80" s="27"/>
      <c r="GL80" s="27"/>
      <c r="GM80" s="27"/>
      <c r="GN80" s="27"/>
      <c r="GO80" s="27"/>
      <c r="GP80" s="27"/>
      <c r="GQ80" s="27"/>
      <c r="GR80" s="27"/>
      <c r="GS80" s="27"/>
      <c r="GT80" s="27"/>
      <c r="GU80" s="27"/>
      <c r="GV80" s="27"/>
      <c r="GW80" s="27"/>
      <c r="GX80" s="27"/>
      <c r="GY80" s="27"/>
      <c r="GZ80" s="27"/>
      <c r="HA80" s="27"/>
      <c r="HB80" s="27"/>
      <c r="HC80" s="27"/>
      <c r="HD80" s="27"/>
      <c r="HE80" s="27"/>
      <c r="HF80" s="27"/>
      <c r="HG80" s="27"/>
      <c r="HH80" s="27"/>
      <c r="HI80" s="27"/>
      <c r="HJ80" s="27"/>
      <c r="HK80" s="27"/>
      <c r="HL80" s="27"/>
      <c r="HM80" s="27"/>
      <c r="HN80" s="27"/>
      <c r="HO80" s="27"/>
      <c r="HP80" s="27"/>
      <c r="HQ80" s="27"/>
      <c r="HR80" s="27"/>
      <c r="HS80" s="27"/>
      <c r="HT80" s="27"/>
      <c r="HU80" s="27"/>
      <c r="HV80" s="27"/>
      <c r="HW80" s="27"/>
      <c r="HX80" s="27"/>
      <c r="HY80" s="27"/>
      <c r="HZ80" s="27"/>
      <c r="IA80" s="27"/>
      <c r="IB80" s="27"/>
      <c r="IC80" s="27"/>
      <c r="ID80" s="27"/>
      <c r="IE80" s="27"/>
      <c r="IF80" s="27"/>
      <c r="IG80" s="27"/>
      <c r="IH80" s="27"/>
      <c r="II80" s="27"/>
      <c r="IJ80" s="27"/>
      <c r="IK80" s="27"/>
      <c r="IL80" s="27"/>
      <c r="IM80" s="27"/>
      <c r="IN80" s="27"/>
      <c r="IO80" s="27"/>
      <c r="IP80" s="27"/>
      <c r="IQ80" s="27"/>
      <c r="IR80" s="27"/>
      <c r="IS80" s="27"/>
      <c r="IT80" s="27"/>
      <c r="IU80" s="27"/>
      <c r="IV80" s="27"/>
    </row>
    <row r="81" spans="1:256" x14ac:dyDescent="0.25">
      <c r="A81" s="27"/>
      <c r="B81" s="27"/>
      <c r="C81" s="28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27"/>
      <c r="AD81" s="27"/>
      <c r="AE81" s="27"/>
      <c r="AF81" s="27"/>
      <c r="AG81" s="27"/>
      <c r="AH81" s="27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  <c r="BW81" s="27"/>
      <c r="BX81" s="27"/>
      <c r="BY81" s="27"/>
      <c r="BZ81" s="27"/>
      <c r="CA81" s="27"/>
      <c r="CB81" s="27"/>
      <c r="CC81" s="27"/>
      <c r="CD81" s="27"/>
      <c r="CE81" s="27"/>
      <c r="CF81" s="27"/>
      <c r="CG81" s="27"/>
      <c r="CH81" s="27"/>
      <c r="CI81" s="27"/>
      <c r="CJ81" s="27"/>
      <c r="CK81" s="27"/>
      <c r="CL81" s="27"/>
      <c r="CM81" s="27"/>
      <c r="CN81" s="27"/>
      <c r="CO81" s="27"/>
      <c r="CP81" s="27"/>
      <c r="CQ81" s="27"/>
      <c r="CR81" s="27"/>
      <c r="CS81" s="27"/>
      <c r="CT81" s="27"/>
      <c r="CU81" s="27"/>
      <c r="CV81" s="27"/>
      <c r="CW81" s="27"/>
      <c r="CX81" s="27"/>
      <c r="CY81" s="27"/>
      <c r="CZ81" s="27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7"/>
      <c r="DL81" s="27"/>
      <c r="DM81" s="27"/>
      <c r="DN81" s="27"/>
      <c r="DO81" s="27"/>
      <c r="DP81" s="27"/>
      <c r="DQ81" s="27"/>
      <c r="DR81" s="27"/>
      <c r="DS81" s="27"/>
      <c r="DT81" s="27"/>
      <c r="DU81" s="27"/>
      <c r="DV81" s="27"/>
      <c r="DW81" s="27"/>
      <c r="DX81" s="27"/>
      <c r="DY81" s="27"/>
      <c r="DZ81" s="27"/>
      <c r="EA81" s="27"/>
      <c r="EB81" s="27"/>
      <c r="EC81" s="27"/>
      <c r="ED81" s="27"/>
      <c r="EE81" s="27"/>
      <c r="EF81" s="27"/>
      <c r="EG81" s="27"/>
      <c r="EH81" s="27"/>
      <c r="EI81" s="27"/>
      <c r="EJ81" s="27"/>
      <c r="EK81" s="27"/>
      <c r="EL81" s="27"/>
      <c r="EM81" s="27"/>
      <c r="EN81" s="27"/>
      <c r="EO81" s="27"/>
      <c r="EP81" s="27"/>
      <c r="EQ81" s="27"/>
      <c r="ER81" s="27"/>
      <c r="ES81" s="27"/>
      <c r="ET81" s="27"/>
      <c r="EU81" s="27"/>
      <c r="EV81" s="27"/>
      <c r="EW81" s="27"/>
      <c r="EX81" s="27"/>
      <c r="EY81" s="27"/>
      <c r="EZ81" s="27"/>
      <c r="FA81" s="27"/>
      <c r="FB81" s="27"/>
      <c r="FC81" s="27"/>
      <c r="FD81" s="27"/>
      <c r="FE81" s="27"/>
      <c r="FF81" s="27"/>
      <c r="FG81" s="27"/>
      <c r="FH81" s="27"/>
      <c r="FI81" s="27"/>
      <c r="FJ81" s="27"/>
      <c r="FK81" s="27"/>
      <c r="FL81" s="27"/>
      <c r="FM81" s="27"/>
      <c r="FN81" s="27"/>
      <c r="FO81" s="27"/>
      <c r="FP81" s="27"/>
      <c r="FQ81" s="27"/>
      <c r="FR81" s="27"/>
      <c r="FS81" s="27"/>
      <c r="FT81" s="27"/>
      <c r="FU81" s="27"/>
      <c r="FV81" s="27"/>
      <c r="FW81" s="27"/>
      <c r="FX81" s="27"/>
      <c r="FY81" s="27"/>
      <c r="FZ81" s="27"/>
      <c r="GA81" s="27"/>
      <c r="GB81" s="27"/>
      <c r="GC81" s="27"/>
      <c r="GD81" s="27"/>
      <c r="GE81" s="27"/>
      <c r="GF81" s="27"/>
      <c r="GG81" s="27"/>
      <c r="GH81" s="27"/>
      <c r="GI81" s="27"/>
      <c r="GJ81" s="27"/>
      <c r="GK81" s="27"/>
      <c r="GL81" s="27"/>
      <c r="GM81" s="27"/>
      <c r="GN81" s="27"/>
      <c r="GO81" s="27"/>
      <c r="GP81" s="27"/>
      <c r="GQ81" s="27"/>
      <c r="GR81" s="27"/>
      <c r="GS81" s="27"/>
      <c r="GT81" s="27"/>
      <c r="GU81" s="27"/>
      <c r="GV81" s="27"/>
      <c r="GW81" s="27"/>
      <c r="GX81" s="27"/>
      <c r="GY81" s="27"/>
      <c r="GZ81" s="27"/>
      <c r="HA81" s="27"/>
      <c r="HB81" s="27"/>
      <c r="HC81" s="27"/>
      <c r="HD81" s="27"/>
      <c r="HE81" s="27"/>
      <c r="HF81" s="27"/>
      <c r="HG81" s="27"/>
      <c r="HH81" s="27"/>
      <c r="HI81" s="27"/>
      <c r="HJ81" s="27"/>
      <c r="HK81" s="27"/>
      <c r="HL81" s="27"/>
      <c r="HM81" s="27"/>
      <c r="HN81" s="27"/>
      <c r="HO81" s="27"/>
      <c r="HP81" s="27"/>
      <c r="HQ81" s="27"/>
      <c r="HR81" s="27"/>
      <c r="HS81" s="27"/>
      <c r="HT81" s="27"/>
      <c r="HU81" s="27"/>
      <c r="HV81" s="27"/>
      <c r="HW81" s="27"/>
      <c r="HX81" s="27"/>
      <c r="HY81" s="27"/>
      <c r="HZ81" s="27"/>
      <c r="IA81" s="27"/>
      <c r="IB81" s="27"/>
      <c r="IC81" s="27"/>
      <c r="ID81" s="27"/>
      <c r="IE81" s="27"/>
      <c r="IF81" s="27"/>
      <c r="IG81" s="27"/>
      <c r="IH81" s="27"/>
      <c r="II81" s="27"/>
      <c r="IJ81" s="27"/>
      <c r="IK81" s="27"/>
      <c r="IL81" s="27"/>
      <c r="IM81" s="27"/>
      <c r="IN81" s="27"/>
      <c r="IO81" s="27"/>
      <c r="IP81" s="27"/>
      <c r="IQ81" s="27"/>
      <c r="IR81" s="27"/>
      <c r="IS81" s="27"/>
      <c r="IT81" s="27"/>
      <c r="IU81" s="27"/>
      <c r="IV81" s="27"/>
    </row>
    <row r="82" spans="1:256" x14ac:dyDescent="0.25">
      <c r="A82" s="27"/>
      <c r="B82" s="27"/>
      <c r="C82" s="28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27"/>
      <c r="AD82" s="27"/>
      <c r="AE82" s="27"/>
      <c r="AF82" s="27"/>
      <c r="AG82" s="27"/>
      <c r="AH82" s="27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  <c r="BW82" s="27"/>
      <c r="BX82" s="27"/>
      <c r="BY82" s="27"/>
      <c r="BZ82" s="27"/>
      <c r="CA82" s="27"/>
      <c r="CB82" s="27"/>
      <c r="CC82" s="27"/>
      <c r="CD82" s="27"/>
      <c r="CE82" s="27"/>
      <c r="CF82" s="27"/>
      <c r="CG82" s="27"/>
      <c r="CH82" s="27"/>
      <c r="CI82" s="27"/>
      <c r="CJ82" s="27"/>
      <c r="CK82" s="27"/>
      <c r="CL82" s="27"/>
      <c r="CM82" s="27"/>
      <c r="CN82" s="27"/>
      <c r="CO82" s="27"/>
      <c r="CP82" s="27"/>
      <c r="CQ82" s="27"/>
      <c r="CR82" s="27"/>
      <c r="CS82" s="27"/>
      <c r="CT82" s="27"/>
      <c r="CU82" s="27"/>
      <c r="CV82" s="27"/>
      <c r="CW82" s="27"/>
      <c r="CX82" s="27"/>
      <c r="CY82" s="27"/>
      <c r="CZ82" s="27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7"/>
      <c r="DL82" s="27"/>
      <c r="DM82" s="27"/>
      <c r="DN82" s="27"/>
      <c r="DO82" s="27"/>
      <c r="DP82" s="27"/>
      <c r="DQ82" s="27"/>
      <c r="DR82" s="27"/>
      <c r="DS82" s="27"/>
      <c r="DT82" s="27"/>
      <c r="DU82" s="27"/>
      <c r="DV82" s="27"/>
      <c r="DW82" s="27"/>
      <c r="DX82" s="27"/>
      <c r="DY82" s="27"/>
      <c r="DZ82" s="27"/>
      <c r="EA82" s="27"/>
      <c r="EB82" s="27"/>
      <c r="EC82" s="27"/>
      <c r="ED82" s="27"/>
      <c r="EE82" s="27"/>
      <c r="EF82" s="27"/>
      <c r="EG82" s="27"/>
      <c r="EH82" s="27"/>
      <c r="EI82" s="27"/>
      <c r="EJ82" s="27"/>
      <c r="EK82" s="27"/>
      <c r="EL82" s="27"/>
      <c r="EM82" s="27"/>
      <c r="EN82" s="27"/>
      <c r="EO82" s="27"/>
      <c r="EP82" s="27"/>
      <c r="EQ82" s="27"/>
      <c r="ER82" s="27"/>
      <c r="ES82" s="27"/>
      <c r="ET82" s="27"/>
      <c r="EU82" s="27"/>
      <c r="EV82" s="27"/>
      <c r="EW82" s="27"/>
      <c r="EX82" s="27"/>
      <c r="EY82" s="27"/>
      <c r="EZ82" s="27"/>
      <c r="FA82" s="27"/>
      <c r="FB82" s="27"/>
      <c r="FC82" s="27"/>
      <c r="FD82" s="27"/>
      <c r="FE82" s="27"/>
      <c r="FF82" s="27"/>
      <c r="FG82" s="27"/>
      <c r="FH82" s="27"/>
      <c r="FI82" s="27"/>
      <c r="FJ82" s="27"/>
      <c r="FK82" s="27"/>
      <c r="FL82" s="27"/>
      <c r="FM82" s="27"/>
      <c r="FN82" s="27"/>
      <c r="FO82" s="27"/>
      <c r="FP82" s="27"/>
      <c r="FQ82" s="27"/>
      <c r="FR82" s="27"/>
      <c r="FS82" s="27"/>
      <c r="FT82" s="27"/>
      <c r="FU82" s="27"/>
      <c r="FV82" s="27"/>
      <c r="FW82" s="27"/>
      <c r="FX82" s="27"/>
      <c r="FY82" s="27"/>
      <c r="FZ82" s="27"/>
      <c r="GA82" s="27"/>
      <c r="GB82" s="27"/>
      <c r="GC82" s="27"/>
      <c r="GD82" s="27"/>
      <c r="GE82" s="27"/>
      <c r="GF82" s="27"/>
      <c r="GG82" s="27"/>
      <c r="GH82" s="27"/>
      <c r="GI82" s="27"/>
      <c r="GJ82" s="27"/>
      <c r="GK82" s="27"/>
      <c r="GL82" s="27"/>
      <c r="GM82" s="27"/>
      <c r="GN82" s="27"/>
      <c r="GO82" s="27"/>
      <c r="GP82" s="27"/>
      <c r="GQ82" s="27"/>
      <c r="GR82" s="27"/>
      <c r="GS82" s="27"/>
      <c r="GT82" s="27"/>
      <c r="GU82" s="27"/>
      <c r="GV82" s="27"/>
      <c r="GW82" s="27"/>
      <c r="GX82" s="27"/>
      <c r="GY82" s="27"/>
      <c r="GZ82" s="27"/>
      <c r="HA82" s="27"/>
      <c r="HB82" s="27"/>
      <c r="HC82" s="27"/>
      <c r="HD82" s="27"/>
      <c r="HE82" s="27"/>
      <c r="HF82" s="27"/>
      <c r="HG82" s="27"/>
      <c r="HH82" s="27"/>
      <c r="HI82" s="27"/>
      <c r="HJ82" s="27"/>
      <c r="HK82" s="27"/>
      <c r="HL82" s="27"/>
      <c r="HM82" s="27"/>
      <c r="HN82" s="27"/>
      <c r="HO82" s="27"/>
      <c r="HP82" s="27"/>
      <c r="HQ82" s="27"/>
      <c r="HR82" s="27"/>
      <c r="HS82" s="27"/>
      <c r="HT82" s="27"/>
      <c r="HU82" s="27"/>
      <c r="HV82" s="27"/>
      <c r="HW82" s="27"/>
      <c r="HX82" s="27"/>
      <c r="HY82" s="27"/>
      <c r="HZ82" s="27"/>
      <c r="IA82" s="27"/>
      <c r="IB82" s="27"/>
      <c r="IC82" s="27"/>
      <c r="ID82" s="27"/>
      <c r="IE82" s="27"/>
      <c r="IF82" s="27"/>
      <c r="IG82" s="27"/>
      <c r="IH82" s="27"/>
      <c r="II82" s="27"/>
      <c r="IJ82" s="27"/>
      <c r="IK82" s="27"/>
      <c r="IL82" s="27"/>
      <c r="IM82" s="27"/>
      <c r="IN82" s="27"/>
      <c r="IO82" s="27"/>
      <c r="IP82" s="27"/>
      <c r="IQ82" s="27"/>
      <c r="IR82" s="27"/>
      <c r="IS82" s="27"/>
      <c r="IT82" s="27"/>
      <c r="IU82" s="27"/>
      <c r="IV82" s="27"/>
    </row>
    <row r="83" spans="1:256" x14ac:dyDescent="0.25">
      <c r="A83" s="27"/>
      <c r="B83" s="27"/>
      <c r="C83" s="28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27"/>
      <c r="AD83" s="27"/>
      <c r="AE83" s="27"/>
      <c r="AF83" s="27"/>
      <c r="AG83" s="27"/>
      <c r="AH83" s="27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  <c r="BW83" s="27"/>
      <c r="BX83" s="27"/>
      <c r="BY83" s="27"/>
      <c r="BZ83" s="27"/>
      <c r="CA83" s="27"/>
      <c r="CB83" s="27"/>
      <c r="CC83" s="27"/>
      <c r="CD83" s="27"/>
      <c r="CE83" s="27"/>
      <c r="CF83" s="27"/>
      <c r="CG83" s="27"/>
      <c r="CH83" s="27"/>
      <c r="CI83" s="27"/>
      <c r="CJ83" s="27"/>
      <c r="CK83" s="27"/>
      <c r="CL83" s="27"/>
      <c r="CM83" s="27"/>
      <c r="CN83" s="27"/>
      <c r="CO83" s="27"/>
      <c r="CP83" s="27"/>
      <c r="CQ83" s="27"/>
      <c r="CR83" s="27"/>
      <c r="CS83" s="27"/>
      <c r="CT83" s="27"/>
      <c r="CU83" s="27"/>
      <c r="CV83" s="27"/>
      <c r="CW83" s="27"/>
      <c r="CX83" s="27"/>
      <c r="CY83" s="27"/>
      <c r="CZ83" s="27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7"/>
      <c r="DL83" s="27"/>
      <c r="DM83" s="27"/>
      <c r="DN83" s="27"/>
      <c r="DO83" s="27"/>
      <c r="DP83" s="27"/>
      <c r="DQ83" s="27"/>
      <c r="DR83" s="27"/>
      <c r="DS83" s="27"/>
      <c r="DT83" s="27"/>
      <c r="DU83" s="27"/>
      <c r="DV83" s="27"/>
      <c r="DW83" s="27"/>
      <c r="DX83" s="27"/>
      <c r="DY83" s="27"/>
      <c r="DZ83" s="27"/>
      <c r="EA83" s="27"/>
      <c r="EB83" s="27"/>
      <c r="EC83" s="27"/>
      <c r="ED83" s="27"/>
      <c r="EE83" s="27"/>
      <c r="EF83" s="27"/>
      <c r="EG83" s="27"/>
      <c r="EH83" s="27"/>
      <c r="EI83" s="27"/>
      <c r="EJ83" s="27"/>
      <c r="EK83" s="27"/>
      <c r="EL83" s="27"/>
      <c r="EM83" s="27"/>
      <c r="EN83" s="27"/>
      <c r="EO83" s="27"/>
      <c r="EP83" s="27"/>
      <c r="EQ83" s="27"/>
      <c r="ER83" s="27"/>
      <c r="ES83" s="27"/>
      <c r="ET83" s="27"/>
      <c r="EU83" s="27"/>
      <c r="EV83" s="27"/>
      <c r="EW83" s="27"/>
      <c r="EX83" s="27"/>
      <c r="EY83" s="27"/>
      <c r="EZ83" s="27"/>
      <c r="FA83" s="27"/>
      <c r="FB83" s="27"/>
      <c r="FC83" s="27"/>
      <c r="FD83" s="27"/>
      <c r="FE83" s="27"/>
      <c r="FF83" s="27"/>
      <c r="FG83" s="27"/>
      <c r="FH83" s="27"/>
      <c r="FI83" s="27"/>
      <c r="FJ83" s="27"/>
      <c r="FK83" s="27"/>
      <c r="FL83" s="27"/>
      <c r="FM83" s="27"/>
      <c r="FN83" s="27"/>
      <c r="FO83" s="27"/>
      <c r="FP83" s="27"/>
      <c r="FQ83" s="27"/>
      <c r="FR83" s="27"/>
      <c r="FS83" s="27"/>
      <c r="FT83" s="27"/>
      <c r="FU83" s="27"/>
      <c r="FV83" s="27"/>
      <c r="FW83" s="27"/>
      <c r="FX83" s="27"/>
      <c r="FY83" s="27"/>
      <c r="FZ83" s="27"/>
      <c r="GA83" s="27"/>
      <c r="GB83" s="27"/>
      <c r="GC83" s="27"/>
      <c r="GD83" s="27"/>
      <c r="GE83" s="27"/>
      <c r="GF83" s="27"/>
      <c r="GG83" s="27"/>
      <c r="GH83" s="27"/>
      <c r="GI83" s="27"/>
      <c r="GJ83" s="27"/>
      <c r="GK83" s="27"/>
      <c r="GL83" s="27"/>
      <c r="GM83" s="27"/>
      <c r="GN83" s="27"/>
      <c r="GO83" s="27"/>
      <c r="GP83" s="27"/>
      <c r="GQ83" s="27"/>
      <c r="GR83" s="27"/>
      <c r="GS83" s="27"/>
      <c r="GT83" s="27"/>
      <c r="GU83" s="27"/>
      <c r="GV83" s="27"/>
      <c r="GW83" s="27"/>
      <c r="GX83" s="27"/>
      <c r="GY83" s="27"/>
      <c r="GZ83" s="27"/>
      <c r="HA83" s="27"/>
      <c r="HB83" s="27"/>
      <c r="HC83" s="27"/>
      <c r="HD83" s="27"/>
      <c r="HE83" s="27"/>
      <c r="HF83" s="27"/>
      <c r="HG83" s="27"/>
      <c r="HH83" s="27"/>
      <c r="HI83" s="27"/>
      <c r="HJ83" s="27"/>
      <c r="HK83" s="27"/>
      <c r="HL83" s="27"/>
      <c r="HM83" s="27"/>
      <c r="HN83" s="27"/>
      <c r="HO83" s="27"/>
      <c r="HP83" s="27"/>
      <c r="HQ83" s="27"/>
      <c r="HR83" s="27"/>
      <c r="HS83" s="27"/>
      <c r="HT83" s="27"/>
      <c r="HU83" s="27"/>
      <c r="HV83" s="27"/>
      <c r="HW83" s="27"/>
      <c r="HX83" s="27"/>
      <c r="HY83" s="27"/>
      <c r="HZ83" s="27"/>
      <c r="IA83" s="27"/>
      <c r="IB83" s="27"/>
      <c r="IC83" s="27"/>
      <c r="ID83" s="27"/>
      <c r="IE83" s="27"/>
      <c r="IF83" s="27"/>
      <c r="IG83" s="27"/>
      <c r="IH83" s="27"/>
      <c r="II83" s="27"/>
      <c r="IJ83" s="27"/>
      <c r="IK83" s="27"/>
      <c r="IL83" s="27"/>
      <c r="IM83" s="27"/>
      <c r="IN83" s="27"/>
      <c r="IO83" s="27"/>
      <c r="IP83" s="27"/>
      <c r="IQ83" s="27"/>
      <c r="IR83" s="27"/>
      <c r="IS83" s="27"/>
      <c r="IT83" s="27"/>
      <c r="IU83" s="27"/>
      <c r="IV83" s="27"/>
    </row>
    <row r="84" spans="1:256" x14ac:dyDescent="0.25">
      <c r="A84" s="27"/>
      <c r="B84" s="27"/>
      <c r="C84" s="28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27"/>
      <c r="AD84" s="27"/>
      <c r="AE84" s="27"/>
      <c r="AF84" s="27"/>
      <c r="AG84" s="27"/>
      <c r="AH84" s="27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  <c r="BW84" s="27"/>
      <c r="BX84" s="27"/>
      <c r="BY84" s="27"/>
      <c r="BZ84" s="27"/>
      <c r="CA84" s="27"/>
      <c r="CB84" s="27"/>
      <c r="CC84" s="27"/>
      <c r="CD84" s="27"/>
      <c r="CE84" s="27"/>
      <c r="CF84" s="27"/>
      <c r="CG84" s="27"/>
      <c r="CH84" s="27"/>
      <c r="CI84" s="27"/>
      <c r="CJ84" s="27"/>
      <c r="CK84" s="27"/>
      <c r="CL84" s="27"/>
      <c r="CM84" s="27"/>
      <c r="CN84" s="27"/>
      <c r="CO84" s="27"/>
      <c r="CP84" s="27"/>
      <c r="CQ84" s="27"/>
      <c r="CR84" s="27"/>
      <c r="CS84" s="27"/>
      <c r="CT84" s="27"/>
      <c r="CU84" s="27"/>
      <c r="CV84" s="27"/>
      <c r="CW84" s="27"/>
      <c r="CX84" s="27"/>
      <c r="CY84" s="27"/>
      <c r="CZ84" s="27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7"/>
      <c r="DL84" s="27"/>
      <c r="DM84" s="27"/>
      <c r="DN84" s="27"/>
      <c r="DO84" s="27"/>
      <c r="DP84" s="27"/>
      <c r="DQ84" s="27"/>
      <c r="DR84" s="27"/>
      <c r="DS84" s="27"/>
      <c r="DT84" s="27"/>
      <c r="DU84" s="27"/>
      <c r="DV84" s="27"/>
      <c r="DW84" s="27"/>
      <c r="DX84" s="27"/>
      <c r="DY84" s="27"/>
      <c r="DZ84" s="27"/>
      <c r="EA84" s="27"/>
      <c r="EB84" s="27"/>
      <c r="EC84" s="27"/>
      <c r="ED84" s="27"/>
      <c r="EE84" s="27"/>
      <c r="EF84" s="27"/>
      <c r="EG84" s="27"/>
      <c r="EH84" s="27"/>
      <c r="EI84" s="27"/>
      <c r="EJ84" s="27"/>
      <c r="EK84" s="27"/>
      <c r="EL84" s="27"/>
      <c r="EM84" s="27"/>
      <c r="EN84" s="27"/>
      <c r="EO84" s="27"/>
      <c r="EP84" s="27"/>
      <c r="EQ84" s="27"/>
      <c r="ER84" s="27"/>
      <c r="ES84" s="27"/>
      <c r="ET84" s="27"/>
      <c r="EU84" s="27"/>
      <c r="EV84" s="27"/>
      <c r="EW84" s="27"/>
      <c r="EX84" s="27"/>
      <c r="EY84" s="27"/>
      <c r="EZ84" s="27"/>
      <c r="FA84" s="27"/>
      <c r="FB84" s="27"/>
      <c r="FC84" s="27"/>
      <c r="FD84" s="27"/>
      <c r="FE84" s="27"/>
      <c r="FF84" s="27"/>
      <c r="FG84" s="27"/>
      <c r="FH84" s="27"/>
      <c r="FI84" s="27"/>
      <c r="FJ84" s="27"/>
      <c r="FK84" s="27"/>
      <c r="FL84" s="27"/>
      <c r="FM84" s="27"/>
      <c r="FN84" s="27"/>
      <c r="FO84" s="27"/>
      <c r="FP84" s="27"/>
      <c r="FQ84" s="27"/>
      <c r="FR84" s="27"/>
      <c r="FS84" s="27"/>
      <c r="FT84" s="27"/>
      <c r="FU84" s="27"/>
      <c r="FV84" s="27"/>
      <c r="FW84" s="27"/>
      <c r="FX84" s="27"/>
      <c r="FY84" s="27"/>
      <c r="FZ84" s="27"/>
      <c r="GA84" s="27"/>
      <c r="GB84" s="27"/>
      <c r="GC84" s="27"/>
      <c r="GD84" s="27"/>
      <c r="GE84" s="27"/>
      <c r="GF84" s="27"/>
      <c r="GG84" s="27"/>
      <c r="GH84" s="27"/>
      <c r="GI84" s="27"/>
      <c r="GJ84" s="27"/>
      <c r="GK84" s="27"/>
      <c r="GL84" s="27"/>
      <c r="GM84" s="27"/>
      <c r="GN84" s="27"/>
      <c r="GO84" s="27"/>
      <c r="GP84" s="27"/>
      <c r="GQ84" s="27"/>
      <c r="GR84" s="27"/>
      <c r="GS84" s="27"/>
      <c r="GT84" s="27"/>
      <c r="GU84" s="27"/>
      <c r="GV84" s="27"/>
      <c r="GW84" s="27"/>
      <c r="GX84" s="27"/>
      <c r="GY84" s="27"/>
      <c r="GZ84" s="27"/>
      <c r="HA84" s="27"/>
      <c r="HB84" s="27"/>
      <c r="HC84" s="27"/>
      <c r="HD84" s="27"/>
      <c r="HE84" s="27"/>
      <c r="HF84" s="27"/>
      <c r="HG84" s="27"/>
      <c r="HH84" s="27"/>
      <c r="HI84" s="27"/>
      <c r="HJ84" s="27"/>
      <c r="HK84" s="27"/>
      <c r="HL84" s="27"/>
      <c r="HM84" s="27"/>
      <c r="HN84" s="27"/>
      <c r="HO84" s="27"/>
      <c r="HP84" s="27"/>
      <c r="HQ84" s="27"/>
      <c r="HR84" s="27"/>
      <c r="HS84" s="27"/>
      <c r="HT84" s="27"/>
      <c r="HU84" s="27"/>
      <c r="HV84" s="27"/>
      <c r="HW84" s="27"/>
      <c r="HX84" s="27"/>
      <c r="HY84" s="27"/>
      <c r="HZ84" s="27"/>
      <c r="IA84" s="27"/>
      <c r="IB84" s="27"/>
      <c r="IC84" s="27"/>
      <c r="ID84" s="27"/>
      <c r="IE84" s="27"/>
      <c r="IF84" s="27"/>
      <c r="IG84" s="27"/>
      <c r="IH84" s="27"/>
      <c r="II84" s="27"/>
      <c r="IJ84" s="27"/>
      <c r="IK84" s="27"/>
      <c r="IL84" s="27"/>
      <c r="IM84" s="27"/>
      <c r="IN84" s="27"/>
      <c r="IO84" s="27"/>
      <c r="IP84" s="27"/>
      <c r="IQ84" s="27"/>
      <c r="IR84" s="27"/>
      <c r="IS84" s="27"/>
      <c r="IT84" s="27"/>
      <c r="IU84" s="27"/>
      <c r="IV84" s="27"/>
    </row>
    <row r="85" spans="1:256" x14ac:dyDescent="0.25">
      <c r="A85" s="27"/>
      <c r="B85" s="27"/>
      <c r="C85" s="28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27"/>
      <c r="AD85" s="27"/>
      <c r="AE85" s="27"/>
      <c r="AF85" s="27"/>
      <c r="AG85" s="27"/>
      <c r="AH85" s="27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  <c r="BW85" s="27"/>
      <c r="BX85" s="27"/>
      <c r="BY85" s="27"/>
      <c r="BZ85" s="27"/>
      <c r="CA85" s="27"/>
      <c r="CB85" s="27"/>
      <c r="CC85" s="27"/>
      <c r="CD85" s="27"/>
      <c r="CE85" s="27"/>
      <c r="CF85" s="27"/>
      <c r="CG85" s="27"/>
      <c r="CH85" s="27"/>
      <c r="CI85" s="27"/>
      <c r="CJ85" s="27"/>
      <c r="CK85" s="27"/>
      <c r="CL85" s="27"/>
      <c r="CM85" s="27"/>
      <c r="CN85" s="27"/>
      <c r="CO85" s="27"/>
      <c r="CP85" s="27"/>
      <c r="CQ85" s="27"/>
      <c r="CR85" s="27"/>
      <c r="CS85" s="27"/>
      <c r="CT85" s="27"/>
      <c r="CU85" s="27"/>
      <c r="CV85" s="27"/>
      <c r="CW85" s="27"/>
      <c r="CX85" s="27"/>
      <c r="CY85" s="27"/>
      <c r="CZ85" s="27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7"/>
      <c r="DL85" s="27"/>
      <c r="DM85" s="27"/>
      <c r="DN85" s="27"/>
      <c r="DO85" s="27"/>
      <c r="DP85" s="27"/>
      <c r="DQ85" s="27"/>
      <c r="DR85" s="27"/>
      <c r="DS85" s="27"/>
      <c r="DT85" s="27"/>
      <c r="DU85" s="27"/>
      <c r="DV85" s="27"/>
      <c r="DW85" s="27"/>
      <c r="DX85" s="27"/>
      <c r="DY85" s="27"/>
      <c r="DZ85" s="27"/>
      <c r="EA85" s="27"/>
      <c r="EB85" s="27"/>
      <c r="EC85" s="27"/>
      <c r="ED85" s="27"/>
      <c r="EE85" s="27"/>
      <c r="EF85" s="27"/>
      <c r="EG85" s="27"/>
      <c r="EH85" s="27"/>
      <c r="EI85" s="27"/>
      <c r="EJ85" s="27"/>
      <c r="EK85" s="27"/>
      <c r="EL85" s="27"/>
      <c r="EM85" s="27"/>
      <c r="EN85" s="27"/>
      <c r="EO85" s="27"/>
      <c r="EP85" s="27"/>
      <c r="EQ85" s="27"/>
      <c r="ER85" s="27"/>
      <c r="ES85" s="27"/>
      <c r="ET85" s="27"/>
      <c r="EU85" s="27"/>
      <c r="EV85" s="27"/>
      <c r="EW85" s="27"/>
      <c r="EX85" s="27"/>
      <c r="EY85" s="27"/>
      <c r="EZ85" s="27"/>
      <c r="FA85" s="27"/>
      <c r="FB85" s="27"/>
      <c r="FC85" s="27"/>
      <c r="FD85" s="27"/>
      <c r="FE85" s="27"/>
      <c r="FF85" s="27"/>
      <c r="FG85" s="27"/>
      <c r="FH85" s="27"/>
      <c r="FI85" s="27"/>
      <c r="FJ85" s="27"/>
      <c r="FK85" s="27"/>
      <c r="FL85" s="27"/>
      <c r="FM85" s="27"/>
      <c r="FN85" s="27"/>
      <c r="FO85" s="27"/>
      <c r="FP85" s="27"/>
      <c r="FQ85" s="27"/>
      <c r="FR85" s="27"/>
      <c r="FS85" s="27"/>
      <c r="FT85" s="27"/>
      <c r="FU85" s="27"/>
      <c r="FV85" s="27"/>
      <c r="FW85" s="27"/>
      <c r="FX85" s="27"/>
      <c r="FY85" s="27"/>
      <c r="FZ85" s="27"/>
      <c r="GA85" s="27"/>
      <c r="GB85" s="27"/>
      <c r="GC85" s="27"/>
      <c r="GD85" s="27"/>
      <c r="GE85" s="27"/>
      <c r="GF85" s="27"/>
      <c r="GG85" s="27"/>
      <c r="GH85" s="27"/>
      <c r="GI85" s="27"/>
      <c r="GJ85" s="27"/>
      <c r="GK85" s="27"/>
      <c r="GL85" s="27"/>
      <c r="GM85" s="27"/>
      <c r="GN85" s="27"/>
      <c r="GO85" s="27"/>
      <c r="GP85" s="27"/>
      <c r="GQ85" s="27"/>
      <c r="GR85" s="27"/>
      <c r="GS85" s="27"/>
      <c r="GT85" s="27"/>
      <c r="GU85" s="27"/>
      <c r="GV85" s="27"/>
      <c r="GW85" s="27"/>
      <c r="GX85" s="27"/>
      <c r="GY85" s="27"/>
      <c r="GZ85" s="27"/>
      <c r="HA85" s="27"/>
      <c r="HB85" s="27"/>
      <c r="HC85" s="27"/>
      <c r="HD85" s="27"/>
      <c r="HE85" s="27"/>
      <c r="HF85" s="27"/>
      <c r="HG85" s="27"/>
      <c r="HH85" s="27"/>
      <c r="HI85" s="27"/>
      <c r="HJ85" s="27"/>
      <c r="HK85" s="27"/>
      <c r="HL85" s="27"/>
      <c r="HM85" s="27"/>
      <c r="HN85" s="27"/>
      <c r="HO85" s="27"/>
      <c r="HP85" s="27"/>
      <c r="HQ85" s="27"/>
      <c r="HR85" s="27"/>
      <c r="HS85" s="27"/>
      <c r="HT85" s="27"/>
      <c r="HU85" s="27"/>
      <c r="HV85" s="27"/>
      <c r="HW85" s="27"/>
      <c r="HX85" s="27"/>
      <c r="HY85" s="27"/>
      <c r="HZ85" s="27"/>
      <c r="IA85" s="27"/>
      <c r="IB85" s="27"/>
      <c r="IC85" s="27"/>
      <c r="ID85" s="27"/>
      <c r="IE85" s="27"/>
      <c r="IF85" s="27"/>
      <c r="IG85" s="27"/>
      <c r="IH85" s="27"/>
      <c r="II85" s="27"/>
      <c r="IJ85" s="27"/>
      <c r="IK85" s="27"/>
      <c r="IL85" s="27"/>
      <c r="IM85" s="27"/>
      <c r="IN85" s="27"/>
      <c r="IO85" s="27"/>
      <c r="IP85" s="27"/>
      <c r="IQ85" s="27"/>
      <c r="IR85" s="27"/>
      <c r="IS85" s="27"/>
      <c r="IT85" s="27"/>
      <c r="IU85" s="27"/>
      <c r="IV85" s="27"/>
    </row>
    <row r="86" spans="1:256" x14ac:dyDescent="0.25">
      <c r="A86" s="27"/>
      <c r="B86" s="27"/>
      <c r="C86" s="28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27"/>
      <c r="AD86" s="27"/>
      <c r="AE86" s="27"/>
      <c r="AF86" s="27"/>
      <c r="AG86" s="27"/>
      <c r="AH86" s="27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  <c r="BW86" s="27"/>
      <c r="BX86" s="27"/>
      <c r="BY86" s="27"/>
      <c r="BZ86" s="27"/>
      <c r="CA86" s="27"/>
      <c r="CB86" s="27"/>
      <c r="CC86" s="27"/>
      <c r="CD86" s="27"/>
      <c r="CE86" s="27"/>
      <c r="CF86" s="27"/>
      <c r="CG86" s="27"/>
      <c r="CH86" s="27"/>
      <c r="CI86" s="27"/>
      <c r="CJ86" s="27"/>
      <c r="CK86" s="27"/>
      <c r="CL86" s="27"/>
      <c r="CM86" s="27"/>
      <c r="CN86" s="27"/>
      <c r="CO86" s="27"/>
      <c r="CP86" s="27"/>
      <c r="CQ86" s="27"/>
      <c r="CR86" s="27"/>
      <c r="CS86" s="27"/>
      <c r="CT86" s="27"/>
      <c r="CU86" s="27"/>
      <c r="CV86" s="27"/>
      <c r="CW86" s="27"/>
      <c r="CX86" s="27"/>
      <c r="CY86" s="27"/>
      <c r="CZ86" s="27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7"/>
      <c r="DL86" s="27"/>
      <c r="DM86" s="27"/>
      <c r="DN86" s="27"/>
      <c r="DO86" s="27"/>
      <c r="DP86" s="27"/>
      <c r="DQ86" s="27"/>
      <c r="DR86" s="27"/>
      <c r="DS86" s="27"/>
      <c r="DT86" s="27"/>
      <c r="DU86" s="27"/>
      <c r="DV86" s="27"/>
      <c r="DW86" s="27"/>
      <c r="DX86" s="27"/>
      <c r="DY86" s="27"/>
      <c r="DZ86" s="27"/>
      <c r="EA86" s="27"/>
      <c r="EB86" s="27"/>
      <c r="EC86" s="27"/>
      <c r="ED86" s="27"/>
      <c r="EE86" s="27"/>
      <c r="EF86" s="27"/>
      <c r="EG86" s="27"/>
      <c r="EH86" s="27"/>
      <c r="EI86" s="27"/>
      <c r="EJ86" s="27"/>
      <c r="EK86" s="27"/>
      <c r="EL86" s="27"/>
      <c r="EM86" s="27"/>
      <c r="EN86" s="27"/>
      <c r="EO86" s="27"/>
      <c r="EP86" s="27"/>
      <c r="EQ86" s="27"/>
      <c r="ER86" s="27"/>
      <c r="ES86" s="27"/>
      <c r="ET86" s="27"/>
      <c r="EU86" s="27"/>
      <c r="EV86" s="27"/>
      <c r="EW86" s="27"/>
      <c r="EX86" s="27"/>
      <c r="EY86" s="27"/>
      <c r="EZ86" s="27"/>
      <c r="FA86" s="27"/>
      <c r="FB86" s="27"/>
      <c r="FC86" s="27"/>
      <c r="FD86" s="27"/>
      <c r="FE86" s="27"/>
      <c r="FF86" s="27"/>
      <c r="FG86" s="27"/>
      <c r="FH86" s="27"/>
      <c r="FI86" s="27"/>
      <c r="FJ86" s="27"/>
      <c r="FK86" s="27"/>
      <c r="FL86" s="27"/>
      <c r="FM86" s="27"/>
      <c r="FN86" s="27"/>
      <c r="FO86" s="27"/>
      <c r="FP86" s="27"/>
      <c r="FQ86" s="27"/>
      <c r="FR86" s="27"/>
      <c r="FS86" s="27"/>
      <c r="FT86" s="27"/>
      <c r="FU86" s="27"/>
      <c r="FV86" s="27"/>
      <c r="FW86" s="27"/>
      <c r="FX86" s="27"/>
      <c r="FY86" s="27"/>
      <c r="FZ86" s="27"/>
      <c r="GA86" s="27"/>
      <c r="GB86" s="27"/>
      <c r="GC86" s="27"/>
      <c r="GD86" s="27"/>
      <c r="GE86" s="27"/>
      <c r="GF86" s="27"/>
      <c r="GG86" s="27"/>
      <c r="GH86" s="27"/>
      <c r="GI86" s="27"/>
      <c r="GJ86" s="27"/>
      <c r="GK86" s="27"/>
      <c r="GL86" s="27"/>
      <c r="GM86" s="27"/>
      <c r="GN86" s="27"/>
      <c r="GO86" s="27"/>
      <c r="GP86" s="27"/>
      <c r="GQ86" s="27"/>
      <c r="GR86" s="27"/>
      <c r="GS86" s="27"/>
      <c r="GT86" s="27"/>
      <c r="GU86" s="27"/>
      <c r="GV86" s="27"/>
      <c r="GW86" s="27"/>
      <c r="GX86" s="27"/>
      <c r="GY86" s="27"/>
      <c r="GZ86" s="27"/>
      <c r="HA86" s="27"/>
      <c r="HB86" s="27"/>
      <c r="HC86" s="27"/>
      <c r="HD86" s="27"/>
      <c r="HE86" s="27"/>
      <c r="HF86" s="27"/>
      <c r="HG86" s="27"/>
      <c r="HH86" s="27"/>
      <c r="HI86" s="27"/>
      <c r="HJ86" s="27"/>
      <c r="HK86" s="27"/>
      <c r="HL86" s="27"/>
      <c r="HM86" s="27"/>
      <c r="HN86" s="27"/>
      <c r="HO86" s="27"/>
      <c r="HP86" s="27"/>
      <c r="HQ86" s="27"/>
      <c r="HR86" s="27"/>
      <c r="HS86" s="27"/>
      <c r="HT86" s="27"/>
      <c r="HU86" s="27"/>
      <c r="HV86" s="27"/>
      <c r="HW86" s="27"/>
      <c r="HX86" s="27"/>
      <c r="HY86" s="27"/>
      <c r="HZ86" s="27"/>
      <c r="IA86" s="27"/>
      <c r="IB86" s="27"/>
      <c r="IC86" s="27"/>
      <c r="ID86" s="27"/>
      <c r="IE86" s="27"/>
      <c r="IF86" s="27"/>
      <c r="IG86" s="27"/>
      <c r="IH86" s="27"/>
      <c r="II86" s="27"/>
      <c r="IJ86" s="27"/>
      <c r="IK86" s="27"/>
      <c r="IL86" s="27"/>
      <c r="IM86" s="27"/>
      <c r="IN86" s="27"/>
      <c r="IO86" s="27"/>
      <c r="IP86" s="27"/>
      <c r="IQ86" s="27"/>
      <c r="IR86" s="27"/>
      <c r="IS86" s="27"/>
      <c r="IT86" s="27"/>
      <c r="IU86" s="27"/>
      <c r="IV86" s="27"/>
    </row>
    <row r="87" spans="1:256" x14ac:dyDescent="0.25">
      <c r="A87" s="27"/>
      <c r="B87" s="27"/>
      <c r="C87" s="28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27"/>
      <c r="AD87" s="27"/>
      <c r="AE87" s="27"/>
      <c r="AF87" s="27"/>
      <c r="AG87" s="27"/>
      <c r="AH87" s="27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  <c r="BW87" s="27"/>
      <c r="BX87" s="27"/>
      <c r="BY87" s="27"/>
      <c r="BZ87" s="27"/>
      <c r="CA87" s="27"/>
      <c r="CB87" s="27"/>
      <c r="CC87" s="27"/>
      <c r="CD87" s="27"/>
      <c r="CE87" s="27"/>
      <c r="CF87" s="27"/>
      <c r="CG87" s="27"/>
      <c r="CH87" s="27"/>
      <c r="CI87" s="27"/>
      <c r="CJ87" s="27"/>
      <c r="CK87" s="27"/>
      <c r="CL87" s="27"/>
      <c r="CM87" s="27"/>
      <c r="CN87" s="27"/>
      <c r="CO87" s="27"/>
      <c r="CP87" s="27"/>
      <c r="CQ87" s="27"/>
      <c r="CR87" s="27"/>
      <c r="CS87" s="27"/>
      <c r="CT87" s="27"/>
      <c r="CU87" s="27"/>
      <c r="CV87" s="27"/>
      <c r="CW87" s="27"/>
      <c r="CX87" s="27"/>
      <c r="CY87" s="27"/>
      <c r="CZ87" s="27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7"/>
      <c r="DL87" s="27"/>
      <c r="DM87" s="27"/>
      <c r="DN87" s="27"/>
      <c r="DO87" s="27"/>
      <c r="DP87" s="27"/>
      <c r="DQ87" s="27"/>
      <c r="DR87" s="27"/>
      <c r="DS87" s="27"/>
      <c r="DT87" s="27"/>
      <c r="DU87" s="27"/>
      <c r="DV87" s="27"/>
      <c r="DW87" s="27"/>
      <c r="DX87" s="27"/>
      <c r="DY87" s="27"/>
      <c r="DZ87" s="27"/>
      <c r="EA87" s="27"/>
      <c r="EB87" s="27"/>
      <c r="EC87" s="27"/>
      <c r="ED87" s="27"/>
      <c r="EE87" s="27"/>
      <c r="EF87" s="27"/>
      <c r="EG87" s="27"/>
      <c r="EH87" s="27"/>
      <c r="EI87" s="27"/>
      <c r="EJ87" s="27"/>
      <c r="EK87" s="27"/>
      <c r="EL87" s="27"/>
      <c r="EM87" s="27"/>
      <c r="EN87" s="27"/>
      <c r="EO87" s="27"/>
      <c r="EP87" s="27"/>
      <c r="EQ87" s="27"/>
      <c r="ER87" s="27"/>
      <c r="ES87" s="27"/>
      <c r="ET87" s="27"/>
      <c r="EU87" s="27"/>
      <c r="EV87" s="27"/>
      <c r="EW87" s="27"/>
      <c r="EX87" s="27"/>
      <c r="EY87" s="27"/>
      <c r="EZ87" s="27"/>
      <c r="FA87" s="27"/>
      <c r="FB87" s="27"/>
      <c r="FC87" s="27"/>
      <c r="FD87" s="27"/>
      <c r="FE87" s="27"/>
      <c r="FF87" s="27"/>
      <c r="FG87" s="27"/>
      <c r="FH87" s="27"/>
      <c r="FI87" s="27"/>
      <c r="FJ87" s="27"/>
      <c r="FK87" s="27"/>
      <c r="FL87" s="27"/>
      <c r="FM87" s="27"/>
      <c r="FN87" s="27"/>
      <c r="FO87" s="27"/>
      <c r="FP87" s="27"/>
      <c r="FQ87" s="27"/>
      <c r="FR87" s="27"/>
      <c r="FS87" s="27"/>
      <c r="FT87" s="27"/>
      <c r="FU87" s="27"/>
      <c r="FV87" s="27"/>
      <c r="FW87" s="27"/>
      <c r="FX87" s="27"/>
      <c r="FY87" s="27"/>
      <c r="FZ87" s="27"/>
      <c r="GA87" s="27"/>
      <c r="GB87" s="27"/>
      <c r="GC87" s="27"/>
      <c r="GD87" s="27"/>
      <c r="GE87" s="27"/>
      <c r="GF87" s="27"/>
      <c r="GG87" s="27"/>
      <c r="GH87" s="27"/>
      <c r="GI87" s="27"/>
      <c r="GJ87" s="27"/>
      <c r="GK87" s="27"/>
      <c r="GL87" s="27"/>
      <c r="GM87" s="27"/>
      <c r="GN87" s="27"/>
      <c r="GO87" s="27"/>
      <c r="GP87" s="27"/>
      <c r="GQ87" s="27"/>
      <c r="GR87" s="27"/>
      <c r="GS87" s="27"/>
      <c r="GT87" s="27"/>
      <c r="GU87" s="27"/>
      <c r="GV87" s="27"/>
      <c r="GW87" s="27"/>
      <c r="GX87" s="27"/>
      <c r="GY87" s="27"/>
      <c r="GZ87" s="27"/>
      <c r="HA87" s="27"/>
      <c r="HB87" s="27"/>
      <c r="HC87" s="27"/>
      <c r="HD87" s="27"/>
      <c r="HE87" s="27"/>
      <c r="HF87" s="27"/>
      <c r="HG87" s="27"/>
      <c r="HH87" s="27"/>
      <c r="HI87" s="27"/>
      <c r="HJ87" s="27"/>
      <c r="HK87" s="27"/>
      <c r="HL87" s="27"/>
      <c r="HM87" s="27"/>
      <c r="HN87" s="27"/>
      <c r="HO87" s="27"/>
      <c r="HP87" s="27"/>
      <c r="HQ87" s="27"/>
      <c r="HR87" s="27"/>
      <c r="HS87" s="27"/>
      <c r="HT87" s="27"/>
      <c r="HU87" s="27"/>
      <c r="HV87" s="27"/>
      <c r="HW87" s="27"/>
      <c r="HX87" s="27"/>
      <c r="HY87" s="27"/>
      <c r="HZ87" s="27"/>
      <c r="IA87" s="27"/>
      <c r="IB87" s="27"/>
      <c r="IC87" s="27"/>
      <c r="ID87" s="27"/>
      <c r="IE87" s="27"/>
      <c r="IF87" s="27"/>
      <c r="IG87" s="27"/>
      <c r="IH87" s="27"/>
      <c r="II87" s="27"/>
      <c r="IJ87" s="27"/>
      <c r="IK87" s="27"/>
      <c r="IL87" s="27"/>
      <c r="IM87" s="27"/>
      <c r="IN87" s="27"/>
      <c r="IO87" s="27"/>
      <c r="IP87" s="27"/>
      <c r="IQ87" s="27"/>
      <c r="IR87" s="27"/>
      <c r="IS87" s="27"/>
      <c r="IT87" s="27"/>
      <c r="IU87" s="27"/>
      <c r="IV87" s="27"/>
    </row>
    <row r="88" spans="1:256" x14ac:dyDescent="0.25">
      <c r="A88" s="27"/>
      <c r="B88" s="27"/>
      <c r="C88" s="28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27"/>
      <c r="AD88" s="27"/>
      <c r="AE88" s="27"/>
      <c r="AF88" s="27"/>
      <c r="AG88" s="27"/>
      <c r="AH88" s="27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  <c r="BW88" s="27"/>
      <c r="BX88" s="27"/>
      <c r="BY88" s="27"/>
      <c r="BZ88" s="27"/>
      <c r="CA88" s="27"/>
      <c r="CB88" s="27"/>
      <c r="CC88" s="27"/>
      <c r="CD88" s="27"/>
      <c r="CE88" s="27"/>
      <c r="CF88" s="27"/>
      <c r="CG88" s="27"/>
      <c r="CH88" s="27"/>
      <c r="CI88" s="27"/>
      <c r="CJ88" s="27"/>
      <c r="CK88" s="27"/>
      <c r="CL88" s="27"/>
      <c r="CM88" s="27"/>
      <c r="CN88" s="27"/>
      <c r="CO88" s="27"/>
      <c r="CP88" s="27"/>
      <c r="CQ88" s="27"/>
      <c r="CR88" s="27"/>
      <c r="CS88" s="27"/>
      <c r="CT88" s="27"/>
      <c r="CU88" s="27"/>
      <c r="CV88" s="27"/>
      <c r="CW88" s="27"/>
      <c r="CX88" s="27"/>
      <c r="CY88" s="27"/>
      <c r="CZ88" s="27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7"/>
      <c r="DL88" s="27"/>
      <c r="DM88" s="27"/>
      <c r="DN88" s="27"/>
      <c r="DO88" s="27"/>
      <c r="DP88" s="27"/>
      <c r="DQ88" s="27"/>
      <c r="DR88" s="27"/>
      <c r="DS88" s="27"/>
      <c r="DT88" s="27"/>
      <c r="DU88" s="27"/>
      <c r="DV88" s="27"/>
      <c r="DW88" s="27"/>
      <c r="DX88" s="27"/>
      <c r="DY88" s="27"/>
      <c r="DZ88" s="27"/>
      <c r="EA88" s="27"/>
      <c r="EB88" s="27"/>
      <c r="EC88" s="27"/>
      <c r="ED88" s="27"/>
      <c r="EE88" s="27"/>
      <c r="EF88" s="27"/>
      <c r="EG88" s="27"/>
      <c r="EH88" s="27"/>
      <c r="EI88" s="27"/>
      <c r="EJ88" s="27"/>
      <c r="EK88" s="27"/>
      <c r="EL88" s="27"/>
      <c r="EM88" s="27"/>
      <c r="EN88" s="27"/>
      <c r="EO88" s="27"/>
      <c r="EP88" s="27"/>
      <c r="EQ88" s="27"/>
      <c r="ER88" s="27"/>
      <c r="ES88" s="27"/>
      <c r="ET88" s="27"/>
      <c r="EU88" s="27"/>
      <c r="EV88" s="27"/>
      <c r="EW88" s="27"/>
      <c r="EX88" s="27"/>
      <c r="EY88" s="27"/>
      <c r="EZ88" s="27"/>
      <c r="FA88" s="27"/>
      <c r="FB88" s="27"/>
      <c r="FC88" s="27"/>
      <c r="FD88" s="27"/>
      <c r="FE88" s="27"/>
      <c r="FF88" s="27"/>
      <c r="FG88" s="27"/>
      <c r="FH88" s="27"/>
      <c r="FI88" s="27"/>
      <c r="FJ88" s="27"/>
      <c r="FK88" s="27"/>
      <c r="FL88" s="27"/>
      <c r="FM88" s="27"/>
      <c r="FN88" s="27"/>
      <c r="FO88" s="27"/>
      <c r="FP88" s="27"/>
      <c r="FQ88" s="27"/>
      <c r="FR88" s="27"/>
      <c r="FS88" s="27"/>
      <c r="FT88" s="27"/>
      <c r="FU88" s="27"/>
      <c r="FV88" s="27"/>
      <c r="FW88" s="27"/>
      <c r="FX88" s="27"/>
      <c r="FY88" s="27"/>
      <c r="FZ88" s="27"/>
      <c r="GA88" s="27"/>
      <c r="GB88" s="27"/>
      <c r="GC88" s="27"/>
      <c r="GD88" s="27"/>
      <c r="GE88" s="27"/>
      <c r="GF88" s="27"/>
      <c r="GG88" s="27"/>
      <c r="GH88" s="27"/>
      <c r="GI88" s="27"/>
      <c r="GJ88" s="27"/>
      <c r="GK88" s="27"/>
      <c r="GL88" s="27"/>
      <c r="GM88" s="27"/>
      <c r="GN88" s="27"/>
      <c r="GO88" s="27"/>
      <c r="GP88" s="27"/>
      <c r="GQ88" s="27"/>
      <c r="GR88" s="27"/>
      <c r="GS88" s="27"/>
      <c r="GT88" s="27"/>
      <c r="GU88" s="27"/>
      <c r="GV88" s="27"/>
      <c r="GW88" s="27"/>
      <c r="GX88" s="27"/>
      <c r="GY88" s="27"/>
      <c r="GZ88" s="27"/>
      <c r="HA88" s="27"/>
      <c r="HB88" s="27"/>
      <c r="HC88" s="27"/>
      <c r="HD88" s="27"/>
      <c r="HE88" s="27"/>
      <c r="HF88" s="27"/>
      <c r="HG88" s="27"/>
      <c r="HH88" s="27"/>
      <c r="HI88" s="27"/>
      <c r="HJ88" s="27"/>
      <c r="HK88" s="27"/>
      <c r="HL88" s="27"/>
      <c r="HM88" s="27"/>
      <c r="HN88" s="27"/>
      <c r="HO88" s="27"/>
      <c r="HP88" s="27"/>
      <c r="HQ88" s="27"/>
      <c r="HR88" s="27"/>
      <c r="HS88" s="27"/>
      <c r="HT88" s="27"/>
      <c r="HU88" s="27"/>
      <c r="HV88" s="27"/>
      <c r="HW88" s="27"/>
      <c r="HX88" s="27"/>
      <c r="HY88" s="27"/>
      <c r="HZ88" s="27"/>
      <c r="IA88" s="27"/>
      <c r="IB88" s="27"/>
      <c r="IC88" s="27"/>
      <c r="ID88" s="27"/>
      <c r="IE88" s="27"/>
      <c r="IF88" s="27"/>
      <c r="IG88" s="27"/>
      <c r="IH88" s="27"/>
      <c r="II88" s="27"/>
      <c r="IJ88" s="27"/>
      <c r="IK88" s="27"/>
      <c r="IL88" s="27"/>
      <c r="IM88" s="27"/>
      <c r="IN88" s="27"/>
      <c r="IO88" s="27"/>
      <c r="IP88" s="27"/>
      <c r="IQ88" s="27"/>
      <c r="IR88" s="27"/>
      <c r="IS88" s="27"/>
      <c r="IT88" s="27"/>
      <c r="IU88" s="27"/>
      <c r="IV88" s="27"/>
    </row>
    <row r="89" spans="1:256" x14ac:dyDescent="0.25">
      <c r="A89" s="27"/>
      <c r="B89" s="27"/>
      <c r="C89" s="28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27"/>
      <c r="AD89" s="27"/>
      <c r="AE89" s="27"/>
      <c r="AF89" s="27"/>
      <c r="AG89" s="27"/>
      <c r="AH89" s="27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  <c r="BW89" s="27"/>
      <c r="BX89" s="27"/>
      <c r="BY89" s="27"/>
      <c r="BZ89" s="27"/>
      <c r="CA89" s="27"/>
      <c r="CB89" s="27"/>
      <c r="CC89" s="27"/>
      <c r="CD89" s="27"/>
      <c r="CE89" s="27"/>
      <c r="CF89" s="27"/>
      <c r="CG89" s="27"/>
      <c r="CH89" s="27"/>
      <c r="CI89" s="27"/>
      <c r="CJ89" s="27"/>
      <c r="CK89" s="27"/>
      <c r="CL89" s="27"/>
      <c r="CM89" s="27"/>
      <c r="CN89" s="27"/>
      <c r="CO89" s="27"/>
      <c r="CP89" s="27"/>
      <c r="CQ89" s="27"/>
      <c r="CR89" s="27"/>
      <c r="CS89" s="27"/>
      <c r="CT89" s="27"/>
      <c r="CU89" s="27"/>
      <c r="CV89" s="27"/>
      <c r="CW89" s="27"/>
      <c r="CX89" s="27"/>
      <c r="CY89" s="27"/>
      <c r="CZ89" s="27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7"/>
      <c r="DL89" s="27"/>
      <c r="DM89" s="27"/>
      <c r="DN89" s="27"/>
      <c r="DO89" s="27"/>
      <c r="DP89" s="27"/>
      <c r="DQ89" s="27"/>
      <c r="DR89" s="27"/>
      <c r="DS89" s="27"/>
      <c r="DT89" s="27"/>
      <c r="DU89" s="27"/>
      <c r="DV89" s="27"/>
      <c r="DW89" s="27"/>
      <c r="DX89" s="27"/>
      <c r="DY89" s="27"/>
      <c r="DZ89" s="27"/>
      <c r="EA89" s="27"/>
      <c r="EB89" s="27"/>
      <c r="EC89" s="27"/>
      <c r="ED89" s="27"/>
      <c r="EE89" s="27"/>
      <c r="EF89" s="27"/>
      <c r="EG89" s="27"/>
      <c r="EH89" s="27"/>
      <c r="EI89" s="27"/>
      <c r="EJ89" s="27"/>
      <c r="EK89" s="27"/>
      <c r="EL89" s="27"/>
      <c r="EM89" s="27"/>
      <c r="EN89" s="27"/>
      <c r="EO89" s="27"/>
      <c r="EP89" s="27"/>
      <c r="EQ89" s="27"/>
      <c r="ER89" s="27"/>
      <c r="ES89" s="27"/>
      <c r="ET89" s="27"/>
      <c r="EU89" s="27"/>
      <c r="EV89" s="27"/>
      <c r="EW89" s="27"/>
      <c r="EX89" s="27"/>
      <c r="EY89" s="27"/>
      <c r="EZ89" s="27"/>
      <c r="FA89" s="27"/>
      <c r="FB89" s="27"/>
      <c r="FC89" s="27"/>
      <c r="FD89" s="27"/>
      <c r="FE89" s="27"/>
      <c r="FF89" s="27"/>
      <c r="FG89" s="27"/>
      <c r="FH89" s="27"/>
      <c r="FI89" s="27"/>
      <c r="FJ89" s="27"/>
      <c r="FK89" s="27"/>
      <c r="FL89" s="27"/>
      <c r="FM89" s="27"/>
      <c r="FN89" s="27"/>
      <c r="FO89" s="27"/>
      <c r="FP89" s="27"/>
      <c r="FQ89" s="27"/>
      <c r="FR89" s="27"/>
      <c r="FS89" s="27"/>
      <c r="FT89" s="27"/>
      <c r="FU89" s="27"/>
      <c r="FV89" s="27"/>
      <c r="FW89" s="27"/>
      <c r="FX89" s="27"/>
      <c r="FY89" s="27"/>
      <c r="FZ89" s="27"/>
      <c r="GA89" s="27"/>
      <c r="GB89" s="27"/>
      <c r="GC89" s="27"/>
      <c r="GD89" s="27"/>
      <c r="GE89" s="27"/>
      <c r="GF89" s="27"/>
      <c r="GG89" s="27"/>
      <c r="GH89" s="27"/>
      <c r="GI89" s="27"/>
      <c r="GJ89" s="27"/>
      <c r="GK89" s="27"/>
      <c r="GL89" s="27"/>
      <c r="GM89" s="27"/>
      <c r="GN89" s="27"/>
      <c r="GO89" s="27"/>
      <c r="GP89" s="27"/>
      <c r="GQ89" s="27"/>
      <c r="GR89" s="27"/>
      <c r="GS89" s="27"/>
      <c r="GT89" s="27"/>
      <c r="GU89" s="27"/>
      <c r="GV89" s="27"/>
      <c r="GW89" s="27"/>
      <c r="GX89" s="27"/>
      <c r="GY89" s="27"/>
      <c r="GZ89" s="27"/>
      <c r="HA89" s="27"/>
      <c r="HB89" s="27"/>
      <c r="HC89" s="27"/>
      <c r="HD89" s="27"/>
      <c r="HE89" s="27"/>
      <c r="HF89" s="27"/>
      <c r="HG89" s="27"/>
      <c r="HH89" s="27"/>
      <c r="HI89" s="27"/>
      <c r="HJ89" s="27"/>
      <c r="HK89" s="27"/>
      <c r="HL89" s="27"/>
      <c r="HM89" s="27"/>
      <c r="HN89" s="27"/>
      <c r="HO89" s="27"/>
      <c r="HP89" s="27"/>
      <c r="HQ89" s="27"/>
      <c r="HR89" s="27"/>
      <c r="HS89" s="27"/>
      <c r="HT89" s="27"/>
      <c r="HU89" s="27"/>
      <c r="HV89" s="27"/>
      <c r="HW89" s="27"/>
      <c r="HX89" s="27"/>
      <c r="HY89" s="27"/>
      <c r="HZ89" s="27"/>
      <c r="IA89" s="27"/>
      <c r="IB89" s="27"/>
      <c r="IC89" s="27"/>
      <c r="ID89" s="27"/>
      <c r="IE89" s="27"/>
      <c r="IF89" s="27"/>
      <c r="IG89" s="27"/>
      <c r="IH89" s="27"/>
      <c r="II89" s="27"/>
      <c r="IJ89" s="27"/>
      <c r="IK89" s="27"/>
      <c r="IL89" s="27"/>
      <c r="IM89" s="27"/>
      <c r="IN89" s="27"/>
      <c r="IO89" s="27"/>
      <c r="IP89" s="27"/>
      <c r="IQ89" s="27"/>
      <c r="IR89" s="27"/>
      <c r="IS89" s="27"/>
      <c r="IT89" s="27"/>
      <c r="IU89" s="27"/>
      <c r="IV89" s="27"/>
    </row>
    <row r="90" spans="1:256" x14ac:dyDescent="0.25">
      <c r="A90" s="27"/>
      <c r="B90" s="27"/>
      <c r="C90" s="28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27"/>
      <c r="AD90" s="27"/>
      <c r="AE90" s="27"/>
      <c r="AF90" s="27"/>
      <c r="AG90" s="27"/>
      <c r="AH90" s="27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  <c r="BW90" s="27"/>
      <c r="BX90" s="27"/>
      <c r="BY90" s="27"/>
      <c r="BZ90" s="27"/>
      <c r="CA90" s="27"/>
      <c r="CB90" s="27"/>
      <c r="CC90" s="27"/>
      <c r="CD90" s="27"/>
      <c r="CE90" s="27"/>
      <c r="CF90" s="27"/>
      <c r="CG90" s="27"/>
      <c r="CH90" s="27"/>
      <c r="CI90" s="27"/>
      <c r="CJ90" s="27"/>
      <c r="CK90" s="27"/>
      <c r="CL90" s="27"/>
      <c r="CM90" s="27"/>
      <c r="CN90" s="27"/>
      <c r="CO90" s="27"/>
      <c r="CP90" s="27"/>
      <c r="CQ90" s="27"/>
      <c r="CR90" s="27"/>
      <c r="CS90" s="27"/>
      <c r="CT90" s="27"/>
      <c r="CU90" s="27"/>
      <c r="CV90" s="27"/>
      <c r="CW90" s="27"/>
      <c r="CX90" s="27"/>
      <c r="CY90" s="27"/>
      <c r="CZ90" s="27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7"/>
      <c r="DL90" s="27"/>
      <c r="DM90" s="27"/>
      <c r="DN90" s="27"/>
      <c r="DO90" s="27"/>
      <c r="DP90" s="27"/>
      <c r="DQ90" s="27"/>
      <c r="DR90" s="27"/>
      <c r="DS90" s="27"/>
      <c r="DT90" s="27"/>
      <c r="DU90" s="27"/>
      <c r="DV90" s="27"/>
      <c r="DW90" s="27"/>
      <c r="DX90" s="27"/>
      <c r="DY90" s="27"/>
      <c r="DZ90" s="27"/>
      <c r="EA90" s="27"/>
      <c r="EB90" s="27"/>
      <c r="EC90" s="27"/>
      <c r="ED90" s="27"/>
      <c r="EE90" s="27"/>
      <c r="EF90" s="27"/>
      <c r="EG90" s="27"/>
      <c r="EH90" s="27"/>
      <c r="EI90" s="27"/>
      <c r="EJ90" s="27"/>
      <c r="EK90" s="27"/>
      <c r="EL90" s="27"/>
      <c r="EM90" s="27"/>
      <c r="EN90" s="27"/>
      <c r="EO90" s="27"/>
      <c r="EP90" s="27"/>
      <c r="EQ90" s="27"/>
      <c r="ER90" s="27"/>
      <c r="ES90" s="27"/>
      <c r="ET90" s="27"/>
      <c r="EU90" s="27"/>
      <c r="EV90" s="27"/>
      <c r="EW90" s="27"/>
      <c r="EX90" s="27"/>
      <c r="EY90" s="27"/>
      <c r="EZ90" s="27"/>
      <c r="FA90" s="27"/>
      <c r="FB90" s="27"/>
      <c r="FC90" s="27"/>
      <c r="FD90" s="27"/>
      <c r="FE90" s="27"/>
      <c r="FF90" s="27"/>
      <c r="FG90" s="27"/>
      <c r="FH90" s="27"/>
      <c r="FI90" s="27"/>
      <c r="FJ90" s="27"/>
      <c r="FK90" s="27"/>
      <c r="FL90" s="27"/>
      <c r="FM90" s="27"/>
      <c r="FN90" s="27"/>
      <c r="FO90" s="27"/>
      <c r="FP90" s="27"/>
      <c r="FQ90" s="27"/>
      <c r="FR90" s="27"/>
      <c r="FS90" s="27"/>
      <c r="FT90" s="27"/>
      <c r="FU90" s="27"/>
      <c r="FV90" s="27"/>
      <c r="FW90" s="27"/>
      <c r="FX90" s="27"/>
      <c r="FY90" s="27"/>
      <c r="FZ90" s="27"/>
      <c r="GA90" s="27"/>
      <c r="GB90" s="27"/>
      <c r="GC90" s="27"/>
      <c r="GD90" s="27"/>
      <c r="GE90" s="27"/>
      <c r="GF90" s="27"/>
      <c r="GG90" s="27"/>
      <c r="GH90" s="27"/>
      <c r="GI90" s="27"/>
      <c r="GJ90" s="27"/>
      <c r="GK90" s="27"/>
      <c r="GL90" s="27"/>
      <c r="GM90" s="27"/>
      <c r="GN90" s="27"/>
      <c r="GO90" s="27"/>
      <c r="GP90" s="27"/>
      <c r="GQ90" s="27"/>
      <c r="GR90" s="27"/>
      <c r="GS90" s="27"/>
      <c r="GT90" s="27"/>
      <c r="GU90" s="27"/>
      <c r="GV90" s="27"/>
      <c r="GW90" s="27"/>
      <c r="GX90" s="27"/>
      <c r="GY90" s="27"/>
      <c r="GZ90" s="27"/>
      <c r="HA90" s="27"/>
      <c r="HB90" s="27"/>
      <c r="HC90" s="27"/>
      <c r="HD90" s="27"/>
      <c r="HE90" s="27"/>
      <c r="HF90" s="27"/>
      <c r="HG90" s="27"/>
      <c r="HH90" s="27"/>
      <c r="HI90" s="27"/>
      <c r="HJ90" s="27"/>
      <c r="HK90" s="27"/>
      <c r="HL90" s="27"/>
      <c r="HM90" s="27"/>
      <c r="HN90" s="27"/>
      <c r="HO90" s="27"/>
      <c r="HP90" s="27"/>
      <c r="HQ90" s="27"/>
      <c r="HR90" s="27"/>
      <c r="HS90" s="27"/>
      <c r="HT90" s="27"/>
      <c r="HU90" s="27"/>
      <c r="HV90" s="27"/>
      <c r="HW90" s="27"/>
      <c r="HX90" s="27"/>
      <c r="HY90" s="27"/>
      <c r="HZ90" s="27"/>
      <c r="IA90" s="27"/>
      <c r="IB90" s="27"/>
      <c r="IC90" s="27"/>
      <c r="ID90" s="27"/>
      <c r="IE90" s="27"/>
      <c r="IF90" s="27"/>
      <c r="IG90" s="27"/>
      <c r="IH90" s="27"/>
      <c r="II90" s="27"/>
      <c r="IJ90" s="27"/>
      <c r="IK90" s="27"/>
      <c r="IL90" s="27"/>
      <c r="IM90" s="27"/>
      <c r="IN90" s="27"/>
      <c r="IO90" s="27"/>
      <c r="IP90" s="27"/>
      <c r="IQ90" s="27"/>
      <c r="IR90" s="27"/>
      <c r="IS90" s="27"/>
      <c r="IT90" s="27"/>
      <c r="IU90" s="27"/>
      <c r="IV90" s="27"/>
    </row>
    <row r="91" spans="1:256" x14ac:dyDescent="0.25">
      <c r="A91" s="27"/>
      <c r="B91" s="27"/>
      <c r="C91" s="28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  <c r="BW91" s="27"/>
      <c r="BX91" s="27"/>
      <c r="BY91" s="27"/>
      <c r="BZ91" s="27"/>
      <c r="CA91" s="27"/>
      <c r="CB91" s="27"/>
      <c r="CC91" s="27"/>
      <c r="CD91" s="27"/>
      <c r="CE91" s="27"/>
      <c r="CF91" s="27"/>
      <c r="CG91" s="27"/>
      <c r="CH91" s="27"/>
      <c r="CI91" s="27"/>
      <c r="CJ91" s="27"/>
      <c r="CK91" s="27"/>
      <c r="CL91" s="27"/>
      <c r="CM91" s="27"/>
      <c r="CN91" s="27"/>
      <c r="CO91" s="27"/>
      <c r="CP91" s="27"/>
      <c r="CQ91" s="27"/>
      <c r="CR91" s="27"/>
      <c r="CS91" s="27"/>
      <c r="CT91" s="27"/>
      <c r="CU91" s="27"/>
      <c r="CV91" s="27"/>
      <c r="CW91" s="27"/>
      <c r="CX91" s="27"/>
      <c r="CY91" s="27"/>
      <c r="CZ91" s="27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7"/>
      <c r="DL91" s="27"/>
      <c r="DM91" s="27"/>
      <c r="DN91" s="27"/>
      <c r="DO91" s="27"/>
      <c r="DP91" s="27"/>
      <c r="DQ91" s="27"/>
      <c r="DR91" s="27"/>
      <c r="DS91" s="27"/>
      <c r="DT91" s="27"/>
      <c r="DU91" s="27"/>
      <c r="DV91" s="27"/>
      <c r="DW91" s="27"/>
      <c r="DX91" s="27"/>
      <c r="DY91" s="27"/>
      <c r="DZ91" s="27"/>
      <c r="EA91" s="27"/>
      <c r="EB91" s="27"/>
      <c r="EC91" s="27"/>
      <c r="ED91" s="27"/>
      <c r="EE91" s="27"/>
      <c r="EF91" s="27"/>
      <c r="EG91" s="27"/>
      <c r="EH91" s="27"/>
      <c r="EI91" s="27"/>
      <c r="EJ91" s="27"/>
      <c r="EK91" s="27"/>
      <c r="EL91" s="27"/>
      <c r="EM91" s="27"/>
      <c r="EN91" s="27"/>
      <c r="EO91" s="27"/>
      <c r="EP91" s="27"/>
      <c r="EQ91" s="27"/>
      <c r="ER91" s="27"/>
      <c r="ES91" s="27"/>
      <c r="ET91" s="27"/>
      <c r="EU91" s="27"/>
      <c r="EV91" s="27"/>
      <c r="EW91" s="27"/>
      <c r="EX91" s="27"/>
      <c r="EY91" s="27"/>
      <c r="EZ91" s="27"/>
      <c r="FA91" s="27"/>
      <c r="FB91" s="27"/>
      <c r="FC91" s="27"/>
      <c r="FD91" s="27"/>
      <c r="FE91" s="27"/>
      <c r="FF91" s="27"/>
      <c r="FG91" s="27"/>
      <c r="FH91" s="27"/>
      <c r="FI91" s="27"/>
      <c r="FJ91" s="27"/>
      <c r="FK91" s="27"/>
      <c r="FL91" s="27"/>
      <c r="FM91" s="27"/>
      <c r="FN91" s="27"/>
      <c r="FO91" s="27"/>
      <c r="FP91" s="27"/>
      <c r="FQ91" s="27"/>
      <c r="FR91" s="27"/>
      <c r="FS91" s="27"/>
      <c r="FT91" s="27"/>
      <c r="FU91" s="27"/>
      <c r="FV91" s="27"/>
      <c r="FW91" s="27"/>
      <c r="FX91" s="27"/>
      <c r="FY91" s="27"/>
      <c r="FZ91" s="27"/>
      <c r="GA91" s="27"/>
      <c r="GB91" s="27"/>
      <c r="GC91" s="27"/>
      <c r="GD91" s="27"/>
      <c r="GE91" s="27"/>
      <c r="GF91" s="27"/>
      <c r="GG91" s="27"/>
      <c r="GH91" s="27"/>
      <c r="GI91" s="27"/>
      <c r="GJ91" s="27"/>
      <c r="GK91" s="27"/>
      <c r="GL91" s="27"/>
      <c r="GM91" s="27"/>
      <c r="GN91" s="27"/>
      <c r="GO91" s="27"/>
      <c r="GP91" s="27"/>
      <c r="GQ91" s="27"/>
      <c r="GR91" s="27"/>
      <c r="GS91" s="27"/>
      <c r="GT91" s="27"/>
      <c r="GU91" s="27"/>
      <c r="GV91" s="27"/>
      <c r="GW91" s="27"/>
      <c r="GX91" s="27"/>
      <c r="GY91" s="27"/>
      <c r="GZ91" s="27"/>
      <c r="HA91" s="27"/>
      <c r="HB91" s="27"/>
      <c r="HC91" s="27"/>
      <c r="HD91" s="27"/>
      <c r="HE91" s="27"/>
      <c r="HF91" s="27"/>
      <c r="HG91" s="27"/>
      <c r="HH91" s="27"/>
      <c r="HI91" s="27"/>
      <c r="HJ91" s="27"/>
      <c r="HK91" s="27"/>
      <c r="HL91" s="27"/>
      <c r="HM91" s="27"/>
      <c r="HN91" s="27"/>
      <c r="HO91" s="27"/>
      <c r="HP91" s="27"/>
      <c r="HQ91" s="27"/>
      <c r="HR91" s="27"/>
      <c r="HS91" s="27"/>
      <c r="HT91" s="27"/>
      <c r="HU91" s="27"/>
      <c r="HV91" s="27"/>
      <c r="HW91" s="27"/>
      <c r="HX91" s="27"/>
      <c r="HY91" s="27"/>
      <c r="HZ91" s="27"/>
      <c r="IA91" s="27"/>
      <c r="IB91" s="27"/>
      <c r="IC91" s="27"/>
      <c r="ID91" s="27"/>
      <c r="IE91" s="27"/>
      <c r="IF91" s="27"/>
      <c r="IG91" s="27"/>
      <c r="IH91" s="27"/>
      <c r="II91" s="27"/>
      <c r="IJ91" s="27"/>
      <c r="IK91" s="27"/>
      <c r="IL91" s="27"/>
      <c r="IM91" s="27"/>
      <c r="IN91" s="27"/>
      <c r="IO91" s="27"/>
      <c r="IP91" s="27"/>
      <c r="IQ91" s="27"/>
      <c r="IR91" s="27"/>
      <c r="IS91" s="27"/>
      <c r="IT91" s="27"/>
      <c r="IU91" s="27"/>
      <c r="IV91" s="27"/>
    </row>
    <row r="92" spans="1:256" x14ac:dyDescent="0.25">
      <c r="A92" s="27"/>
      <c r="B92" s="27"/>
      <c r="C92" s="28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27"/>
      <c r="AD92" s="27"/>
      <c r="AE92" s="27"/>
      <c r="AF92" s="27"/>
      <c r="AG92" s="27"/>
      <c r="AH92" s="27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  <c r="BW92" s="27"/>
      <c r="BX92" s="27"/>
      <c r="BY92" s="27"/>
      <c r="BZ92" s="27"/>
      <c r="CA92" s="27"/>
      <c r="CB92" s="27"/>
      <c r="CC92" s="27"/>
      <c r="CD92" s="27"/>
      <c r="CE92" s="27"/>
      <c r="CF92" s="27"/>
      <c r="CG92" s="27"/>
      <c r="CH92" s="27"/>
      <c r="CI92" s="27"/>
      <c r="CJ92" s="27"/>
      <c r="CK92" s="27"/>
      <c r="CL92" s="27"/>
      <c r="CM92" s="27"/>
      <c r="CN92" s="27"/>
      <c r="CO92" s="27"/>
      <c r="CP92" s="27"/>
      <c r="CQ92" s="27"/>
      <c r="CR92" s="27"/>
      <c r="CS92" s="27"/>
      <c r="CT92" s="27"/>
      <c r="CU92" s="27"/>
      <c r="CV92" s="27"/>
      <c r="CW92" s="27"/>
      <c r="CX92" s="27"/>
      <c r="CY92" s="27"/>
      <c r="CZ92" s="27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7"/>
      <c r="DL92" s="27"/>
      <c r="DM92" s="27"/>
      <c r="DN92" s="27"/>
      <c r="DO92" s="27"/>
      <c r="DP92" s="27"/>
      <c r="DQ92" s="27"/>
      <c r="DR92" s="27"/>
      <c r="DS92" s="27"/>
      <c r="DT92" s="27"/>
      <c r="DU92" s="27"/>
      <c r="DV92" s="27"/>
      <c r="DW92" s="27"/>
      <c r="DX92" s="27"/>
      <c r="DY92" s="27"/>
      <c r="DZ92" s="27"/>
      <c r="EA92" s="27"/>
      <c r="EB92" s="27"/>
      <c r="EC92" s="27"/>
      <c r="ED92" s="27"/>
      <c r="EE92" s="27"/>
      <c r="EF92" s="27"/>
      <c r="EG92" s="27"/>
      <c r="EH92" s="27"/>
      <c r="EI92" s="27"/>
      <c r="EJ92" s="27"/>
      <c r="EK92" s="27"/>
      <c r="EL92" s="27"/>
      <c r="EM92" s="27"/>
      <c r="EN92" s="27"/>
      <c r="EO92" s="27"/>
      <c r="EP92" s="27"/>
      <c r="EQ92" s="27"/>
      <c r="ER92" s="27"/>
      <c r="ES92" s="27"/>
      <c r="ET92" s="27"/>
      <c r="EU92" s="27"/>
      <c r="EV92" s="27"/>
      <c r="EW92" s="27"/>
      <c r="EX92" s="27"/>
      <c r="EY92" s="27"/>
      <c r="EZ92" s="27"/>
      <c r="FA92" s="27"/>
      <c r="FB92" s="27"/>
      <c r="FC92" s="27"/>
      <c r="FD92" s="27"/>
      <c r="FE92" s="27"/>
      <c r="FF92" s="27"/>
      <c r="FG92" s="27"/>
      <c r="FH92" s="27"/>
      <c r="FI92" s="27"/>
      <c r="FJ92" s="27"/>
      <c r="FK92" s="27"/>
      <c r="FL92" s="27"/>
      <c r="FM92" s="27"/>
      <c r="FN92" s="27"/>
      <c r="FO92" s="27"/>
      <c r="FP92" s="27"/>
      <c r="FQ92" s="27"/>
      <c r="FR92" s="27"/>
      <c r="FS92" s="27"/>
      <c r="FT92" s="27"/>
      <c r="FU92" s="27"/>
      <c r="FV92" s="27"/>
      <c r="FW92" s="27"/>
      <c r="FX92" s="27"/>
      <c r="FY92" s="27"/>
      <c r="FZ92" s="27"/>
      <c r="GA92" s="27"/>
      <c r="GB92" s="27"/>
      <c r="GC92" s="27"/>
      <c r="GD92" s="27"/>
      <c r="GE92" s="27"/>
      <c r="GF92" s="27"/>
      <c r="GG92" s="27"/>
      <c r="GH92" s="27"/>
      <c r="GI92" s="27"/>
      <c r="GJ92" s="27"/>
      <c r="GK92" s="27"/>
      <c r="GL92" s="27"/>
      <c r="GM92" s="27"/>
      <c r="GN92" s="27"/>
      <c r="GO92" s="27"/>
      <c r="GP92" s="27"/>
      <c r="GQ92" s="27"/>
      <c r="GR92" s="27"/>
      <c r="GS92" s="27"/>
      <c r="GT92" s="27"/>
      <c r="GU92" s="27"/>
      <c r="GV92" s="27"/>
      <c r="GW92" s="27"/>
      <c r="GX92" s="27"/>
      <c r="GY92" s="27"/>
      <c r="GZ92" s="27"/>
      <c r="HA92" s="27"/>
      <c r="HB92" s="27"/>
      <c r="HC92" s="27"/>
      <c r="HD92" s="27"/>
      <c r="HE92" s="27"/>
      <c r="HF92" s="27"/>
      <c r="HG92" s="27"/>
      <c r="HH92" s="27"/>
      <c r="HI92" s="27"/>
      <c r="HJ92" s="27"/>
      <c r="HK92" s="27"/>
      <c r="HL92" s="27"/>
      <c r="HM92" s="27"/>
      <c r="HN92" s="27"/>
      <c r="HO92" s="27"/>
      <c r="HP92" s="27"/>
      <c r="HQ92" s="27"/>
      <c r="HR92" s="27"/>
      <c r="HS92" s="27"/>
      <c r="HT92" s="27"/>
      <c r="HU92" s="27"/>
      <c r="HV92" s="27"/>
      <c r="HW92" s="27"/>
      <c r="HX92" s="27"/>
      <c r="HY92" s="27"/>
      <c r="HZ92" s="27"/>
      <c r="IA92" s="27"/>
      <c r="IB92" s="27"/>
      <c r="IC92" s="27"/>
      <c r="ID92" s="27"/>
      <c r="IE92" s="27"/>
      <c r="IF92" s="27"/>
      <c r="IG92" s="27"/>
      <c r="IH92" s="27"/>
      <c r="II92" s="27"/>
      <c r="IJ92" s="27"/>
      <c r="IK92" s="27"/>
      <c r="IL92" s="27"/>
      <c r="IM92" s="27"/>
      <c r="IN92" s="27"/>
      <c r="IO92" s="27"/>
      <c r="IP92" s="27"/>
      <c r="IQ92" s="27"/>
      <c r="IR92" s="27"/>
      <c r="IS92" s="27"/>
      <c r="IT92" s="27"/>
      <c r="IU92" s="27"/>
      <c r="IV92" s="27"/>
    </row>
    <row r="93" spans="1:256" x14ac:dyDescent="0.25">
      <c r="A93" s="27"/>
      <c r="B93" s="27"/>
      <c r="C93" s="28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  <c r="BW93" s="27"/>
      <c r="BX93" s="27"/>
      <c r="BY93" s="27"/>
      <c r="BZ93" s="27"/>
      <c r="CA93" s="27"/>
      <c r="CB93" s="27"/>
      <c r="CC93" s="27"/>
      <c r="CD93" s="27"/>
      <c r="CE93" s="27"/>
      <c r="CF93" s="27"/>
      <c r="CG93" s="27"/>
      <c r="CH93" s="27"/>
      <c r="CI93" s="27"/>
      <c r="CJ93" s="27"/>
      <c r="CK93" s="27"/>
      <c r="CL93" s="27"/>
      <c r="CM93" s="27"/>
      <c r="CN93" s="27"/>
      <c r="CO93" s="27"/>
      <c r="CP93" s="27"/>
      <c r="CQ93" s="27"/>
      <c r="CR93" s="27"/>
      <c r="CS93" s="27"/>
      <c r="CT93" s="27"/>
      <c r="CU93" s="27"/>
      <c r="CV93" s="27"/>
      <c r="CW93" s="27"/>
      <c r="CX93" s="27"/>
      <c r="CY93" s="27"/>
      <c r="CZ93" s="27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7"/>
      <c r="DL93" s="27"/>
      <c r="DM93" s="27"/>
      <c r="DN93" s="27"/>
      <c r="DO93" s="27"/>
      <c r="DP93" s="27"/>
      <c r="DQ93" s="27"/>
      <c r="DR93" s="27"/>
      <c r="DS93" s="27"/>
      <c r="DT93" s="27"/>
      <c r="DU93" s="27"/>
      <c r="DV93" s="27"/>
      <c r="DW93" s="27"/>
      <c r="DX93" s="27"/>
      <c r="DY93" s="27"/>
      <c r="DZ93" s="27"/>
      <c r="EA93" s="27"/>
      <c r="EB93" s="27"/>
      <c r="EC93" s="27"/>
      <c r="ED93" s="27"/>
      <c r="EE93" s="27"/>
      <c r="EF93" s="27"/>
      <c r="EG93" s="27"/>
      <c r="EH93" s="27"/>
      <c r="EI93" s="27"/>
      <c r="EJ93" s="27"/>
      <c r="EK93" s="27"/>
      <c r="EL93" s="27"/>
      <c r="EM93" s="27"/>
      <c r="EN93" s="27"/>
      <c r="EO93" s="27"/>
      <c r="EP93" s="27"/>
      <c r="EQ93" s="27"/>
      <c r="ER93" s="27"/>
      <c r="ES93" s="27"/>
      <c r="ET93" s="27"/>
      <c r="EU93" s="27"/>
      <c r="EV93" s="27"/>
      <c r="EW93" s="27"/>
      <c r="EX93" s="27"/>
      <c r="EY93" s="27"/>
      <c r="EZ93" s="27"/>
      <c r="FA93" s="27"/>
      <c r="FB93" s="27"/>
      <c r="FC93" s="27"/>
      <c r="FD93" s="27"/>
      <c r="FE93" s="27"/>
      <c r="FF93" s="27"/>
      <c r="FG93" s="27"/>
      <c r="FH93" s="27"/>
      <c r="FI93" s="27"/>
      <c r="FJ93" s="27"/>
      <c r="FK93" s="27"/>
      <c r="FL93" s="27"/>
      <c r="FM93" s="27"/>
      <c r="FN93" s="27"/>
      <c r="FO93" s="27"/>
      <c r="FP93" s="27"/>
      <c r="FQ93" s="27"/>
      <c r="FR93" s="27"/>
      <c r="FS93" s="27"/>
      <c r="FT93" s="27"/>
      <c r="FU93" s="27"/>
      <c r="FV93" s="27"/>
      <c r="FW93" s="27"/>
      <c r="FX93" s="27"/>
      <c r="FY93" s="27"/>
      <c r="FZ93" s="27"/>
      <c r="GA93" s="27"/>
      <c r="GB93" s="27"/>
      <c r="GC93" s="27"/>
      <c r="GD93" s="27"/>
      <c r="GE93" s="27"/>
      <c r="GF93" s="27"/>
      <c r="GG93" s="27"/>
      <c r="GH93" s="27"/>
      <c r="GI93" s="27"/>
      <c r="GJ93" s="27"/>
      <c r="GK93" s="27"/>
      <c r="GL93" s="27"/>
      <c r="GM93" s="27"/>
      <c r="GN93" s="27"/>
      <c r="GO93" s="27"/>
      <c r="GP93" s="27"/>
      <c r="GQ93" s="27"/>
      <c r="GR93" s="27"/>
      <c r="GS93" s="27"/>
      <c r="GT93" s="27"/>
      <c r="GU93" s="27"/>
      <c r="GV93" s="27"/>
      <c r="GW93" s="27"/>
      <c r="GX93" s="27"/>
      <c r="GY93" s="27"/>
      <c r="GZ93" s="27"/>
      <c r="HA93" s="27"/>
      <c r="HB93" s="27"/>
      <c r="HC93" s="27"/>
      <c r="HD93" s="27"/>
      <c r="HE93" s="27"/>
      <c r="HF93" s="27"/>
      <c r="HG93" s="27"/>
      <c r="HH93" s="27"/>
      <c r="HI93" s="27"/>
      <c r="HJ93" s="27"/>
      <c r="HK93" s="27"/>
      <c r="HL93" s="27"/>
      <c r="HM93" s="27"/>
      <c r="HN93" s="27"/>
      <c r="HO93" s="27"/>
      <c r="HP93" s="27"/>
      <c r="HQ93" s="27"/>
      <c r="HR93" s="27"/>
      <c r="HS93" s="27"/>
      <c r="HT93" s="27"/>
      <c r="HU93" s="27"/>
      <c r="HV93" s="27"/>
      <c r="HW93" s="27"/>
      <c r="HX93" s="27"/>
      <c r="HY93" s="27"/>
      <c r="HZ93" s="27"/>
      <c r="IA93" s="27"/>
      <c r="IB93" s="27"/>
      <c r="IC93" s="27"/>
      <c r="ID93" s="27"/>
      <c r="IE93" s="27"/>
      <c r="IF93" s="27"/>
      <c r="IG93" s="27"/>
      <c r="IH93" s="27"/>
      <c r="II93" s="27"/>
      <c r="IJ93" s="27"/>
      <c r="IK93" s="27"/>
      <c r="IL93" s="27"/>
      <c r="IM93" s="27"/>
      <c r="IN93" s="27"/>
      <c r="IO93" s="27"/>
      <c r="IP93" s="27"/>
      <c r="IQ93" s="27"/>
      <c r="IR93" s="27"/>
      <c r="IS93" s="27"/>
      <c r="IT93" s="27"/>
      <c r="IU93" s="27"/>
      <c r="IV93" s="27"/>
    </row>
    <row r="94" spans="1:256" x14ac:dyDescent="0.25">
      <c r="A94" s="27"/>
      <c r="B94" s="27"/>
      <c r="C94" s="28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27"/>
      <c r="AD94" s="27"/>
      <c r="AE94" s="27"/>
      <c r="AF94" s="27"/>
      <c r="AG94" s="27"/>
      <c r="AH94" s="27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  <c r="BW94" s="27"/>
      <c r="BX94" s="27"/>
      <c r="BY94" s="27"/>
      <c r="BZ94" s="27"/>
      <c r="CA94" s="27"/>
      <c r="CB94" s="27"/>
      <c r="CC94" s="27"/>
      <c r="CD94" s="27"/>
      <c r="CE94" s="27"/>
      <c r="CF94" s="27"/>
      <c r="CG94" s="27"/>
      <c r="CH94" s="27"/>
      <c r="CI94" s="27"/>
      <c r="CJ94" s="27"/>
      <c r="CK94" s="27"/>
      <c r="CL94" s="27"/>
      <c r="CM94" s="27"/>
      <c r="CN94" s="27"/>
      <c r="CO94" s="27"/>
      <c r="CP94" s="27"/>
      <c r="CQ94" s="27"/>
      <c r="CR94" s="27"/>
      <c r="CS94" s="27"/>
      <c r="CT94" s="27"/>
      <c r="CU94" s="27"/>
      <c r="CV94" s="27"/>
      <c r="CW94" s="27"/>
      <c r="CX94" s="27"/>
      <c r="CY94" s="27"/>
      <c r="CZ94" s="27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7"/>
      <c r="DL94" s="27"/>
      <c r="DM94" s="27"/>
      <c r="DN94" s="27"/>
      <c r="DO94" s="27"/>
      <c r="DP94" s="27"/>
      <c r="DQ94" s="27"/>
      <c r="DR94" s="27"/>
      <c r="DS94" s="27"/>
      <c r="DT94" s="27"/>
      <c r="DU94" s="27"/>
      <c r="DV94" s="27"/>
      <c r="DW94" s="27"/>
      <c r="DX94" s="27"/>
      <c r="DY94" s="27"/>
      <c r="DZ94" s="27"/>
      <c r="EA94" s="27"/>
      <c r="EB94" s="27"/>
      <c r="EC94" s="27"/>
      <c r="ED94" s="27"/>
      <c r="EE94" s="27"/>
      <c r="EF94" s="27"/>
      <c r="EG94" s="27"/>
      <c r="EH94" s="27"/>
      <c r="EI94" s="27"/>
      <c r="EJ94" s="27"/>
      <c r="EK94" s="27"/>
      <c r="EL94" s="27"/>
      <c r="EM94" s="27"/>
      <c r="EN94" s="27"/>
      <c r="EO94" s="27"/>
      <c r="EP94" s="27"/>
      <c r="EQ94" s="27"/>
      <c r="ER94" s="27"/>
      <c r="ES94" s="27"/>
      <c r="ET94" s="27"/>
      <c r="EU94" s="27"/>
      <c r="EV94" s="27"/>
      <c r="EW94" s="27"/>
      <c r="EX94" s="27"/>
      <c r="EY94" s="27"/>
      <c r="EZ94" s="27"/>
      <c r="FA94" s="27"/>
      <c r="FB94" s="27"/>
      <c r="FC94" s="27"/>
      <c r="FD94" s="27"/>
      <c r="FE94" s="27"/>
      <c r="FF94" s="27"/>
      <c r="FG94" s="27"/>
      <c r="FH94" s="27"/>
      <c r="FI94" s="27"/>
      <c r="FJ94" s="27"/>
      <c r="FK94" s="27"/>
      <c r="FL94" s="27"/>
      <c r="FM94" s="27"/>
      <c r="FN94" s="27"/>
      <c r="FO94" s="27"/>
      <c r="FP94" s="27"/>
      <c r="FQ94" s="27"/>
      <c r="FR94" s="27"/>
      <c r="FS94" s="27"/>
      <c r="FT94" s="27"/>
      <c r="FU94" s="27"/>
      <c r="FV94" s="27"/>
      <c r="FW94" s="27"/>
      <c r="FX94" s="27"/>
      <c r="FY94" s="27"/>
      <c r="FZ94" s="27"/>
      <c r="GA94" s="27"/>
      <c r="GB94" s="27"/>
      <c r="GC94" s="27"/>
      <c r="GD94" s="27"/>
      <c r="GE94" s="27"/>
      <c r="GF94" s="27"/>
      <c r="GG94" s="27"/>
      <c r="GH94" s="27"/>
      <c r="GI94" s="27"/>
      <c r="GJ94" s="27"/>
      <c r="GK94" s="27"/>
      <c r="GL94" s="27"/>
      <c r="GM94" s="27"/>
      <c r="GN94" s="27"/>
      <c r="GO94" s="27"/>
      <c r="GP94" s="27"/>
      <c r="GQ94" s="27"/>
      <c r="GR94" s="27"/>
      <c r="GS94" s="27"/>
      <c r="GT94" s="27"/>
      <c r="GU94" s="27"/>
      <c r="GV94" s="27"/>
      <c r="GW94" s="27"/>
      <c r="GX94" s="27"/>
      <c r="GY94" s="27"/>
      <c r="GZ94" s="27"/>
      <c r="HA94" s="27"/>
      <c r="HB94" s="27"/>
      <c r="HC94" s="27"/>
      <c r="HD94" s="27"/>
      <c r="HE94" s="27"/>
      <c r="HF94" s="27"/>
      <c r="HG94" s="27"/>
      <c r="HH94" s="27"/>
      <c r="HI94" s="27"/>
      <c r="HJ94" s="27"/>
      <c r="HK94" s="27"/>
      <c r="HL94" s="27"/>
      <c r="HM94" s="27"/>
      <c r="HN94" s="27"/>
      <c r="HO94" s="27"/>
      <c r="HP94" s="27"/>
      <c r="HQ94" s="27"/>
      <c r="HR94" s="27"/>
      <c r="HS94" s="27"/>
      <c r="HT94" s="27"/>
      <c r="HU94" s="27"/>
      <c r="HV94" s="27"/>
      <c r="HW94" s="27"/>
      <c r="HX94" s="27"/>
      <c r="HY94" s="27"/>
      <c r="HZ94" s="27"/>
      <c r="IA94" s="27"/>
      <c r="IB94" s="27"/>
      <c r="IC94" s="27"/>
      <c r="ID94" s="27"/>
      <c r="IE94" s="27"/>
      <c r="IF94" s="27"/>
      <c r="IG94" s="27"/>
      <c r="IH94" s="27"/>
      <c r="II94" s="27"/>
      <c r="IJ94" s="27"/>
      <c r="IK94" s="27"/>
      <c r="IL94" s="27"/>
      <c r="IM94" s="27"/>
      <c r="IN94" s="27"/>
      <c r="IO94" s="27"/>
      <c r="IP94" s="27"/>
      <c r="IQ94" s="27"/>
      <c r="IR94" s="27"/>
      <c r="IS94" s="27"/>
      <c r="IT94" s="27"/>
      <c r="IU94" s="27"/>
      <c r="IV94" s="27"/>
    </row>
    <row r="95" spans="1:256" x14ac:dyDescent="0.25">
      <c r="A95" s="27"/>
      <c r="B95" s="27"/>
      <c r="C95" s="28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27"/>
      <c r="AD95" s="27"/>
      <c r="AE95" s="27"/>
      <c r="AF95" s="27"/>
      <c r="AG95" s="27"/>
      <c r="AH95" s="27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  <c r="BW95" s="27"/>
      <c r="BX95" s="27"/>
      <c r="BY95" s="27"/>
      <c r="BZ95" s="27"/>
      <c r="CA95" s="27"/>
      <c r="CB95" s="27"/>
      <c r="CC95" s="27"/>
      <c r="CD95" s="27"/>
      <c r="CE95" s="27"/>
      <c r="CF95" s="27"/>
      <c r="CG95" s="27"/>
      <c r="CH95" s="27"/>
      <c r="CI95" s="27"/>
      <c r="CJ95" s="27"/>
      <c r="CK95" s="27"/>
      <c r="CL95" s="27"/>
      <c r="CM95" s="27"/>
      <c r="CN95" s="27"/>
      <c r="CO95" s="27"/>
      <c r="CP95" s="27"/>
      <c r="CQ95" s="27"/>
      <c r="CR95" s="27"/>
      <c r="CS95" s="27"/>
      <c r="CT95" s="27"/>
      <c r="CU95" s="27"/>
      <c r="CV95" s="27"/>
      <c r="CW95" s="27"/>
      <c r="CX95" s="27"/>
      <c r="CY95" s="27"/>
      <c r="CZ95" s="27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7"/>
      <c r="DL95" s="27"/>
      <c r="DM95" s="27"/>
      <c r="DN95" s="27"/>
      <c r="DO95" s="27"/>
      <c r="DP95" s="27"/>
      <c r="DQ95" s="27"/>
      <c r="DR95" s="27"/>
      <c r="DS95" s="27"/>
      <c r="DT95" s="27"/>
      <c r="DU95" s="27"/>
      <c r="DV95" s="27"/>
      <c r="DW95" s="27"/>
      <c r="DX95" s="27"/>
      <c r="DY95" s="27"/>
      <c r="DZ95" s="27"/>
      <c r="EA95" s="27"/>
      <c r="EB95" s="27"/>
      <c r="EC95" s="27"/>
      <c r="ED95" s="27"/>
      <c r="EE95" s="27"/>
      <c r="EF95" s="27"/>
      <c r="EG95" s="27"/>
      <c r="EH95" s="27"/>
      <c r="EI95" s="27"/>
      <c r="EJ95" s="27"/>
      <c r="EK95" s="27"/>
      <c r="EL95" s="27"/>
      <c r="EM95" s="27"/>
      <c r="EN95" s="27"/>
      <c r="EO95" s="27"/>
      <c r="EP95" s="27"/>
      <c r="EQ95" s="27"/>
      <c r="ER95" s="27"/>
      <c r="ES95" s="27"/>
      <c r="ET95" s="27"/>
      <c r="EU95" s="27"/>
      <c r="EV95" s="27"/>
      <c r="EW95" s="27"/>
      <c r="EX95" s="27"/>
      <c r="EY95" s="27"/>
      <c r="EZ95" s="27"/>
      <c r="FA95" s="27"/>
      <c r="FB95" s="27"/>
      <c r="FC95" s="27"/>
      <c r="FD95" s="27"/>
      <c r="FE95" s="27"/>
      <c r="FF95" s="27"/>
      <c r="FG95" s="27"/>
      <c r="FH95" s="27"/>
      <c r="FI95" s="27"/>
      <c r="FJ95" s="27"/>
      <c r="FK95" s="27"/>
      <c r="FL95" s="27"/>
      <c r="FM95" s="27"/>
      <c r="FN95" s="27"/>
      <c r="FO95" s="27"/>
      <c r="FP95" s="27"/>
      <c r="FQ95" s="27"/>
      <c r="FR95" s="27"/>
      <c r="FS95" s="27"/>
      <c r="FT95" s="27"/>
      <c r="FU95" s="27"/>
      <c r="FV95" s="27"/>
      <c r="FW95" s="27"/>
      <c r="FX95" s="27"/>
      <c r="FY95" s="27"/>
      <c r="FZ95" s="27"/>
      <c r="GA95" s="27"/>
      <c r="GB95" s="27"/>
      <c r="GC95" s="27"/>
      <c r="GD95" s="27"/>
      <c r="GE95" s="27"/>
      <c r="GF95" s="27"/>
      <c r="GG95" s="27"/>
      <c r="GH95" s="27"/>
      <c r="GI95" s="27"/>
      <c r="GJ95" s="27"/>
      <c r="GK95" s="27"/>
      <c r="GL95" s="27"/>
      <c r="GM95" s="27"/>
      <c r="GN95" s="27"/>
      <c r="GO95" s="27"/>
      <c r="GP95" s="27"/>
      <c r="GQ95" s="27"/>
      <c r="GR95" s="27"/>
      <c r="GS95" s="27"/>
      <c r="GT95" s="27"/>
      <c r="GU95" s="27"/>
      <c r="GV95" s="27"/>
      <c r="GW95" s="27"/>
      <c r="GX95" s="27"/>
      <c r="GY95" s="27"/>
      <c r="GZ95" s="27"/>
      <c r="HA95" s="27"/>
      <c r="HB95" s="27"/>
      <c r="HC95" s="27"/>
      <c r="HD95" s="27"/>
      <c r="HE95" s="27"/>
      <c r="HF95" s="27"/>
      <c r="HG95" s="27"/>
      <c r="HH95" s="27"/>
      <c r="HI95" s="27"/>
      <c r="HJ95" s="27"/>
      <c r="HK95" s="27"/>
      <c r="HL95" s="27"/>
      <c r="HM95" s="27"/>
      <c r="HN95" s="27"/>
      <c r="HO95" s="27"/>
      <c r="HP95" s="27"/>
      <c r="HQ95" s="27"/>
      <c r="HR95" s="27"/>
      <c r="HS95" s="27"/>
      <c r="HT95" s="27"/>
      <c r="HU95" s="27"/>
      <c r="HV95" s="27"/>
      <c r="HW95" s="27"/>
      <c r="HX95" s="27"/>
      <c r="HY95" s="27"/>
      <c r="HZ95" s="27"/>
      <c r="IA95" s="27"/>
      <c r="IB95" s="27"/>
      <c r="IC95" s="27"/>
      <c r="ID95" s="27"/>
      <c r="IE95" s="27"/>
      <c r="IF95" s="27"/>
      <c r="IG95" s="27"/>
      <c r="IH95" s="27"/>
      <c r="II95" s="27"/>
      <c r="IJ95" s="27"/>
      <c r="IK95" s="27"/>
      <c r="IL95" s="27"/>
      <c r="IM95" s="27"/>
      <c r="IN95" s="27"/>
      <c r="IO95" s="27"/>
      <c r="IP95" s="27"/>
      <c r="IQ95" s="27"/>
      <c r="IR95" s="27"/>
      <c r="IS95" s="27"/>
      <c r="IT95" s="27"/>
      <c r="IU95" s="27"/>
      <c r="IV95" s="27"/>
    </row>
    <row r="96" spans="1:256" x14ac:dyDescent="0.25">
      <c r="A96" s="27"/>
      <c r="B96" s="27"/>
      <c r="C96" s="28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  <c r="BW96" s="27"/>
      <c r="BX96" s="27"/>
      <c r="BY96" s="27"/>
      <c r="BZ96" s="27"/>
      <c r="CA96" s="27"/>
      <c r="CB96" s="27"/>
      <c r="CC96" s="27"/>
      <c r="CD96" s="27"/>
      <c r="CE96" s="27"/>
      <c r="CF96" s="27"/>
      <c r="CG96" s="27"/>
      <c r="CH96" s="27"/>
      <c r="CI96" s="27"/>
      <c r="CJ96" s="27"/>
      <c r="CK96" s="27"/>
      <c r="CL96" s="27"/>
      <c r="CM96" s="27"/>
      <c r="CN96" s="27"/>
      <c r="CO96" s="27"/>
      <c r="CP96" s="27"/>
      <c r="CQ96" s="27"/>
      <c r="CR96" s="27"/>
      <c r="CS96" s="27"/>
      <c r="CT96" s="27"/>
      <c r="CU96" s="27"/>
      <c r="CV96" s="27"/>
      <c r="CW96" s="27"/>
      <c r="CX96" s="27"/>
      <c r="CY96" s="27"/>
      <c r="CZ96" s="27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7"/>
      <c r="DL96" s="27"/>
      <c r="DM96" s="27"/>
      <c r="DN96" s="27"/>
      <c r="DO96" s="27"/>
      <c r="DP96" s="27"/>
      <c r="DQ96" s="27"/>
      <c r="DR96" s="27"/>
      <c r="DS96" s="27"/>
      <c r="DT96" s="27"/>
      <c r="DU96" s="27"/>
      <c r="DV96" s="27"/>
      <c r="DW96" s="27"/>
      <c r="DX96" s="27"/>
      <c r="DY96" s="27"/>
      <c r="DZ96" s="27"/>
      <c r="EA96" s="27"/>
      <c r="EB96" s="27"/>
      <c r="EC96" s="27"/>
      <c r="ED96" s="27"/>
      <c r="EE96" s="27"/>
      <c r="EF96" s="27"/>
      <c r="EG96" s="27"/>
      <c r="EH96" s="27"/>
      <c r="EI96" s="27"/>
      <c r="EJ96" s="27"/>
      <c r="EK96" s="27"/>
      <c r="EL96" s="27"/>
      <c r="EM96" s="27"/>
      <c r="EN96" s="27"/>
      <c r="EO96" s="27"/>
      <c r="EP96" s="27"/>
      <c r="EQ96" s="27"/>
      <c r="ER96" s="27"/>
      <c r="ES96" s="27"/>
      <c r="ET96" s="27"/>
      <c r="EU96" s="27"/>
      <c r="EV96" s="27"/>
      <c r="EW96" s="27"/>
      <c r="EX96" s="27"/>
      <c r="EY96" s="27"/>
      <c r="EZ96" s="27"/>
      <c r="FA96" s="27"/>
      <c r="FB96" s="27"/>
      <c r="FC96" s="27"/>
      <c r="FD96" s="27"/>
      <c r="FE96" s="27"/>
      <c r="FF96" s="27"/>
      <c r="FG96" s="27"/>
      <c r="FH96" s="27"/>
      <c r="FI96" s="27"/>
      <c r="FJ96" s="27"/>
      <c r="FK96" s="27"/>
      <c r="FL96" s="27"/>
      <c r="FM96" s="27"/>
      <c r="FN96" s="27"/>
      <c r="FO96" s="27"/>
      <c r="FP96" s="27"/>
      <c r="FQ96" s="27"/>
      <c r="FR96" s="27"/>
      <c r="FS96" s="27"/>
      <c r="FT96" s="27"/>
      <c r="FU96" s="27"/>
      <c r="FV96" s="27"/>
      <c r="FW96" s="27"/>
      <c r="FX96" s="27"/>
      <c r="FY96" s="27"/>
      <c r="FZ96" s="27"/>
      <c r="GA96" s="27"/>
      <c r="GB96" s="27"/>
      <c r="GC96" s="27"/>
      <c r="GD96" s="27"/>
      <c r="GE96" s="27"/>
      <c r="GF96" s="27"/>
      <c r="GG96" s="27"/>
      <c r="GH96" s="27"/>
      <c r="GI96" s="27"/>
      <c r="GJ96" s="27"/>
      <c r="GK96" s="27"/>
      <c r="GL96" s="27"/>
      <c r="GM96" s="27"/>
      <c r="GN96" s="27"/>
      <c r="GO96" s="27"/>
      <c r="GP96" s="27"/>
      <c r="GQ96" s="27"/>
      <c r="GR96" s="27"/>
      <c r="GS96" s="27"/>
      <c r="GT96" s="27"/>
      <c r="GU96" s="27"/>
      <c r="GV96" s="27"/>
      <c r="GW96" s="27"/>
      <c r="GX96" s="27"/>
      <c r="GY96" s="27"/>
      <c r="GZ96" s="27"/>
      <c r="HA96" s="27"/>
      <c r="HB96" s="27"/>
      <c r="HC96" s="27"/>
      <c r="HD96" s="27"/>
      <c r="HE96" s="27"/>
      <c r="HF96" s="27"/>
      <c r="HG96" s="27"/>
      <c r="HH96" s="27"/>
      <c r="HI96" s="27"/>
      <c r="HJ96" s="27"/>
      <c r="HK96" s="27"/>
      <c r="HL96" s="27"/>
      <c r="HM96" s="27"/>
      <c r="HN96" s="27"/>
      <c r="HO96" s="27"/>
      <c r="HP96" s="27"/>
      <c r="HQ96" s="27"/>
      <c r="HR96" s="27"/>
      <c r="HS96" s="27"/>
      <c r="HT96" s="27"/>
      <c r="HU96" s="27"/>
      <c r="HV96" s="27"/>
      <c r="HW96" s="27"/>
      <c r="HX96" s="27"/>
      <c r="HY96" s="27"/>
      <c r="HZ96" s="27"/>
      <c r="IA96" s="27"/>
      <c r="IB96" s="27"/>
      <c r="IC96" s="27"/>
      <c r="ID96" s="27"/>
      <c r="IE96" s="27"/>
      <c r="IF96" s="27"/>
      <c r="IG96" s="27"/>
      <c r="IH96" s="27"/>
      <c r="II96" s="27"/>
      <c r="IJ96" s="27"/>
      <c r="IK96" s="27"/>
      <c r="IL96" s="27"/>
      <c r="IM96" s="27"/>
      <c r="IN96" s="27"/>
      <c r="IO96" s="27"/>
      <c r="IP96" s="27"/>
      <c r="IQ96" s="27"/>
      <c r="IR96" s="27"/>
      <c r="IS96" s="27"/>
      <c r="IT96" s="27"/>
      <c r="IU96" s="27"/>
      <c r="IV96" s="27"/>
    </row>
    <row r="97" spans="1:256" x14ac:dyDescent="0.25">
      <c r="A97" s="27"/>
      <c r="B97" s="27"/>
      <c r="C97" s="28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27"/>
      <c r="AD97" s="27"/>
      <c r="AE97" s="27"/>
      <c r="AF97" s="27"/>
      <c r="AG97" s="27"/>
      <c r="AH97" s="27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  <c r="BW97" s="27"/>
      <c r="BX97" s="27"/>
      <c r="BY97" s="27"/>
      <c r="BZ97" s="27"/>
      <c r="CA97" s="27"/>
      <c r="CB97" s="27"/>
      <c r="CC97" s="27"/>
      <c r="CD97" s="27"/>
      <c r="CE97" s="27"/>
      <c r="CF97" s="27"/>
      <c r="CG97" s="27"/>
      <c r="CH97" s="27"/>
      <c r="CI97" s="27"/>
      <c r="CJ97" s="27"/>
      <c r="CK97" s="27"/>
      <c r="CL97" s="27"/>
      <c r="CM97" s="27"/>
      <c r="CN97" s="27"/>
      <c r="CO97" s="27"/>
      <c r="CP97" s="27"/>
      <c r="CQ97" s="27"/>
      <c r="CR97" s="27"/>
      <c r="CS97" s="27"/>
      <c r="CT97" s="27"/>
      <c r="CU97" s="27"/>
      <c r="CV97" s="27"/>
      <c r="CW97" s="27"/>
      <c r="CX97" s="27"/>
      <c r="CY97" s="27"/>
      <c r="CZ97" s="27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7"/>
      <c r="DL97" s="27"/>
      <c r="DM97" s="27"/>
      <c r="DN97" s="27"/>
      <c r="DO97" s="27"/>
      <c r="DP97" s="27"/>
      <c r="DQ97" s="27"/>
      <c r="DR97" s="27"/>
      <c r="DS97" s="27"/>
      <c r="DT97" s="27"/>
      <c r="DU97" s="27"/>
      <c r="DV97" s="27"/>
      <c r="DW97" s="27"/>
      <c r="DX97" s="27"/>
      <c r="DY97" s="27"/>
      <c r="DZ97" s="27"/>
      <c r="EA97" s="27"/>
      <c r="EB97" s="27"/>
      <c r="EC97" s="27"/>
      <c r="ED97" s="27"/>
      <c r="EE97" s="27"/>
      <c r="EF97" s="27"/>
      <c r="EG97" s="27"/>
      <c r="EH97" s="27"/>
      <c r="EI97" s="27"/>
      <c r="EJ97" s="27"/>
      <c r="EK97" s="27"/>
      <c r="EL97" s="27"/>
      <c r="EM97" s="27"/>
      <c r="EN97" s="27"/>
      <c r="EO97" s="27"/>
      <c r="EP97" s="27"/>
      <c r="EQ97" s="27"/>
      <c r="ER97" s="27"/>
      <c r="ES97" s="27"/>
      <c r="ET97" s="27"/>
      <c r="EU97" s="27"/>
      <c r="EV97" s="27"/>
      <c r="EW97" s="27"/>
      <c r="EX97" s="27"/>
      <c r="EY97" s="27"/>
      <c r="EZ97" s="27"/>
      <c r="FA97" s="27"/>
      <c r="FB97" s="27"/>
      <c r="FC97" s="27"/>
      <c r="FD97" s="27"/>
      <c r="FE97" s="27"/>
      <c r="FF97" s="27"/>
      <c r="FG97" s="27"/>
      <c r="FH97" s="27"/>
      <c r="FI97" s="27"/>
      <c r="FJ97" s="27"/>
      <c r="FK97" s="27"/>
      <c r="FL97" s="27"/>
      <c r="FM97" s="27"/>
      <c r="FN97" s="27"/>
      <c r="FO97" s="27"/>
      <c r="FP97" s="27"/>
      <c r="FQ97" s="27"/>
      <c r="FR97" s="27"/>
      <c r="FS97" s="27"/>
      <c r="FT97" s="27"/>
      <c r="FU97" s="27"/>
      <c r="FV97" s="27"/>
      <c r="FW97" s="27"/>
      <c r="FX97" s="27"/>
      <c r="FY97" s="27"/>
      <c r="FZ97" s="27"/>
      <c r="GA97" s="27"/>
      <c r="GB97" s="27"/>
      <c r="GC97" s="27"/>
      <c r="GD97" s="27"/>
      <c r="GE97" s="27"/>
      <c r="GF97" s="27"/>
      <c r="GG97" s="27"/>
      <c r="GH97" s="27"/>
      <c r="GI97" s="27"/>
      <c r="GJ97" s="27"/>
      <c r="GK97" s="27"/>
      <c r="GL97" s="27"/>
      <c r="GM97" s="27"/>
      <c r="GN97" s="27"/>
      <c r="GO97" s="27"/>
      <c r="GP97" s="27"/>
      <c r="GQ97" s="27"/>
      <c r="GR97" s="27"/>
      <c r="GS97" s="27"/>
      <c r="GT97" s="27"/>
      <c r="GU97" s="27"/>
      <c r="GV97" s="27"/>
      <c r="GW97" s="27"/>
      <c r="GX97" s="27"/>
      <c r="GY97" s="27"/>
      <c r="GZ97" s="27"/>
      <c r="HA97" s="27"/>
      <c r="HB97" s="27"/>
      <c r="HC97" s="27"/>
      <c r="HD97" s="27"/>
      <c r="HE97" s="27"/>
      <c r="HF97" s="27"/>
      <c r="HG97" s="27"/>
      <c r="HH97" s="27"/>
      <c r="HI97" s="27"/>
      <c r="HJ97" s="27"/>
      <c r="HK97" s="27"/>
      <c r="HL97" s="27"/>
      <c r="HM97" s="27"/>
      <c r="HN97" s="27"/>
      <c r="HO97" s="27"/>
      <c r="HP97" s="27"/>
      <c r="HQ97" s="27"/>
      <c r="HR97" s="27"/>
      <c r="HS97" s="27"/>
      <c r="HT97" s="27"/>
      <c r="HU97" s="27"/>
      <c r="HV97" s="27"/>
      <c r="HW97" s="27"/>
      <c r="HX97" s="27"/>
      <c r="HY97" s="27"/>
      <c r="HZ97" s="27"/>
      <c r="IA97" s="27"/>
      <c r="IB97" s="27"/>
      <c r="IC97" s="27"/>
      <c r="ID97" s="27"/>
      <c r="IE97" s="27"/>
      <c r="IF97" s="27"/>
      <c r="IG97" s="27"/>
      <c r="IH97" s="27"/>
      <c r="II97" s="27"/>
      <c r="IJ97" s="27"/>
      <c r="IK97" s="27"/>
      <c r="IL97" s="27"/>
      <c r="IM97" s="27"/>
      <c r="IN97" s="27"/>
      <c r="IO97" s="27"/>
      <c r="IP97" s="27"/>
      <c r="IQ97" s="27"/>
      <c r="IR97" s="27"/>
      <c r="IS97" s="27"/>
      <c r="IT97" s="27"/>
      <c r="IU97" s="27"/>
      <c r="IV97" s="27"/>
    </row>
    <row r="98" spans="1:256" x14ac:dyDescent="0.25">
      <c r="A98" s="27"/>
      <c r="B98" s="27"/>
      <c r="C98" s="28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27"/>
      <c r="AD98" s="27"/>
      <c r="AE98" s="27"/>
      <c r="AF98" s="27"/>
      <c r="AG98" s="27"/>
      <c r="AH98" s="27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  <c r="BW98" s="27"/>
      <c r="BX98" s="27"/>
      <c r="BY98" s="27"/>
      <c r="BZ98" s="27"/>
      <c r="CA98" s="27"/>
      <c r="CB98" s="27"/>
      <c r="CC98" s="27"/>
      <c r="CD98" s="27"/>
      <c r="CE98" s="27"/>
      <c r="CF98" s="27"/>
      <c r="CG98" s="27"/>
      <c r="CH98" s="27"/>
      <c r="CI98" s="27"/>
      <c r="CJ98" s="27"/>
      <c r="CK98" s="27"/>
      <c r="CL98" s="27"/>
      <c r="CM98" s="27"/>
      <c r="CN98" s="27"/>
      <c r="CO98" s="27"/>
      <c r="CP98" s="27"/>
      <c r="CQ98" s="27"/>
      <c r="CR98" s="27"/>
      <c r="CS98" s="27"/>
      <c r="CT98" s="27"/>
      <c r="CU98" s="27"/>
      <c r="CV98" s="27"/>
      <c r="CW98" s="27"/>
      <c r="CX98" s="27"/>
      <c r="CY98" s="27"/>
      <c r="CZ98" s="27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7"/>
      <c r="DL98" s="27"/>
      <c r="DM98" s="27"/>
      <c r="DN98" s="27"/>
      <c r="DO98" s="27"/>
      <c r="DP98" s="27"/>
      <c r="DQ98" s="27"/>
      <c r="DR98" s="27"/>
      <c r="DS98" s="27"/>
      <c r="DT98" s="27"/>
      <c r="DU98" s="27"/>
      <c r="DV98" s="27"/>
      <c r="DW98" s="27"/>
      <c r="DX98" s="27"/>
      <c r="DY98" s="27"/>
      <c r="DZ98" s="27"/>
      <c r="EA98" s="27"/>
      <c r="EB98" s="27"/>
      <c r="EC98" s="27"/>
      <c r="ED98" s="27"/>
      <c r="EE98" s="27"/>
      <c r="EF98" s="27"/>
      <c r="EG98" s="27"/>
      <c r="EH98" s="27"/>
      <c r="EI98" s="27"/>
      <c r="EJ98" s="27"/>
      <c r="EK98" s="27"/>
      <c r="EL98" s="27"/>
      <c r="EM98" s="27"/>
      <c r="EN98" s="27"/>
      <c r="EO98" s="27"/>
      <c r="EP98" s="27"/>
      <c r="EQ98" s="27"/>
      <c r="ER98" s="27"/>
      <c r="ES98" s="27"/>
      <c r="ET98" s="27"/>
      <c r="EU98" s="27"/>
      <c r="EV98" s="27"/>
      <c r="EW98" s="27"/>
      <c r="EX98" s="27"/>
      <c r="EY98" s="27"/>
      <c r="EZ98" s="27"/>
      <c r="FA98" s="27"/>
      <c r="FB98" s="27"/>
      <c r="FC98" s="27"/>
      <c r="FD98" s="27"/>
      <c r="FE98" s="27"/>
      <c r="FF98" s="27"/>
      <c r="FG98" s="27"/>
      <c r="FH98" s="27"/>
      <c r="FI98" s="27"/>
      <c r="FJ98" s="27"/>
      <c r="FK98" s="27"/>
      <c r="FL98" s="27"/>
      <c r="FM98" s="27"/>
      <c r="FN98" s="27"/>
      <c r="FO98" s="27"/>
      <c r="FP98" s="27"/>
      <c r="FQ98" s="27"/>
      <c r="FR98" s="27"/>
      <c r="FS98" s="27"/>
      <c r="FT98" s="27"/>
      <c r="FU98" s="27"/>
      <c r="FV98" s="27"/>
      <c r="FW98" s="27"/>
      <c r="FX98" s="27"/>
      <c r="FY98" s="27"/>
      <c r="FZ98" s="27"/>
      <c r="GA98" s="27"/>
      <c r="GB98" s="27"/>
      <c r="GC98" s="27"/>
      <c r="GD98" s="27"/>
      <c r="GE98" s="27"/>
      <c r="GF98" s="27"/>
      <c r="GG98" s="27"/>
      <c r="GH98" s="27"/>
      <c r="GI98" s="27"/>
      <c r="GJ98" s="27"/>
      <c r="GK98" s="27"/>
      <c r="GL98" s="27"/>
      <c r="GM98" s="27"/>
      <c r="GN98" s="27"/>
      <c r="GO98" s="27"/>
      <c r="GP98" s="27"/>
      <c r="GQ98" s="27"/>
      <c r="GR98" s="27"/>
      <c r="GS98" s="27"/>
      <c r="GT98" s="27"/>
      <c r="GU98" s="27"/>
      <c r="GV98" s="27"/>
      <c r="GW98" s="27"/>
      <c r="GX98" s="27"/>
      <c r="GY98" s="27"/>
      <c r="GZ98" s="27"/>
      <c r="HA98" s="27"/>
      <c r="HB98" s="27"/>
      <c r="HC98" s="27"/>
      <c r="HD98" s="27"/>
      <c r="HE98" s="27"/>
      <c r="HF98" s="27"/>
      <c r="HG98" s="27"/>
      <c r="HH98" s="27"/>
      <c r="HI98" s="27"/>
      <c r="HJ98" s="27"/>
      <c r="HK98" s="27"/>
      <c r="HL98" s="27"/>
      <c r="HM98" s="27"/>
      <c r="HN98" s="27"/>
      <c r="HO98" s="27"/>
      <c r="HP98" s="27"/>
      <c r="HQ98" s="27"/>
      <c r="HR98" s="27"/>
      <c r="HS98" s="27"/>
      <c r="HT98" s="27"/>
      <c r="HU98" s="27"/>
      <c r="HV98" s="27"/>
      <c r="HW98" s="27"/>
      <c r="HX98" s="27"/>
      <c r="HY98" s="27"/>
      <c r="HZ98" s="27"/>
      <c r="IA98" s="27"/>
      <c r="IB98" s="27"/>
      <c r="IC98" s="27"/>
      <c r="ID98" s="27"/>
      <c r="IE98" s="27"/>
      <c r="IF98" s="27"/>
      <c r="IG98" s="27"/>
      <c r="IH98" s="27"/>
      <c r="II98" s="27"/>
      <c r="IJ98" s="27"/>
      <c r="IK98" s="27"/>
      <c r="IL98" s="27"/>
      <c r="IM98" s="27"/>
      <c r="IN98" s="27"/>
      <c r="IO98" s="27"/>
      <c r="IP98" s="27"/>
      <c r="IQ98" s="27"/>
      <c r="IR98" s="27"/>
      <c r="IS98" s="27"/>
      <c r="IT98" s="27"/>
      <c r="IU98" s="27"/>
      <c r="IV98" s="27"/>
    </row>
    <row r="99" spans="1:256" x14ac:dyDescent="0.25">
      <c r="A99" s="27"/>
      <c r="B99" s="27"/>
      <c r="C99" s="28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27"/>
      <c r="AD99" s="27"/>
      <c r="AE99" s="27"/>
      <c r="AF99" s="27"/>
      <c r="AG99" s="27"/>
      <c r="AH99" s="27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  <c r="BW99" s="27"/>
      <c r="BX99" s="27"/>
      <c r="BY99" s="27"/>
      <c r="BZ99" s="27"/>
      <c r="CA99" s="27"/>
      <c r="CB99" s="27"/>
      <c r="CC99" s="27"/>
      <c r="CD99" s="27"/>
      <c r="CE99" s="27"/>
      <c r="CF99" s="27"/>
      <c r="CG99" s="27"/>
      <c r="CH99" s="27"/>
      <c r="CI99" s="27"/>
      <c r="CJ99" s="27"/>
      <c r="CK99" s="27"/>
      <c r="CL99" s="27"/>
      <c r="CM99" s="27"/>
      <c r="CN99" s="27"/>
      <c r="CO99" s="27"/>
      <c r="CP99" s="27"/>
      <c r="CQ99" s="27"/>
      <c r="CR99" s="27"/>
      <c r="CS99" s="27"/>
      <c r="CT99" s="27"/>
      <c r="CU99" s="27"/>
      <c r="CV99" s="27"/>
      <c r="CW99" s="27"/>
      <c r="CX99" s="27"/>
      <c r="CY99" s="27"/>
      <c r="CZ99" s="27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7"/>
      <c r="DL99" s="27"/>
      <c r="DM99" s="27"/>
      <c r="DN99" s="27"/>
      <c r="DO99" s="27"/>
      <c r="DP99" s="27"/>
      <c r="DQ99" s="27"/>
      <c r="DR99" s="27"/>
      <c r="DS99" s="27"/>
      <c r="DT99" s="27"/>
      <c r="DU99" s="27"/>
      <c r="DV99" s="27"/>
      <c r="DW99" s="27"/>
      <c r="DX99" s="27"/>
      <c r="DY99" s="27"/>
      <c r="DZ99" s="27"/>
      <c r="EA99" s="27"/>
      <c r="EB99" s="27"/>
      <c r="EC99" s="27"/>
      <c r="ED99" s="27"/>
      <c r="EE99" s="27"/>
      <c r="EF99" s="27"/>
      <c r="EG99" s="27"/>
      <c r="EH99" s="27"/>
      <c r="EI99" s="27"/>
      <c r="EJ99" s="27"/>
      <c r="EK99" s="27"/>
      <c r="EL99" s="27"/>
      <c r="EM99" s="27"/>
      <c r="EN99" s="27"/>
      <c r="EO99" s="27"/>
      <c r="EP99" s="27"/>
      <c r="EQ99" s="27"/>
      <c r="ER99" s="27"/>
      <c r="ES99" s="27"/>
      <c r="ET99" s="27"/>
      <c r="EU99" s="27"/>
      <c r="EV99" s="27"/>
      <c r="EW99" s="27"/>
      <c r="EX99" s="27"/>
      <c r="EY99" s="27"/>
      <c r="EZ99" s="27"/>
      <c r="FA99" s="27"/>
      <c r="FB99" s="27"/>
      <c r="FC99" s="27"/>
      <c r="FD99" s="27"/>
      <c r="FE99" s="27"/>
      <c r="FF99" s="27"/>
      <c r="FG99" s="27"/>
      <c r="FH99" s="27"/>
      <c r="FI99" s="27"/>
      <c r="FJ99" s="27"/>
      <c r="FK99" s="27"/>
      <c r="FL99" s="27"/>
      <c r="FM99" s="27"/>
      <c r="FN99" s="27"/>
      <c r="FO99" s="27"/>
      <c r="FP99" s="27"/>
      <c r="FQ99" s="27"/>
      <c r="FR99" s="27"/>
      <c r="FS99" s="27"/>
      <c r="FT99" s="27"/>
      <c r="FU99" s="27"/>
      <c r="FV99" s="27"/>
      <c r="FW99" s="27"/>
      <c r="FX99" s="27"/>
      <c r="FY99" s="27"/>
      <c r="FZ99" s="27"/>
      <c r="GA99" s="27"/>
      <c r="GB99" s="27"/>
      <c r="GC99" s="27"/>
      <c r="GD99" s="27"/>
      <c r="GE99" s="27"/>
      <c r="GF99" s="27"/>
      <c r="GG99" s="27"/>
      <c r="GH99" s="27"/>
      <c r="GI99" s="27"/>
      <c r="GJ99" s="27"/>
      <c r="GK99" s="27"/>
      <c r="GL99" s="27"/>
      <c r="GM99" s="27"/>
      <c r="GN99" s="27"/>
      <c r="GO99" s="27"/>
      <c r="GP99" s="27"/>
      <c r="GQ99" s="27"/>
      <c r="GR99" s="27"/>
      <c r="GS99" s="27"/>
      <c r="GT99" s="27"/>
      <c r="GU99" s="27"/>
      <c r="GV99" s="27"/>
      <c r="GW99" s="27"/>
      <c r="GX99" s="27"/>
      <c r="GY99" s="27"/>
      <c r="GZ99" s="27"/>
      <c r="HA99" s="27"/>
      <c r="HB99" s="27"/>
      <c r="HC99" s="27"/>
      <c r="HD99" s="27"/>
      <c r="HE99" s="27"/>
      <c r="HF99" s="27"/>
      <c r="HG99" s="27"/>
      <c r="HH99" s="27"/>
      <c r="HI99" s="27"/>
      <c r="HJ99" s="27"/>
      <c r="HK99" s="27"/>
      <c r="HL99" s="27"/>
      <c r="HM99" s="27"/>
      <c r="HN99" s="27"/>
      <c r="HO99" s="27"/>
      <c r="HP99" s="27"/>
      <c r="HQ99" s="27"/>
      <c r="HR99" s="27"/>
      <c r="HS99" s="27"/>
      <c r="HT99" s="27"/>
      <c r="HU99" s="27"/>
      <c r="HV99" s="27"/>
      <c r="HW99" s="27"/>
      <c r="HX99" s="27"/>
      <c r="HY99" s="27"/>
      <c r="HZ99" s="27"/>
      <c r="IA99" s="27"/>
      <c r="IB99" s="27"/>
      <c r="IC99" s="27"/>
      <c r="ID99" s="27"/>
      <c r="IE99" s="27"/>
      <c r="IF99" s="27"/>
      <c r="IG99" s="27"/>
      <c r="IH99" s="27"/>
      <c r="II99" s="27"/>
      <c r="IJ99" s="27"/>
      <c r="IK99" s="27"/>
      <c r="IL99" s="27"/>
      <c r="IM99" s="27"/>
      <c r="IN99" s="27"/>
      <c r="IO99" s="27"/>
      <c r="IP99" s="27"/>
      <c r="IQ99" s="27"/>
      <c r="IR99" s="27"/>
      <c r="IS99" s="27"/>
      <c r="IT99" s="27"/>
      <c r="IU99" s="27"/>
      <c r="IV99" s="27"/>
    </row>
    <row r="100" spans="1:256" x14ac:dyDescent="0.25">
      <c r="A100" s="27"/>
      <c r="B100" s="27"/>
      <c r="C100" s="28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27"/>
      <c r="AD100" s="27"/>
      <c r="AE100" s="27"/>
      <c r="AF100" s="27"/>
      <c r="AG100" s="27"/>
      <c r="AH100" s="27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  <c r="BW100" s="27"/>
      <c r="BX100" s="27"/>
      <c r="BY100" s="27"/>
      <c r="BZ100" s="27"/>
      <c r="CA100" s="27"/>
      <c r="CB100" s="27"/>
      <c r="CC100" s="27"/>
      <c r="CD100" s="27"/>
      <c r="CE100" s="27"/>
      <c r="CF100" s="27"/>
      <c r="CG100" s="27"/>
      <c r="CH100" s="27"/>
      <c r="CI100" s="27"/>
      <c r="CJ100" s="27"/>
      <c r="CK100" s="27"/>
      <c r="CL100" s="27"/>
      <c r="CM100" s="27"/>
      <c r="CN100" s="27"/>
      <c r="CO100" s="27"/>
      <c r="CP100" s="27"/>
      <c r="CQ100" s="27"/>
      <c r="CR100" s="27"/>
      <c r="CS100" s="27"/>
      <c r="CT100" s="27"/>
      <c r="CU100" s="27"/>
      <c r="CV100" s="27"/>
      <c r="CW100" s="27"/>
      <c r="CX100" s="27"/>
      <c r="CY100" s="27"/>
      <c r="CZ100" s="27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7"/>
      <c r="DL100" s="27"/>
      <c r="DM100" s="27"/>
      <c r="DN100" s="27"/>
      <c r="DO100" s="27"/>
      <c r="DP100" s="27"/>
      <c r="DQ100" s="27"/>
      <c r="DR100" s="27"/>
      <c r="DS100" s="27"/>
      <c r="DT100" s="27"/>
      <c r="DU100" s="27"/>
      <c r="DV100" s="27"/>
      <c r="DW100" s="27"/>
      <c r="DX100" s="27"/>
      <c r="DY100" s="27"/>
      <c r="DZ100" s="27"/>
      <c r="EA100" s="27"/>
      <c r="EB100" s="27"/>
      <c r="EC100" s="27"/>
      <c r="ED100" s="27"/>
      <c r="EE100" s="27"/>
      <c r="EF100" s="27"/>
      <c r="EG100" s="27"/>
      <c r="EH100" s="27"/>
      <c r="EI100" s="27"/>
      <c r="EJ100" s="27"/>
      <c r="EK100" s="27"/>
      <c r="EL100" s="27"/>
      <c r="EM100" s="27"/>
      <c r="EN100" s="27"/>
      <c r="EO100" s="27"/>
      <c r="EP100" s="27"/>
      <c r="EQ100" s="27"/>
      <c r="ER100" s="27"/>
      <c r="ES100" s="27"/>
      <c r="ET100" s="27"/>
      <c r="EU100" s="27"/>
      <c r="EV100" s="27"/>
      <c r="EW100" s="27"/>
      <c r="EX100" s="27"/>
      <c r="EY100" s="27"/>
      <c r="EZ100" s="27"/>
      <c r="FA100" s="27"/>
      <c r="FB100" s="27"/>
      <c r="FC100" s="27"/>
      <c r="FD100" s="27"/>
      <c r="FE100" s="27"/>
      <c r="FF100" s="27"/>
      <c r="FG100" s="27"/>
      <c r="FH100" s="27"/>
      <c r="FI100" s="27"/>
      <c r="FJ100" s="27"/>
      <c r="FK100" s="27"/>
      <c r="FL100" s="27"/>
      <c r="FM100" s="27"/>
      <c r="FN100" s="27"/>
      <c r="FO100" s="27"/>
      <c r="FP100" s="27"/>
      <c r="FQ100" s="27"/>
      <c r="FR100" s="27"/>
      <c r="FS100" s="27"/>
      <c r="FT100" s="27"/>
      <c r="FU100" s="27"/>
      <c r="FV100" s="27"/>
      <c r="FW100" s="27"/>
      <c r="FX100" s="27"/>
      <c r="FY100" s="27"/>
      <c r="FZ100" s="27"/>
      <c r="GA100" s="27"/>
      <c r="GB100" s="27"/>
      <c r="GC100" s="27"/>
      <c r="GD100" s="27"/>
      <c r="GE100" s="27"/>
      <c r="GF100" s="27"/>
      <c r="GG100" s="27"/>
      <c r="GH100" s="27"/>
      <c r="GI100" s="27"/>
      <c r="GJ100" s="27"/>
      <c r="GK100" s="27"/>
      <c r="GL100" s="27"/>
      <c r="GM100" s="27"/>
      <c r="GN100" s="27"/>
      <c r="GO100" s="27"/>
      <c r="GP100" s="27"/>
      <c r="GQ100" s="27"/>
      <c r="GR100" s="27"/>
      <c r="GS100" s="27"/>
      <c r="GT100" s="27"/>
      <c r="GU100" s="27"/>
      <c r="GV100" s="27"/>
      <c r="GW100" s="27"/>
      <c r="GX100" s="27"/>
      <c r="GY100" s="27"/>
      <c r="GZ100" s="27"/>
      <c r="HA100" s="27"/>
      <c r="HB100" s="27"/>
      <c r="HC100" s="27"/>
      <c r="HD100" s="27"/>
      <c r="HE100" s="27"/>
      <c r="HF100" s="27"/>
      <c r="HG100" s="27"/>
      <c r="HH100" s="27"/>
      <c r="HI100" s="27"/>
      <c r="HJ100" s="27"/>
      <c r="HK100" s="27"/>
      <c r="HL100" s="27"/>
      <c r="HM100" s="27"/>
      <c r="HN100" s="27"/>
      <c r="HO100" s="27"/>
      <c r="HP100" s="27"/>
      <c r="HQ100" s="27"/>
      <c r="HR100" s="27"/>
      <c r="HS100" s="27"/>
      <c r="HT100" s="27"/>
      <c r="HU100" s="27"/>
      <c r="HV100" s="27"/>
      <c r="HW100" s="27"/>
      <c r="HX100" s="27"/>
      <c r="HY100" s="27"/>
      <c r="HZ100" s="27"/>
      <c r="IA100" s="27"/>
      <c r="IB100" s="27"/>
      <c r="IC100" s="27"/>
      <c r="ID100" s="27"/>
      <c r="IE100" s="27"/>
      <c r="IF100" s="27"/>
      <c r="IG100" s="27"/>
      <c r="IH100" s="27"/>
      <c r="II100" s="27"/>
      <c r="IJ100" s="27"/>
      <c r="IK100" s="27"/>
      <c r="IL100" s="27"/>
      <c r="IM100" s="27"/>
      <c r="IN100" s="27"/>
      <c r="IO100" s="27"/>
      <c r="IP100" s="27"/>
      <c r="IQ100" s="27"/>
      <c r="IR100" s="27"/>
      <c r="IS100" s="27"/>
      <c r="IT100" s="27"/>
      <c r="IU100" s="27"/>
      <c r="IV100" s="2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A17" workbookViewId="0">
      <selection activeCell="E51" sqref="E51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tabSelected="1" workbookViewId="0">
      <selection activeCell="K24" sqref="K24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26" t="s">
        <v>12</v>
      </c>
      <c r="B2" s="14">
        <v>0</v>
      </c>
    </row>
    <row r="4" spans="1:18" ht="15.75" thickBot="1" x14ac:dyDescent="0.3"/>
    <row r="5" spans="1:18" s="17" customFormat="1" ht="23.25" x14ac:dyDescent="0.35">
      <c r="A5" s="48" t="s">
        <v>13</v>
      </c>
      <c r="B5" s="15">
        <v>0</v>
      </c>
      <c r="C5" s="15">
        <f>IF(F16="palpatine",163,168)</f>
        <v>163</v>
      </c>
      <c r="D5" s="15">
        <f>IF(F16="palpatine",329,340)</f>
        <v>329</v>
      </c>
      <c r="E5" s="15">
        <f>IF(F16="palpatine",501,518)</f>
        <v>501</v>
      </c>
      <c r="F5" s="15">
        <f>IF(F16="palpatine",682,706)</f>
        <v>682</v>
      </c>
      <c r="G5" s="15">
        <f>IF(F16="palpatine",876,908)</f>
        <v>876</v>
      </c>
      <c r="H5" s="15">
        <f>IF(F16="palpatine",1090,1131)</f>
        <v>1090</v>
      </c>
      <c r="I5" s="15">
        <f>IF(F16="palpatine",1328,1383)</f>
        <v>1328</v>
      </c>
      <c r="J5" s="15">
        <f>IF(F16="palpatine",1600,1674)</f>
        <v>1600</v>
      </c>
      <c r="K5" s="15">
        <f>IF(F16="palpatine",1919,2019)</f>
        <v>1919</v>
      </c>
      <c r="L5" s="15">
        <f>IF(F16="palpatine",2301,2442)</f>
        <v>2301</v>
      </c>
      <c r="M5" s="15">
        <f>IF(F16="palpatine",2773,2981)</f>
        <v>2773</v>
      </c>
      <c r="N5" s="15">
        <f>IF(F16="palpatine",3370,3693)</f>
        <v>3370</v>
      </c>
      <c r="O5" s="15">
        <f>IF(F16="palpatine",4140,4672)</f>
        <v>4140</v>
      </c>
      <c r="P5" s="15">
        <f>IF(F16="palpatine",5136,6059)</f>
        <v>5136</v>
      </c>
      <c r="Q5" s="15">
        <f>IF(F16="palpatine",6383,7997)</f>
        <v>6383</v>
      </c>
      <c r="R5" s="16">
        <f>IF(F16="palpatine",7812,10417)</f>
        <v>7812</v>
      </c>
    </row>
    <row r="6" spans="1:18" s="17" customFormat="1" ht="24" thickBot="1" x14ac:dyDescent="0.4">
      <c r="A6" s="49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50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 t="str">
        <f>IF(F16="palpatine","",8000)</f>
        <v/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51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10</v>
      </c>
      <c r="G13" s="11"/>
    </row>
    <row r="14" spans="1:18" ht="18.75" x14ac:dyDescent="0.3">
      <c r="G14" s="24" t="s">
        <v>11</v>
      </c>
    </row>
    <row r="15" spans="1:18" ht="19.5" thickBot="1" x14ac:dyDescent="0.35">
      <c r="G15" s="13"/>
    </row>
    <row r="16" spans="1:18" ht="21.75" thickBot="1" x14ac:dyDescent="0.4">
      <c r="F16" s="43" t="s">
        <v>5</v>
      </c>
      <c r="G16" s="23">
        <f>IF(F16="palpatine",Palpatine,Dooku)</f>
        <v>6</v>
      </c>
      <c r="H16" s="24"/>
    </row>
    <row r="17" spans="6:11" ht="19.5" thickBot="1" x14ac:dyDescent="0.35">
      <c r="G17" s="13"/>
    </row>
    <row r="18" spans="6:11" ht="15.75" thickBot="1" x14ac:dyDescent="0.3">
      <c r="F18" s="25" t="s">
        <v>9</v>
      </c>
      <c r="G18" s="52" t="s">
        <v>21</v>
      </c>
      <c r="H18" s="52"/>
      <c r="I18" s="52"/>
      <c r="J18" s="52"/>
      <c r="K18" s="53"/>
    </row>
  </sheetData>
  <dataConsolidate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19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163</v>
      </c>
      <c r="E7" s="1">
        <f>import!D5</f>
        <v>329</v>
      </c>
      <c r="F7" s="1">
        <f>import!E5</f>
        <v>501</v>
      </c>
      <c r="G7" s="1">
        <f>import!F5</f>
        <v>682</v>
      </c>
      <c r="H7" s="1">
        <f>import!G5</f>
        <v>876</v>
      </c>
      <c r="I7" s="1">
        <f>import!H5</f>
        <v>1090</v>
      </c>
      <c r="J7" s="1">
        <f>import!I5</f>
        <v>1328</v>
      </c>
      <c r="K7" s="1">
        <f>import!J5</f>
        <v>1600</v>
      </c>
      <c r="L7" s="1">
        <f>import!K5</f>
        <v>1919</v>
      </c>
      <c r="M7" s="1">
        <f>import!L5</f>
        <v>2301</v>
      </c>
      <c r="N7" s="1">
        <f>import!M5</f>
        <v>2773</v>
      </c>
      <c r="O7" s="1">
        <f>import!N5</f>
        <v>3370</v>
      </c>
      <c r="P7" s="1">
        <f>import!O5</f>
        <v>4140</v>
      </c>
      <c r="Q7" s="1">
        <f>import!P5</f>
        <v>5136</v>
      </c>
      <c r="R7" s="1">
        <f>import!Q5</f>
        <v>6383</v>
      </c>
      <c r="S7" s="1">
        <f>import!R5</f>
        <v>7812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-15</v>
      </c>
      <c r="D8" s="3">
        <f>import!C6+import!$B$2-import!$G$16</f>
        <v>-15</v>
      </c>
      <c r="E8" s="3">
        <f>import!D6+import!$B$2-import!$G$16</f>
        <v>-15</v>
      </c>
      <c r="F8" s="3">
        <f>import!E6+import!$B$2-import!$G$16</f>
        <v>-15</v>
      </c>
      <c r="G8" s="3">
        <f>import!F6+import!$B$2-import!$G$16</f>
        <v>-14</v>
      </c>
      <c r="H8" s="3">
        <f>import!G6+import!$B$2-import!$G$16</f>
        <v>-13</v>
      </c>
      <c r="I8" s="3">
        <f>import!H6+import!$B$2-import!$G$16</f>
        <v>-16</v>
      </c>
      <c r="J8" s="3">
        <f>import!I6+import!$B$2-import!$G$16</f>
        <v>-16</v>
      </c>
      <c r="K8" s="3">
        <f>import!J6+import!$B$2-import!$G$16</f>
        <v>-14</v>
      </c>
      <c r="L8" s="3">
        <f>import!K6+import!$B$2-import!$G$16</f>
        <v>-13</v>
      </c>
      <c r="M8" s="3">
        <f>import!L6+import!$B$2-import!$G$16</f>
        <v>-10</v>
      </c>
      <c r="N8" s="3">
        <f>import!M6+import!$B$2-import!$G$16</f>
        <v>-11</v>
      </c>
      <c r="O8" s="3">
        <f>import!N6+import!$B$2-import!$G$16</f>
        <v>-6</v>
      </c>
      <c r="P8" s="3">
        <f>import!O6+import!$B$2-import!$G$16</f>
        <v>-4</v>
      </c>
      <c r="Q8" s="3">
        <f>import!P6+import!$B$2-import!$G$16</f>
        <v>-7</v>
      </c>
      <c r="R8" s="3">
        <f>import!Q6+import!$B$2-import!$G$16</f>
        <v>-6</v>
      </c>
      <c r="S8" s="3">
        <f>import!R6+import!$B$2-import!$G$16</f>
        <v>-6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62.03125</v>
      </c>
      <c r="E10" s="3">
        <f>IF(import!$F$16="palpatine",calibration!E15,calibration!E14)</f>
        <v>123.0625</v>
      </c>
      <c r="F10" s="3">
        <f>IF(import!$F$16="palpatine",calibration!F15,calibration!F14)</f>
        <v>184.09375</v>
      </c>
      <c r="G10" s="3">
        <f>IF(import!$F$16="palpatine",calibration!G15,calibration!G14)</f>
        <v>245.125</v>
      </c>
      <c r="H10" s="3">
        <f>IF(import!$F$16="palpatine",calibration!H15,calibration!H14)</f>
        <v>306.15625</v>
      </c>
      <c r="I10" s="3">
        <f>IF(import!$F$16="palpatine",calibration!I15,calibration!I14)</f>
        <v>367.1875</v>
      </c>
      <c r="J10" s="3">
        <f>IF(import!$F$16="palpatine",calibration!J15,calibration!J14)</f>
        <v>428.21875</v>
      </c>
      <c r="K10" s="3">
        <f>IF(import!$F$16="palpatine",calibration!K15,calibration!K14)</f>
        <v>489.25</v>
      </c>
      <c r="L10" s="3">
        <f>IF(import!$F$16="palpatine",calibration!L15,calibration!L14)</f>
        <v>550.28125</v>
      </c>
      <c r="M10" s="3">
        <f>IF(import!$F$16="palpatine",calibration!M15,calibration!M14)</f>
        <v>611.3125</v>
      </c>
      <c r="N10" s="3">
        <f>IF(import!$F$16="palpatine",calibration!N15,calibration!N14)</f>
        <v>672.34375</v>
      </c>
      <c r="O10" s="3">
        <f>IF(import!$F$16="palpatine",calibration!O15,calibration!O14)</f>
        <v>733.375</v>
      </c>
      <c r="P10" s="3">
        <f>IF(import!$F$16="palpatine",calibration!P15,calibration!P14)</f>
        <v>794.40625</v>
      </c>
      <c r="Q10" s="3">
        <f>IF(import!$F$16="palpatine",calibration!Q15,calibration!Q14)</f>
        <v>855.4375</v>
      </c>
      <c r="R10" s="3">
        <f>IF(import!$F$16="palpatine",calibration!R15,calibration!R14)</f>
        <v>916.46875</v>
      </c>
      <c r="S10" s="3">
        <f>IF(import!$F$16="palpatine",calibration!S15,calibration!S14)</f>
        <v>977.5</v>
      </c>
      <c r="T10" s="3">
        <f>IF(import!$F$16="palpatine",calibration!T15,calibration!T14)</f>
        <v>1038.53125</v>
      </c>
      <c r="U10" s="3">
        <f>IF(import!$F$16="palpatine",calibration!U15,calibration!U14)</f>
        <v>1099.5625</v>
      </c>
      <c r="V10" s="3">
        <f>IF(import!$F$16="palpatine",calibration!V15,calibration!V14)</f>
        <v>1160.59375</v>
      </c>
      <c r="W10" s="3">
        <f>IF(import!$F$16="palpatine",calibration!W15,calibration!W14)</f>
        <v>1221.625</v>
      </c>
      <c r="X10" s="3">
        <f>IF(import!$F$16="palpatine",calibration!X15,calibration!X14)</f>
        <v>1282.65625</v>
      </c>
      <c r="Y10" s="3">
        <f>IF(import!$F$16="palpatine",calibration!Y15,calibration!Y14)</f>
        <v>1343.6875</v>
      </c>
      <c r="Z10" s="3">
        <f>IF(import!$F$16="palpatine",calibration!Z15,calibration!Z14)</f>
        <v>1404.71875</v>
      </c>
      <c r="AA10" s="3">
        <f>IF(import!$F$16="palpatine",calibration!AA15,calibration!AA14)</f>
        <v>1465.75</v>
      </c>
      <c r="AB10" s="3">
        <f>IF(import!$F$16="palpatine",calibration!AB15,calibration!AB14)</f>
        <v>1526.78125</v>
      </c>
      <c r="AC10" s="3">
        <f>IF(import!$F$16="palpatine",calibration!AC15,calibration!AC14)</f>
        <v>1587.8125</v>
      </c>
      <c r="AD10" s="3">
        <f>IF(import!$F$16="palpatine",calibration!AD15,calibration!AD14)</f>
        <v>1648.84375</v>
      </c>
      <c r="AE10" s="3">
        <f>IF(import!$F$16="palpatine",calibration!AE15,calibration!AE14)</f>
        <v>1709.875</v>
      </c>
      <c r="AF10" s="3">
        <f>IF(import!$F$16="palpatine",calibration!AF15,calibration!AF14)</f>
        <v>1770.90625</v>
      </c>
      <c r="AG10" s="3">
        <f>IF(import!$F$16="palpatine",calibration!AG15,calibration!AG14)</f>
        <v>1831.9375</v>
      </c>
      <c r="AH10" s="3">
        <f>IF(import!$F$16="palpatine",calibration!AH15,calibration!AH14)</f>
        <v>1892.96875</v>
      </c>
      <c r="AI10" s="3">
        <f>IF(import!$F$16="palpatine",calibration!AI15,calibration!AI14)</f>
        <v>1954</v>
      </c>
      <c r="AJ10" s="3">
        <f>IF(import!$F$16="palpatine",calibration!AJ15,calibration!AJ14)</f>
        <v>2015.03125</v>
      </c>
      <c r="AK10" s="3">
        <f>IF(import!$F$16="palpatine",calibration!AK15,calibration!AK14)</f>
        <v>2076.0625</v>
      </c>
      <c r="AL10" s="3">
        <f>IF(import!$F$16="palpatine",calibration!AL15,calibration!AL14)</f>
        <v>2137.09375</v>
      </c>
      <c r="AM10" s="3">
        <f>IF(import!$F$16="palpatine",calibration!AM15,calibration!AM14)</f>
        <v>2198.125</v>
      </c>
      <c r="AN10" s="3">
        <f>IF(import!$F$16="palpatine",calibration!AN15,calibration!AN14)</f>
        <v>2259.15625</v>
      </c>
      <c r="AO10" s="3">
        <f>IF(import!$F$16="palpatine",calibration!AO15,calibration!AO14)</f>
        <v>2320.1875</v>
      </c>
      <c r="AP10" s="3">
        <f>IF(import!$F$16="palpatine",calibration!AP15,calibration!AP14)</f>
        <v>2381.21875</v>
      </c>
      <c r="AQ10" s="3">
        <f>IF(import!$F$16="palpatine",calibration!AQ15,calibration!AQ14)</f>
        <v>2442.25</v>
      </c>
      <c r="AR10" s="3">
        <f>IF(import!$F$16="palpatine",calibration!AR15,calibration!AR14)</f>
        <v>2503.28125</v>
      </c>
      <c r="AS10" s="3">
        <f>IF(import!$F$16="palpatine",calibration!AS15,calibration!AS14)</f>
        <v>2564.3125</v>
      </c>
      <c r="AT10" s="3">
        <f>IF(import!$F$16="palpatine",calibration!AT15,calibration!AT14)</f>
        <v>2625.34375</v>
      </c>
      <c r="AU10" s="3">
        <f>IF(import!$F$16="palpatine",calibration!AU15,calibration!AU14)</f>
        <v>2686.375</v>
      </c>
      <c r="AV10" s="3">
        <f>IF(import!$F$16="palpatine",calibration!AV15,calibration!AV14)</f>
        <v>2747.40625</v>
      </c>
      <c r="AW10" s="3">
        <f>IF(import!$F$16="palpatine",calibration!AW15,calibration!AW14)</f>
        <v>2808.4375</v>
      </c>
      <c r="AX10" s="3">
        <f>IF(import!$F$16="palpatine",calibration!AX15,calibration!AX14)</f>
        <v>2869.46875</v>
      </c>
      <c r="AY10" s="3">
        <f>IF(import!$F$16="palpatine",calibration!AY15,calibration!AY14)</f>
        <v>2930.5</v>
      </c>
      <c r="AZ10" s="3">
        <f>IF(import!$F$16="palpatine",calibration!AZ15,calibration!AZ14)</f>
        <v>2991.53125</v>
      </c>
      <c r="BA10" s="3">
        <f>IF(import!$F$16="palpatine",calibration!BA15,calibration!BA14)</f>
        <v>3052.5625</v>
      </c>
      <c r="BB10" s="3">
        <f>IF(import!$F$16="palpatine",calibration!BB15,calibration!BB14)</f>
        <v>3113.59375</v>
      </c>
      <c r="BC10" s="3">
        <f>IF(import!$F$16="palpatine",calibration!BC15,calibration!BC14)</f>
        <v>3174.625</v>
      </c>
      <c r="BD10" s="3">
        <f>IF(import!$F$16="palpatine",calibration!BD15,calibration!BD14)</f>
        <v>3235.65625</v>
      </c>
      <c r="BE10" s="3">
        <f>IF(import!$F$16="palpatine",calibration!BE15,calibration!BE14)</f>
        <v>3296.6875</v>
      </c>
      <c r="BF10" s="3">
        <f>IF(import!$F$16="palpatine",calibration!BF15,calibration!BF14)</f>
        <v>3357.71875</v>
      </c>
      <c r="BG10" s="3">
        <f>IF(import!$F$16="palpatine",calibration!BG15,calibration!BG14)</f>
        <v>3418.75</v>
      </c>
      <c r="BH10" s="3">
        <f>IF(import!$F$16="palpatine",calibration!BH15,calibration!BH14)</f>
        <v>3479.78125</v>
      </c>
      <c r="BI10" s="3">
        <f>IF(import!$F$16="palpatine",calibration!BI15,calibration!BI14)</f>
        <v>3540.8125</v>
      </c>
      <c r="BJ10" s="3">
        <f>IF(import!$F$16="palpatine",calibration!BJ15,calibration!BJ14)</f>
        <v>3601.84375</v>
      </c>
      <c r="BK10" s="3">
        <f>IF(import!$F$16="palpatine",calibration!BK15,calibration!BK14)</f>
        <v>3662.875</v>
      </c>
      <c r="BL10" s="3">
        <f>IF(import!$F$16="palpatine",calibration!BL15,calibration!BL14)</f>
        <v>3723.90625</v>
      </c>
      <c r="BM10" s="3">
        <f>IF(import!$F$16="palpatine",calibration!BM15,calibration!BM14)</f>
        <v>3784.9375</v>
      </c>
      <c r="BN10" s="3">
        <f>IF(import!$F$16="palpatine",calibration!BN15,calibration!BN14)</f>
        <v>3845.96875</v>
      </c>
      <c r="BO10" s="3">
        <f>IF(import!$F$16="palpatine",calibration!BO15,calibration!BO14)</f>
        <v>3907</v>
      </c>
      <c r="BP10" s="3">
        <f>IF(import!$F$16="palpatine",calibration!BP15,calibration!BP14)</f>
        <v>3968.03125</v>
      </c>
      <c r="BQ10" s="3">
        <f>IF(import!$F$16="palpatine",calibration!BQ15,calibration!BQ14)</f>
        <v>4029.0625</v>
      </c>
      <c r="BR10" s="3">
        <f>IF(import!$F$16="palpatine",calibration!BR15,calibration!BR14)</f>
        <v>4090.09375</v>
      </c>
      <c r="BS10" s="3">
        <f>IF(import!$F$16="palpatine",calibration!BS15,calibration!BS14)</f>
        <v>4151.125</v>
      </c>
      <c r="BT10" s="3">
        <f>IF(import!$F$16="palpatine",calibration!BT15,calibration!BT14)</f>
        <v>4212.15625</v>
      </c>
      <c r="BU10" s="3">
        <f>IF(import!$F$16="palpatine",calibration!BU15,calibration!BU14)</f>
        <v>4273.1875</v>
      </c>
      <c r="BV10" s="3">
        <f>IF(import!$F$16="palpatine",calibration!BV15,calibration!BV14)</f>
        <v>4334.21875</v>
      </c>
      <c r="BW10" s="3">
        <f>IF(import!$F$16="palpatine",calibration!BW15,calibration!BW14)</f>
        <v>4395.25</v>
      </c>
      <c r="BX10" s="3">
        <f>IF(import!$F$16="palpatine",calibration!BX15,calibration!BX14)</f>
        <v>4456.28125</v>
      </c>
      <c r="BY10" s="3">
        <f>IF(import!$F$16="palpatine",calibration!BY15,calibration!BY14)</f>
        <v>4517.3125</v>
      </c>
      <c r="BZ10" s="3">
        <f>IF(import!$F$16="palpatine",calibration!BZ15,calibration!BZ14)</f>
        <v>4578.34375</v>
      </c>
      <c r="CA10" s="3">
        <f>IF(import!$F$16="palpatine",calibration!CA15,calibration!CA14)</f>
        <v>4639.375</v>
      </c>
      <c r="CB10" s="3">
        <f>IF(import!$F$16="palpatine",calibration!CB15,calibration!CB14)</f>
        <v>4700.40625</v>
      </c>
      <c r="CC10" s="3">
        <f>IF(import!$F$16="palpatine",calibration!CC15,calibration!CC14)</f>
        <v>4761.4375</v>
      </c>
      <c r="CD10" s="3">
        <f>IF(import!$F$16="palpatine",calibration!CD15,calibration!CD14)</f>
        <v>4822.46875</v>
      </c>
      <c r="CE10" s="3">
        <f>IF(import!$F$16="palpatine",calibration!CE15,calibration!CE14)</f>
        <v>4883.5</v>
      </c>
      <c r="CF10" s="3">
        <f>IF(import!$F$16="palpatine",calibration!CF15,calibration!CF14)</f>
        <v>4944.53125</v>
      </c>
      <c r="CG10" s="3">
        <f>IF(import!$F$16="palpatine",calibration!CG15,calibration!CG14)</f>
        <v>5005.5625</v>
      </c>
      <c r="CH10" s="3">
        <f>IF(import!$F$16="palpatine",calibration!CH15,calibration!CH14)</f>
        <v>5066.59375</v>
      </c>
      <c r="CI10" s="3">
        <f>IF(import!$F$16="palpatine",calibration!CI15,calibration!CI14)</f>
        <v>5127.625</v>
      </c>
      <c r="CJ10" s="3">
        <f>IF(import!$F$16="palpatine",calibration!CJ15,calibration!CJ14)</f>
        <v>5188.65625</v>
      </c>
      <c r="CK10" s="3">
        <f>IF(import!$F$16="palpatine",calibration!CK15,calibration!CK14)</f>
        <v>5249.6875</v>
      </c>
      <c r="CL10" s="3">
        <f>IF(import!$F$16="palpatine",calibration!CL15,calibration!CL14)</f>
        <v>5310.71875</v>
      </c>
      <c r="CM10" s="3">
        <f>IF(import!$F$16="palpatine",calibration!CM15,calibration!CM14)</f>
        <v>5371.75</v>
      </c>
      <c r="CN10" s="3">
        <f>IF(import!$F$16="palpatine",calibration!CN15,calibration!CN14)</f>
        <v>5432.78125</v>
      </c>
      <c r="CO10" s="3">
        <f>IF(import!$F$16="palpatine",calibration!CO15,calibration!CO14)</f>
        <v>5493.8125</v>
      </c>
      <c r="CP10" s="3">
        <f>IF(import!$F$16="palpatine",calibration!CP15,calibration!CP14)</f>
        <v>5554.84375</v>
      </c>
      <c r="CQ10" s="3">
        <f>IF(import!$F$16="palpatine",calibration!CQ15,calibration!CQ14)</f>
        <v>5615.875</v>
      </c>
      <c r="CR10" s="3">
        <f>IF(import!$F$16="palpatine",calibration!CR15,calibration!CR14)</f>
        <v>5676.90625</v>
      </c>
      <c r="CS10" s="3">
        <f>IF(import!$F$16="palpatine",calibration!CS15,calibration!CS14)</f>
        <v>5737.9375</v>
      </c>
      <c r="CT10" s="3">
        <f>IF(import!$F$16="palpatine",calibration!CT15,calibration!CT14)</f>
        <v>5798.96875</v>
      </c>
      <c r="CU10" s="3">
        <f>IF(import!$F$16="palpatine",calibration!CU15,calibration!CU14)</f>
        <v>5860</v>
      </c>
      <c r="CV10" s="3">
        <f>IF(import!$F$16="palpatine",calibration!CV15,calibration!CV14)</f>
        <v>5921.03125</v>
      </c>
      <c r="CW10" s="3">
        <f>IF(import!$F$16="palpatine",calibration!CW15,calibration!CW14)</f>
        <v>5982.0625</v>
      </c>
      <c r="CX10" s="3">
        <f>IF(import!$F$16="palpatine",calibration!CX15,calibration!CX14)</f>
        <v>6043.09375</v>
      </c>
      <c r="CY10" s="3">
        <f>IF(import!$F$16="palpatine",calibration!CY15,calibration!CY14)</f>
        <v>6104.125</v>
      </c>
      <c r="CZ10" s="3">
        <f>IF(import!$F$16="palpatine",calibration!CZ15,calibration!CZ14)</f>
        <v>6165.15625</v>
      </c>
      <c r="DA10" s="3">
        <f>IF(import!$F$16="palpatine",calibration!DA15,calibration!DA14)</f>
        <v>6226.1875</v>
      </c>
      <c r="DB10" s="3">
        <f>IF(import!$F$16="palpatine",calibration!DB15,calibration!DB14)</f>
        <v>6287.21875</v>
      </c>
      <c r="DC10" s="3">
        <f>IF(import!$F$16="palpatine",calibration!DC15,calibration!DC14)</f>
        <v>6348.25</v>
      </c>
      <c r="DD10" s="3">
        <f>IF(import!$F$16="palpatine",calibration!DD15,calibration!DD14)</f>
        <v>6409.28125</v>
      </c>
      <c r="DE10" s="3">
        <f>IF(import!$F$16="palpatine",calibration!DE15,calibration!DE14)</f>
        <v>6470.3125</v>
      </c>
      <c r="DF10" s="3">
        <f>IF(import!$F$16="palpatine",calibration!DF15,calibration!DF14)</f>
        <v>6531.34375</v>
      </c>
      <c r="DG10" s="3">
        <f>IF(import!$F$16="palpatine",calibration!DG15,calibration!DG14)</f>
        <v>6592.375</v>
      </c>
      <c r="DH10" s="3">
        <f>IF(import!$F$16="palpatine",calibration!DH15,calibration!DH14)</f>
        <v>6653.40625</v>
      </c>
      <c r="DI10" s="3">
        <f>IF(import!$F$16="palpatine",calibration!DI15,calibration!DI14)</f>
        <v>6714.4375</v>
      </c>
      <c r="DJ10" s="3">
        <f>IF(import!$F$16="palpatine",calibration!DJ15,calibration!DJ14)</f>
        <v>6775.46875</v>
      </c>
      <c r="DK10" s="3">
        <f>IF(import!$F$16="palpatine",calibration!DK15,calibration!DK14)</f>
        <v>6836.5</v>
      </c>
      <c r="DL10" s="3">
        <f>IF(import!$F$16="palpatine",calibration!DL15,calibration!DL14)</f>
        <v>6897.53125</v>
      </c>
      <c r="DM10" s="3">
        <f>IF(import!$F$16="palpatine",calibration!DM15,calibration!DM14)</f>
        <v>6958.5625</v>
      </c>
      <c r="DN10" s="3">
        <f>IF(import!$F$16="palpatine",calibration!DN15,calibration!DN14)</f>
        <v>7019.59375</v>
      </c>
      <c r="DO10" s="3">
        <f>IF(import!$F$16="palpatine",calibration!DO15,calibration!DO14)</f>
        <v>7080.625</v>
      </c>
      <c r="DP10" s="3">
        <f>IF(import!$F$16="palpatine",calibration!DP15,calibration!DP14)</f>
        <v>7141.65625</v>
      </c>
      <c r="DQ10" s="3">
        <f>IF(import!$F$16="palpatine",calibration!DQ15,calibration!DQ14)</f>
        <v>7202.6875</v>
      </c>
      <c r="DR10" s="3">
        <f>IF(import!$F$16="palpatine",calibration!DR15,calibration!DR14)</f>
        <v>7263.71875</v>
      </c>
      <c r="DS10" s="3">
        <f>IF(import!$F$16="palpatine",calibration!DS15,calibration!DS14)</f>
        <v>7324.75</v>
      </c>
      <c r="DT10" s="3">
        <f>IF(import!$F$16="palpatine",calibration!DT15,calibration!DT14)</f>
        <v>7385.78125</v>
      </c>
      <c r="DU10" s="3">
        <f>IF(import!$F$16="palpatine",calibration!DU15,calibration!DU14)</f>
        <v>7446.8125</v>
      </c>
      <c r="DV10" s="3">
        <f>IF(import!$F$16="palpatine",calibration!DV15,calibration!DV14)</f>
        <v>7507.84375</v>
      </c>
      <c r="DW10" s="3">
        <f>IF(import!$F$16="palpatine",calibration!DW15,calibration!DW14)</f>
        <v>7568.875</v>
      </c>
      <c r="DX10" s="3">
        <f>IF(import!$F$16="palpatine",calibration!DX15,calibration!DX14)</f>
        <v>7629.90625</v>
      </c>
      <c r="DY10" s="3">
        <f>IF(import!$F$16="palpatine",calibration!DY15,calibration!DY14)</f>
        <v>7690.9375</v>
      </c>
      <c r="DZ10" s="4">
        <f>IF(import!$F$16="palpatine",calibration!DZ15,calibration!DZ14)</f>
        <v>7751.96875</v>
      </c>
    </row>
    <row r="11" spans="2:130" ht="15.75" thickBot="1" x14ac:dyDescent="0.3">
      <c r="B11" s="6" t="s">
        <v>2</v>
      </c>
      <c r="C11" s="7">
        <v>-15</v>
      </c>
      <c r="D11" s="7">
        <v>-15</v>
      </c>
      <c r="E11" s="7">
        <v>-15</v>
      </c>
      <c r="F11" s="7">
        <v>-15</v>
      </c>
      <c r="G11" s="7">
        <v>-15</v>
      </c>
      <c r="H11" s="7">
        <v>-15</v>
      </c>
      <c r="I11" s="7">
        <v>-15</v>
      </c>
      <c r="J11" s="7">
        <v>-15</v>
      </c>
      <c r="K11" s="7">
        <v>-15</v>
      </c>
      <c r="L11" s="7">
        <v>-14.727727900552486</v>
      </c>
      <c r="M11" s="7">
        <v>-14.390538674033149</v>
      </c>
      <c r="N11" s="7">
        <v>-14.053349447513812</v>
      </c>
      <c r="O11" s="7">
        <v>-13.735180412371134</v>
      </c>
      <c r="P11" s="7">
        <v>-13.420586340206185</v>
      </c>
      <c r="Q11" s="7">
        <v>-13.105992268041238</v>
      </c>
      <c r="R11" s="7">
        <v>-13.567318925233645</v>
      </c>
      <c r="S11" s="7">
        <v>-14.422897196261681</v>
      </c>
      <c r="T11" s="7">
        <v>-15.27847546728972</v>
      </c>
      <c r="U11" s="7">
        <v>-16</v>
      </c>
      <c r="V11" s="7">
        <v>-16</v>
      </c>
      <c r="W11" s="7">
        <v>-16</v>
      </c>
      <c r="X11" s="7">
        <v>-16</v>
      </c>
      <c r="Y11" s="7">
        <v>-15.884650735294118</v>
      </c>
      <c r="Z11" s="7">
        <v>-15.435891544117647</v>
      </c>
      <c r="AA11" s="7">
        <v>-14.987132352941176</v>
      </c>
      <c r="AB11" s="7">
        <v>-14.538373161764707</v>
      </c>
      <c r="AC11" s="7">
        <v>-14.089613970588236</v>
      </c>
      <c r="AD11" s="7">
        <v>-13.846884796238244</v>
      </c>
      <c r="AE11" s="7">
        <v>-13.655564263322884</v>
      </c>
      <c r="AF11" s="7">
        <v>-13.464243730407523</v>
      </c>
      <c r="AG11" s="7">
        <v>-13.272923197492164</v>
      </c>
      <c r="AH11" s="7">
        <v>-13.081602664576803</v>
      </c>
      <c r="AI11" s="7">
        <v>-12.725130890052355</v>
      </c>
      <c r="AJ11" s="7">
        <v>-12.245827879581151</v>
      </c>
      <c r="AK11" s="7">
        <v>-11.766524869109947</v>
      </c>
      <c r="AL11" s="7">
        <v>-11.287221858638743</v>
      </c>
      <c r="AM11" s="7">
        <v>-10.807918848167539</v>
      </c>
      <c r="AN11" s="7">
        <v>-10.328615837696335</v>
      </c>
      <c r="AO11" s="7">
        <v>-10.040651483050848</v>
      </c>
      <c r="AP11" s="7">
        <v>-10.169954978813559</v>
      </c>
      <c r="AQ11" s="7">
        <v>-10.299258474576272</v>
      </c>
      <c r="AR11" s="7">
        <v>-10.428561970338983</v>
      </c>
      <c r="AS11" s="7">
        <v>-10.557865466101696</v>
      </c>
      <c r="AT11" s="7">
        <v>-10.687168961864407</v>
      </c>
      <c r="AU11" s="7">
        <v>-10.816472457627119</v>
      </c>
      <c r="AV11" s="7">
        <v>-10.94577595338983</v>
      </c>
      <c r="AW11" s="7">
        <v>-10.703203517587939</v>
      </c>
      <c r="AX11" s="7">
        <v>-10.192054020100503</v>
      </c>
      <c r="AY11" s="7">
        <v>-9.6809045226130657</v>
      </c>
      <c r="AZ11" s="7">
        <v>-9.1697550251256281</v>
      </c>
      <c r="BA11" s="7">
        <v>-8.6586055276381906</v>
      </c>
      <c r="BB11" s="7">
        <v>-8.147456030150753</v>
      </c>
      <c r="BC11" s="7">
        <v>-7.6363065326633164</v>
      </c>
      <c r="BD11" s="7">
        <v>-7.1251570351758797</v>
      </c>
      <c r="BE11" s="7">
        <v>-6.6140075376884422</v>
      </c>
      <c r="BF11" s="7">
        <v>-6.1028580402010046</v>
      </c>
      <c r="BG11" s="7">
        <v>-5.8733766233766236</v>
      </c>
      <c r="BH11" s="7">
        <v>-5.7148538961038957</v>
      </c>
      <c r="BI11" s="7">
        <v>-5.5563311688311687</v>
      </c>
      <c r="BJ11" s="7">
        <v>-5.3978084415584417</v>
      </c>
      <c r="BK11" s="7">
        <v>-5.2392857142857139</v>
      </c>
      <c r="BL11" s="7">
        <v>-5.0807629870129869</v>
      </c>
      <c r="BM11" s="7">
        <v>-4.9222402597402599</v>
      </c>
      <c r="BN11" s="7">
        <v>-4.763717532467532</v>
      </c>
      <c r="BO11" s="7">
        <v>-4.6051948051948051</v>
      </c>
      <c r="BP11" s="7">
        <v>-4.4466720779220781</v>
      </c>
      <c r="BQ11" s="7">
        <v>-4.2881493506493502</v>
      </c>
      <c r="BR11" s="7">
        <v>-4.1296266233766232</v>
      </c>
      <c r="BS11" s="7">
        <v>-4.0335090361445785</v>
      </c>
      <c r="BT11" s="7">
        <v>-4.2173381024096388</v>
      </c>
      <c r="BU11" s="7">
        <v>-4.4011671686746991</v>
      </c>
      <c r="BV11" s="7">
        <v>-4.5849962349397586</v>
      </c>
      <c r="BW11" s="7">
        <v>-4.768825301204819</v>
      </c>
      <c r="BX11" s="7">
        <v>-4.9526543674698793</v>
      </c>
      <c r="BY11" s="7">
        <v>-5.1364834337349397</v>
      </c>
      <c r="BZ11" s="7">
        <v>-5.3203125</v>
      </c>
      <c r="CA11" s="7">
        <v>-5.5041415662650603</v>
      </c>
      <c r="CB11" s="7">
        <v>-5.6879706325301207</v>
      </c>
      <c r="CC11" s="7">
        <v>-5.871799698795181</v>
      </c>
      <c r="CD11" s="7">
        <v>-6.0556287650602414</v>
      </c>
      <c r="CE11" s="7">
        <v>-6.2394578313253009</v>
      </c>
      <c r="CF11" s="7">
        <v>-6.4232868975903612</v>
      </c>
      <c r="CG11" s="7">
        <v>-6.6071159638554215</v>
      </c>
      <c r="CH11" s="7">
        <v>-6.7909450301204819</v>
      </c>
      <c r="CI11" s="7">
        <v>-6.9747740963855422</v>
      </c>
      <c r="CJ11" s="7">
        <v>-6.9577736567762631</v>
      </c>
      <c r="CK11" s="7">
        <v>-6.9088311948676822</v>
      </c>
      <c r="CL11" s="7">
        <v>-6.8598887329591021</v>
      </c>
      <c r="CM11" s="7">
        <v>-6.8109462710505211</v>
      </c>
      <c r="CN11" s="7">
        <v>-6.762003809141941</v>
      </c>
      <c r="CO11" s="7">
        <v>-6.71306134723336</v>
      </c>
      <c r="CP11" s="7">
        <v>-6.664118885324779</v>
      </c>
      <c r="CQ11" s="7">
        <v>-6.6151764234161989</v>
      </c>
      <c r="CR11" s="7">
        <v>-6.566233961507618</v>
      </c>
      <c r="CS11" s="7">
        <v>-6.5172914995990379</v>
      </c>
      <c r="CT11" s="7">
        <v>-6.4683490376904569</v>
      </c>
      <c r="CU11" s="7">
        <v>-6.4194065757818768</v>
      </c>
      <c r="CV11" s="7">
        <v>-6.3704641138732958</v>
      </c>
      <c r="CW11" s="7">
        <v>-6.3215216519647157</v>
      </c>
      <c r="CX11" s="7">
        <v>-6.2725791900561347</v>
      </c>
      <c r="CY11" s="7">
        <v>-6.2236367281475538</v>
      </c>
      <c r="CZ11" s="7">
        <v>-6.1746942662389737</v>
      </c>
      <c r="DA11" s="7">
        <v>-6.1257518043303927</v>
      </c>
      <c r="DB11" s="7">
        <v>-6.0768093424218126</v>
      </c>
      <c r="DC11" s="7">
        <v>-6.0278668805132316</v>
      </c>
      <c r="DD11" s="7">
        <v>-6</v>
      </c>
      <c r="DE11" s="7">
        <v>-6</v>
      </c>
      <c r="DF11" s="7">
        <v>-6</v>
      </c>
      <c r="DG11" s="7">
        <v>-6</v>
      </c>
      <c r="DH11" s="7">
        <v>-6</v>
      </c>
      <c r="DI11" s="7">
        <v>-6</v>
      </c>
      <c r="DJ11" s="7">
        <v>-6</v>
      </c>
      <c r="DK11" s="7">
        <v>-6</v>
      </c>
      <c r="DL11" s="7">
        <v>-6</v>
      </c>
      <c r="DM11" s="7">
        <v>-6</v>
      </c>
      <c r="DN11" s="7">
        <v>-6</v>
      </c>
      <c r="DO11" s="7">
        <v>-6</v>
      </c>
      <c r="DP11" s="7">
        <v>-6</v>
      </c>
      <c r="DQ11" s="7">
        <v>-6</v>
      </c>
      <c r="DR11" s="7">
        <v>-6</v>
      </c>
      <c r="DS11" s="7">
        <v>-6</v>
      </c>
      <c r="DT11" s="7">
        <v>-6</v>
      </c>
      <c r="DU11" s="7">
        <v>-6</v>
      </c>
      <c r="DV11" s="7">
        <v>-6</v>
      </c>
      <c r="DW11" s="7">
        <v>-6</v>
      </c>
      <c r="DX11" s="7">
        <v>-6</v>
      </c>
      <c r="DY11" s="7">
        <v>-6</v>
      </c>
      <c r="DZ11" s="8">
        <v>-6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F34" sqref="F34"/>
    </sheetView>
  </sheetViews>
  <sheetFormatPr defaultRowHeight="15" x14ac:dyDescent="0.25"/>
  <sheetData>
    <row r="1" spans="1:1" x14ac:dyDescent="0.25">
      <c r="A1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F16" sqref="F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User Guide</vt:lpstr>
      <vt:lpstr>output</vt:lpstr>
      <vt:lpstr>import</vt:lpstr>
      <vt:lpstr>calibration</vt:lpstr>
      <vt:lpstr>front</vt:lpstr>
      <vt:lpstr>rear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2018-02-08T08:53:19Z</dcterms:modified>
</cp:coreProperties>
</file>