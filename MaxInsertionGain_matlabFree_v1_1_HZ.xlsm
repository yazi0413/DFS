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GitHub\DFS\"/>
    </mc:Choice>
  </mc:AlternateContent>
  <bookViews>
    <workbookView xWindow="24180" yWindow="0" windowWidth="24540" windowHeight="16020"/>
  </bookViews>
  <sheets>
    <sheet name="User Guide" sheetId="7" r:id="rId1"/>
    <sheet name="output" sheetId="3" r:id="rId2"/>
    <sheet name="import" sheetId="1" r:id="rId3"/>
    <sheet name="calibration" sheetId="4" state="hidden" r:id="rId4"/>
    <sheet name="front" sheetId="5" state="hidden" r:id="rId5"/>
    <sheet name="rear" sheetId="6" state="hidden" r:id="rId6"/>
  </sheets>
  <definedNames>
    <definedName name="Dooku">calibration!$C$19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<sst xmlns="http://schemas.openxmlformats.org/spreadsheetml/2006/main" count="40" uniqueCount="38">
  <si>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</si>
  <si>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</si>
  <si>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</si>
  <si>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</si>
  <si>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</si>
  <si>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</si>
  <si>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</si>
  <si>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</si>
  <si>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</si>
  <si>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</si>
  <si>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FILL all the yellow section, choose firmware from pull-down list below</t>
  </si>
  <si>
    <t>Don't type anything besides yellow cells</t>
  </si>
  <si>
    <t>prod. Sys.Offset=</t>
  </si>
  <si>
    <t>sys. cal</t>
  </si>
  <si>
    <t>Made by (document owner):</t>
  </si>
  <si>
    <t>Chandler Chen</t>
  </si>
  <si>
    <t>Date</t>
  </si>
  <si>
    <t>Change(s)</t>
  </si>
  <si>
    <t>Author</t>
  </si>
  <si>
    <t>overview</t>
  </si>
  <si>
    <t>C:\Users\chache\Documents\logfile_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</si>
  <si>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</si>
  <si>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</si>
  <si>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</si>
  <si>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</si>
  <si>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</si>
  <si>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</si>
  <si>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Generate the dfs calibration log files (DFSInitSuccess)</t>
  </si>
  <si>
    <t>The matlab script is transfering impluse response of the feedback into frequency domain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</si>
  <si>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</si>
  <si>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</si>
  <si>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</si>
  <si>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</si>
  <si>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</si>
  <si>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t>Rev 1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</si>
  <si>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</si>
  <si>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</si>
  <si>
    <t>Revision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</si>
</sst>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5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6" fillId="2" borderId="11" xfId="0" applyFont="1" applyFill="1" applyBorder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4" fillId="0" borderId="0" xfId="1" applyFon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7" fillId="3" borderId="11" xfId="0" applyFont="1" applyFill="1" applyBorder="1"/>
    <xf numFmtId="0" fontId="15" fillId="0" borderId="0" xfId="1" applyFont="1" applyAlignment="1" applyProtection="1">
      <alignment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0"/>
  <sheetViews>
    <sheetView tabSelected="1" workbookViewId="0">
      <selection activeCell="A22" sqref="A22"/>
    </sheetView>
  </sheetViews>
  <sheetFormatPr defaultRowHeight="12.75" x14ac:dyDescent="0.25"/>
  <cols>
    <col min="1" max="1" width="3.42578125" style="29" customWidth="1"/>
    <col min="2" max="2" width="35.140625" style="29" customWidth="1"/>
    <col min="3" max="3" width="49.85546875" style="41" customWidth="1"/>
    <col min="4" max="16384" width="9.140625" style="29"/>
  </cols>
  <sheetData>
    <row r="1" spans="1:256" x14ac:dyDescent="0.25">
      <c r="A1" s="27"/>
      <c r="B1" s="27"/>
      <c r="C1" s="28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</row>
    <row r="2" spans="1:256" ht="20.25" x14ac:dyDescent="0.25">
      <c r="A2" s="27"/>
      <c r="B2" s="30" t="s">
        <v>25</v>
      </c>
      <c r="C2" s="28"/>
      <c r="D2" s="27"/>
      <c r="E2" s="27"/>
      <c r="F2" s="27"/>
      <c r="G2" s="27"/>
      <c r="H2" s="27"/>
      <c r="I2" s="44" t="s">
        <v>34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7"/>
      <c r="GO2" s="27"/>
      <c r="GP2" s="27"/>
      <c r="GQ2" s="27"/>
      <c r="GR2" s="27"/>
      <c r="GS2" s="27"/>
      <c r="GT2" s="27"/>
      <c r="GU2" s="27"/>
      <c r="GV2" s="27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27"/>
      <c r="HO2" s="27"/>
      <c r="HP2" s="27"/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</row>
    <row r="3" spans="1:256" x14ac:dyDescent="0.25">
      <c r="A3" s="27"/>
      <c r="B3" s="27"/>
      <c r="C3" s="28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/>
      <c r="IU3" s="27"/>
      <c r="IV3" s="27"/>
    </row>
    <row r="4" spans="1:256" ht="25.5" x14ac:dyDescent="0.25">
      <c r="A4" s="27"/>
      <c r="B4" s="31" t="s">
        <v>19</v>
      </c>
      <c r="C4" s="28" t="s">
        <v>21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</row>
    <row r="5" spans="1:256" x14ac:dyDescent="0.25">
      <c r="A5" s="27"/>
      <c r="B5" s="27"/>
      <c r="C5" s="47" t="s">
        <v>22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spans="1:256" ht="15.75" x14ac:dyDescent="0.25">
      <c r="A6" s="27"/>
      <c r="B6" s="31"/>
      <c r="C6" s="32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</row>
    <row r="7" spans="1:256" ht="15.75" x14ac:dyDescent="0.25">
      <c r="A7" s="27"/>
      <c r="B7" s="31" t="s">
        <v>14</v>
      </c>
      <c r="C7" s="32" t="s">
        <v>15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</row>
    <row r="8" spans="1:256" ht="15.75" x14ac:dyDescent="0.25">
      <c r="A8" s="27"/>
      <c r="B8" s="31"/>
      <c r="C8" s="28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</row>
    <row r="9" spans="1:256" ht="15.75" x14ac:dyDescent="0.25">
      <c r="A9" s="27"/>
      <c r="B9" s="31" t="s">
        <v>26</v>
      </c>
      <c r="C9" s="45" t="s">
        <v>27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</row>
    <row r="10" spans="1:256" x14ac:dyDescent="0.25">
      <c r="A10" s="27"/>
      <c r="C10" s="46" t="s">
        <v>29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</row>
    <row r="11" spans="1:256" x14ac:dyDescent="0.25">
      <c r="A11" s="27"/>
      <c r="C11" s="46" t="s">
        <v>31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</row>
    <row r="12" spans="1:256" ht="15.75" x14ac:dyDescent="0.25">
      <c r="A12" s="27"/>
      <c r="B12" s="31"/>
      <c r="C12" s="46" t="s">
        <v>36</v>
      </c>
      <c r="D12" s="42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</row>
    <row r="13" spans="1:256" ht="15.75" x14ac:dyDescent="0.25">
      <c r="A13" s="27"/>
      <c r="B13" s="31"/>
      <c r="D13" s="42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</row>
    <row r="14" spans="1:256" ht="25.5" x14ac:dyDescent="0.25">
      <c r="A14" s="27"/>
      <c r="B14" s="31" t="s">
        <v>30</v>
      </c>
      <c r="C14" s="33" t="s">
        <v>28</v>
      </c>
      <c r="D14" s="42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</row>
    <row r="15" spans="1:256" ht="25.5" x14ac:dyDescent="0.25">
      <c r="A15" s="27"/>
      <c r="B15" s="31"/>
      <c r="C15" s="33" t="s">
        <v>32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</row>
    <row r="16" spans="1:256" ht="38.25" x14ac:dyDescent="0.25">
      <c r="A16" s="27"/>
      <c r="B16" s="31"/>
      <c r="C16" s="33" t="s">
        <v>33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</row>
    <row r="17" spans="1:256" ht="15.75" x14ac:dyDescent="0.25">
      <c r="A17" s="27"/>
      <c r="B17" s="31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</row>
    <row r="18" spans="1:256" ht="15.75" x14ac:dyDescent="0.25">
      <c r="A18" s="27"/>
      <c r="B18" s="31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</row>
    <row r="19" spans="1:256" ht="15.75" x14ac:dyDescent="0.25">
      <c r="A19" s="27"/>
      <c r="B19" s="31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</row>
    <row r="20" spans="1:256" x14ac:dyDescent="0.25">
      <c r="A20" s="27"/>
      <c r="B20" s="27"/>
      <c r="C20" s="2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</row>
    <row r="21" spans="1:256" ht="18" x14ac:dyDescent="0.25">
      <c r="A21" s="34" t="s">
        <v>37</v>
      </c>
      <c r="B21" s="27"/>
      <c r="C21" s="2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</row>
    <row r="22" spans="1:256" ht="13.5" thickBot="1" x14ac:dyDescent="0.3">
      <c r="A22" s="35"/>
      <c r="B22" s="35" t="s">
        <v>16</v>
      </c>
      <c r="C22" s="36" t="s">
        <v>17</v>
      </c>
      <c r="D22" s="35" t="s">
        <v>18</v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</row>
    <row r="23" spans="1:256" x14ac:dyDescent="0.25">
      <c r="A23" s="27"/>
      <c r="B23" s="37">
        <v>43139</v>
      </c>
      <c r="C23" s="33" t="s">
        <v>23</v>
      </c>
      <c r="D23" s="38" t="s">
        <v>24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</row>
    <row r="24" spans="1:256" ht="38.25" x14ac:dyDescent="0.25">
      <c r="A24" s="27"/>
      <c r="B24" s="39"/>
      <c r="C24" s="33" t="s">
        <v>35</v>
      </c>
      <c r="D24" s="38" t="s">
        <v>24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</row>
    <row r="25" spans="1:256" x14ac:dyDescent="0.25">
      <c r="A25" s="27"/>
      <c r="B25" s="27"/>
      <c r="C25" s="2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</row>
    <row r="26" spans="1:256" x14ac:dyDescent="0.25">
      <c r="A26" s="27"/>
      <c r="B26" s="27"/>
      <c r="C26" s="2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</row>
    <row r="27" spans="1:256" x14ac:dyDescent="0.25">
      <c r="A27" s="27"/>
      <c r="B27" s="40"/>
      <c r="C27" s="2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</row>
    <row r="28" spans="1:256" x14ac:dyDescent="0.25">
      <c r="A28" s="27"/>
      <c r="B28" s="27"/>
      <c r="C28" s="2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</row>
    <row r="29" spans="1:256" x14ac:dyDescent="0.25">
      <c r="A29" s="27"/>
      <c r="B29" s="27"/>
      <c r="C29" s="28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</row>
    <row r="30" spans="1:256" x14ac:dyDescent="0.25">
      <c r="A30" s="27"/>
      <c r="B30" s="27"/>
      <c r="C30" s="28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</row>
    <row r="31" spans="1:256" x14ac:dyDescent="0.25">
      <c r="A31" s="27"/>
      <c r="B31" s="27"/>
      <c r="C31" s="28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</row>
    <row r="32" spans="1:256" x14ac:dyDescent="0.25">
      <c r="A32" s="27"/>
      <c r="B32" s="27"/>
      <c r="C32" s="28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</row>
    <row r="33" spans="1:256" x14ac:dyDescent="0.25">
      <c r="A33" s="27"/>
      <c r="B33" s="27"/>
      <c r="C33" s="28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</row>
    <row r="34" spans="1:256" x14ac:dyDescent="0.25">
      <c r="A34" s="27"/>
      <c r="B34" s="27"/>
      <c r="C34" s="28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</row>
    <row r="35" spans="1:256" x14ac:dyDescent="0.25">
      <c r="A35" s="27"/>
      <c r="B35" s="27"/>
      <c r="C35" s="28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</row>
    <row r="36" spans="1:256" x14ac:dyDescent="0.25">
      <c r="A36" s="27"/>
      <c r="B36" s="27"/>
      <c r="C36" s="28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</row>
    <row r="37" spans="1:256" x14ac:dyDescent="0.25">
      <c r="A37" s="27"/>
      <c r="B37" s="27"/>
      <c r="C37" s="28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</row>
    <row r="38" spans="1:256" x14ac:dyDescent="0.25">
      <c r="A38" s="27"/>
      <c r="B38" s="27"/>
      <c r="C38" s="28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</row>
    <row r="39" spans="1:256" x14ac:dyDescent="0.25">
      <c r="A39" s="27"/>
      <c r="B39" s="27"/>
      <c r="C39" s="28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</row>
    <row r="40" spans="1:256" x14ac:dyDescent="0.25">
      <c r="A40" s="27"/>
      <c r="B40" s="27"/>
      <c r="C40" s="28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</row>
    <row r="41" spans="1:256" x14ac:dyDescent="0.25">
      <c r="A41" s="27"/>
      <c r="B41" s="27"/>
      <c r="C41" s="28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</row>
    <row r="42" spans="1:256" x14ac:dyDescent="0.25">
      <c r="A42" s="27"/>
      <c r="B42" s="27"/>
      <c r="C42" s="28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</row>
    <row r="43" spans="1:256" x14ac:dyDescent="0.25">
      <c r="A43" s="27"/>
      <c r="B43" s="27"/>
      <c r="C43" s="28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</row>
    <row r="44" spans="1:256" x14ac:dyDescent="0.25">
      <c r="A44" s="27"/>
      <c r="B44" s="27"/>
      <c r="C44" s="28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</row>
    <row r="45" spans="1:256" x14ac:dyDescent="0.25">
      <c r="A45" s="27"/>
      <c r="B45" s="27"/>
      <c r="C45" s="28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</row>
    <row r="46" spans="1:256" x14ac:dyDescent="0.25">
      <c r="A46" s="27"/>
      <c r="B46" s="27"/>
      <c r="C46" s="28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</row>
    <row r="47" spans="1:256" x14ac:dyDescent="0.25">
      <c r="A47" s="27"/>
      <c r="B47" s="27"/>
      <c r="C47" s="28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</row>
    <row r="48" spans="1:256" x14ac:dyDescent="0.25">
      <c r="A48" s="27"/>
      <c r="B48" s="27"/>
      <c r="C48" s="28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</row>
    <row r="49" spans="1:256" x14ac:dyDescent="0.25">
      <c r="A49" s="27"/>
      <c r="B49" s="27"/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</row>
    <row r="50" spans="1:256" x14ac:dyDescent="0.25">
      <c r="A50" s="27"/>
      <c r="B50" s="27"/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</row>
    <row r="51" spans="1:256" x14ac:dyDescent="0.25">
      <c r="A51" s="27"/>
      <c r="B51" s="27"/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</row>
    <row r="52" spans="1:256" x14ac:dyDescent="0.25">
      <c r="A52" s="27"/>
      <c r="B52" s="27"/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</row>
    <row r="53" spans="1:256" x14ac:dyDescent="0.25">
      <c r="A53" s="27"/>
      <c r="B53" s="27"/>
      <c r="C53" s="28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</row>
    <row r="54" spans="1:256" x14ac:dyDescent="0.25">
      <c r="A54" s="27"/>
      <c r="B54" s="27"/>
      <c r="C54" s="28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  <c r="IR54" s="27"/>
      <c r="IS54" s="27"/>
      <c r="IT54" s="27"/>
      <c r="IU54" s="27"/>
      <c r="IV54" s="27"/>
    </row>
    <row r="55" spans="1:256" x14ac:dyDescent="0.25">
      <c r="A55" s="27"/>
      <c r="B55" s="27"/>
      <c r="C55" s="28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</row>
    <row r="56" spans="1:256" x14ac:dyDescent="0.25">
      <c r="A56" s="27"/>
      <c r="B56" s="27"/>
      <c r="C56" s="28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  <c r="IR56" s="27"/>
      <c r="IS56" s="27"/>
      <c r="IT56" s="27"/>
      <c r="IU56" s="27"/>
      <c r="IV56" s="27"/>
    </row>
    <row r="57" spans="1:256" x14ac:dyDescent="0.25">
      <c r="A57" s="27"/>
      <c r="B57" s="27"/>
      <c r="C57" s="28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</row>
    <row r="58" spans="1:256" x14ac:dyDescent="0.25">
      <c r="A58" s="27"/>
      <c r="B58" s="27"/>
      <c r="C58" s="28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V58" s="27"/>
    </row>
    <row r="59" spans="1:256" x14ac:dyDescent="0.25">
      <c r="A59" s="27"/>
      <c r="B59" s="27"/>
      <c r="C59" s="28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</row>
    <row r="60" spans="1:256" x14ac:dyDescent="0.25">
      <c r="A60" s="27"/>
      <c r="B60" s="27"/>
      <c r="C60" s="28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  <c r="IR60" s="27"/>
      <c r="IS60" s="27"/>
      <c r="IT60" s="27"/>
      <c r="IU60" s="27"/>
      <c r="IV60" s="27"/>
    </row>
    <row r="61" spans="1:256" x14ac:dyDescent="0.25">
      <c r="A61" s="27"/>
      <c r="B61" s="27"/>
      <c r="C61" s="28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</row>
    <row r="62" spans="1:256" x14ac:dyDescent="0.25">
      <c r="A62" s="27"/>
      <c r="B62" s="27"/>
      <c r="C62" s="28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</row>
    <row r="63" spans="1:256" x14ac:dyDescent="0.25">
      <c r="A63" s="27"/>
      <c r="B63" s="27"/>
      <c r="C63" s="28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</row>
    <row r="64" spans="1:256" x14ac:dyDescent="0.25">
      <c r="A64" s="27"/>
      <c r="B64" s="27"/>
      <c r="C64" s="28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</row>
    <row r="65" spans="1:256" x14ac:dyDescent="0.25">
      <c r="A65" s="27"/>
      <c r="B65" s="27"/>
      <c r="C65" s="28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</row>
    <row r="66" spans="1:256" x14ac:dyDescent="0.25">
      <c r="A66" s="27"/>
      <c r="B66" s="27"/>
      <c r="C66" s="28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</row>
    <row r="67" spans="1:256" x14ac:dyDescent="0.25">
      <c r="A67" s="27"/>
      <c r="B67" s="27"/>
      <c r="C67" s="28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</row>
    <row r="68" spans="1:256" x14ac:dyDescent="0.25">
      <c r="A68" s="27"/>
      <c r="B68" s="27"/>
      <c r="C68" s="28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</row>
    <row r="69" spans="1:256" x14ac:dyDescent="0.25">
      <c r="A69" s="27"/>
      <c r="B69" s="27"/>
      <c r="C69" s="28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</row>
    <row r="70" spans="1:256" x14ac:dyDescent="0.25">
      <c r="A70" s="27"/>
      <c r="B70" s="27"/>
      <c r="C70" s="28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</row>
    <row r="71" spans="1:256" x14ac:dyDescent="0.25">
      <c r="A71" s="27"/>
      <c r="B71" s="27"/>
      <c r="C71" s="28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</row>
    <row r="72" spans="1:256" x14ac:dyDescent="0.25">
      <c r="A72" s="27"/>
      <c r="B72" s="27"/>
      <c r="C72" s="28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</row>
    <row r="73" spans="1:256" x14ac:dyDescent="0.25">
      <c r="A73" s="27"/>
      <c r="B73" s="27"/>
      <c r="C73" s="28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</row>
    <row r="74" spans="1:256" x14ac:dyDescent="0.25">
      <c r="A74" s="27"/>
      <c r="B74" s="27"/>
      <c r="C74" s="28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</row>
    <row r="75" spans="1:256" x14ac:dyDescent="0.25">
      <c r="A75" s="27"/>
      <c r="B75" s="27"/>
      <c r="C75" s="28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</row>
    <row r="76" spans="1:256" x14ac:dyDescent="0.25">
      <c r="A76" s="27"/>
      <c r="B76" s="27"/>
      <c r="C76" s="28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</row>
    <row r="77" spans="1:256" x14ac:dyDescent="0.25">
      <c r="A77" s="27"/>
      <c r="B77" s="27"/>
      <c r="C77" s="28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</row>
    <row r="78" spans="1:256" x14ac:dyDescent="0.25">
      <c r="A78" s="27"/>
      <c r="B78" s="27"/>
      <c r="C78" s="28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</row>
    <row r="79" spans="1:256" x14ac:dyDescent="0.25">
      <c r="A79" s="27"/>
      <c r="B79" s="27"/>
      <c r="C79" s="28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</row>
    <row r="80" spans="1:256" x14ac:dyDescent="0.25">
      <c r="A80" s="27"/>
      <c r="B80" s="27"/>
      <c r="C80" s="28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</row>
    <row r="81" spans="1:256" x14ac:dyDescent="0.25">
      <c r="A81" s="27"/>
      <c r="B81" s="27"/>
      <c r="C81" s="28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</row>
    <row r="82" spans="1:256" x14ac:dyDescent="0.25">
      <c r="A82" s="27"/>
      <c r="B82" s="27"/>
      <c r="C82" s="28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</row>
    <row r="83" spans="1:256" x14ac:dyDescent="0.25">
      <c r="A83" s="27"/>
      <c r="B83" s="27"/>
      <c r="C83" s="28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</row>
    <row r="84" spans="1:256" x14ac:dyDescent="0.25">
      <c r="A84" s="27"/>
      <c r="B84" s="27"/>
      <c r="C84" s="28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</row>
    <row r="85" spans="1:256" x14ac:dyDescent="0.25">
      <c r="A85" s="27"/>
      <c r="B85" s="27"/>
      <c r="C85" s="28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</row>
    <row r="86" spans="1:256" x14ac:dyDescent="0.25">
      <c r="A86" s="27"/>
      <c r="B86" s="27"/>
      <c r="C86" s="28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</row>
    <row r="87" spans="1:256" x14ac:dyDescent="0.25">
      <c r="A87" s="27"/>
      <c r="B87" s="27"/>
      <c r="C87" s="28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</row>
    <row r="88" spans="1:256" x14ac:dyDescent="0.25">
      <c r="A88" s="27"/>
      <c r="B88" s="27"/>
      <c r="C88" s="28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</row>
    <row r="89" spans="1:256" x14ac:dyDescent="0.25">
      <c r="A89" s="27"/>
      <c r="B89" s="27"/>
      <c r="C89" s="28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</row>
    <row r="90" spans="1:256" x14ac:dyDescent="0.25">
      <c r="A90" s="27"/>
      <c r="B90" s="27"/>
      <c r="C90" s="28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</row>
    <row r="91" spans="1:256" x14ac:dyDescent="0.25">
      <c r="A91" s="27"/>
      <c r="B91" s="27"/>
      <c r="C91" s="28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</row>
    <row r="92" spans="1:256" x14ac:dyDescent="0.25">
      <c r="A92" s="27"/>
      <c r="B92" s="27"/>
      <c r="C92" s="28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</row>
    <row r="93" spans="1:256" x14ac:dyDescent="0.25">
      <c r="A93" s="27"/>
      <c r="B93" s="27"/>
      <c r="C93" s="28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</row>
    <row r="94" spans="1:256" x14ac:dyDescent="0.25">
      <c r="A94" s="27"/>
      <c r="B94" s="27"/>
      <c r="C94" s="28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</row>
    <row r="95" spans="1:256" x14ac:dyDescent="0.25">
      <c r="A95" s="27"/>
      <c r="B95" s="27"/>
      <c r="C95" s="28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</row>
    <row r="96" spans="1:256" x14ac:dyDescent="0.25">
      <c r="A96" s="27"/>
      <c r="B96" s="27"/>
      <c r="C96" s="28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</row>
    <row r="97" spans="1:256" x14ac:dyDescent="0.25">
      <c r="A97" s="27"/>
      <c r="B97" s="27"/>
      <c r="C97" s="28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</row>
    <row r="98" spans="1:256" x14ac:dyDescent="0.25">
      <c r="A98" s="27"/>
      <c r="B98" s="27"/>
      <c r="C98" s="28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</row>
    <row r="99" spans="1:256" x14ac:dyDescent="0.25">
      <c r="A99" s="27"/>
      <c r="B99" s="27"/>
      <c r="C99" s="28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</row>
    <row r="100" spans="1:256" x14ac:dyDescent="0.25">
      <c r="A100" s="27"/>
      <c r="B100" s="27"/>
      <c r="C100" s="28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19" sqref="H19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C28" sqref="C28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26" t="s">
        <v>12</v>
      </c>
      <c r="B2" s="14">
        <v>0</v>
      </c>
    </row>
    <row r="4" spans="1:18" ht="15.75" thickBot="1" x14ac:dyDescent="0.3"/>
    <row r="5" spans="1:18" s="17" customFormat="1" ht="23.25" x14ac:dyDescent="0.35">
      <c r="A5" s="48" t="s">
        <v>13</v>
      </c>
      <c r="B5" s="15">
        <v>0</v>
      </c>
      <c r="C5" s="15">
        <f>IF(F16="palpatine",163,168)</f>
        <v>163</v>
      </c>
      <c r="D5" s="15">
        <f>IF(F16="palpatine",329,340)</f>
        <v>329</v>
      </c>
      <c r="E5" s="15">
        <f>IF(F16="palpatine",501,518)</f>
        <v>501</v>
      </c>
      <c r="F5" s="15">
        <f>IF(F16="palpatine",682,706)</f>
        <v>682</v>
      </c>
      <c r="G5" s="15">
        <f>IF(F16="palpatine",876,908)</f>
        <v>876</v>
      </c>
      <c r="H5" s="15">
        <f>IF(F16="palpatine",1090,1131)</f>
        <v>1090</v>
      </c>
      <c r="I5" s="15">
        <f>IF(F16="palpatine",1328,1383)</f>
        <v>1328</v>
      </c>
      <c r="J5" s="15">
        <f>IF(F16="palpatine",1600,1674)</f>
        <v>1600</v>
      </c>
      <c r="K5" s="15">
        <f>IF(F16="palpatine",1919,2019)</f>
        <v>1919</v>
      </c>
      <c r="L5" s="15">
        <f>IF(F16="palpatine",2301,2442)</f>
        <v>2301</v>
      </c>
      <c r="M5" s="15">
        <f>IF(F16="palpatine",2773,2981)</f>
        <v>2773</v>
      </c>
      <c r="N5" s="15">
        <f>IF(F16="palpatine",3370,3693)</f>
        <v>3370</v>
      </c>
      <c r="O5" s="15">
        <f>IF(F16="palpatine",4140,4672)</f>
        <v>4140</v>
      </c>
      <c r="P5" s="15">
        <f>IF(F16="palpatine",5136,6059)</f>
        <v>5136</v>
      </c>
      <c r="Q5" s="15">
        <f>IF(F16="palpatine",6383,7997)</f>
        <v>6383</v>
      </c>
      <c r="R5" s="16">
        <f>IF(F16="palpatine",7812,10417)</f>
        <v>7812</v>
      </c>
    </row>
    <row r="6" spans="1:18" s="17" customFormat="1" ht="24" thickBot="1" x14ac:dyDescent="0.4">
      <c r="A6" s="49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50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 t="str">
        <f>IF(F16="palpatine","",8000)</f>
        <v/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51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10</v>
      </c>
      <c r="G13" s="11"/>
    </row>
    <row r="14" spans="1:18" ht="18.75" x14ac:dyDescent="0.3">
      <c r="G14" s="24" t="s">
        <v>11</v>
      </c>
    </row>
    <row r="15" spans="1:18" ht="19.5" thickBot="1" x14ac:dyDescent="0.35">
      <c r="G15" s="13"/>
    </row>
    <row r="16" spans="1:18" ht="21.75" thickBot="1" x14ac:dyDescent="0.4">
      <c r="F16" s="43" t="s">
        <v>5</v>
      </c>
      <c r="G16" s="23">
        <f>IF(F16="palpatine",Palpatine,Dooku)</f>
        <v>6</v>
      </c>
      <c r="H16" s="24"/>
    </row>
    <row r="17" spans="6:11" ht="19.5" thickBot="1" x14ac:dyDescent="0.35">
      <c r="G17" s="13"/>
    </row>
    <row r="18" spans="6:11" ht="15.75" thickBot="1" x14ac:dyDescent="0.3">
      <c r="F18" s="25" t="s">
        <v>9</v>
      </c>
      <c r="G18" s="52" t="s">
        <v>20</v>
      </c>
      <c r="H18" s="52"/>
      <c r="I18" s="52"/>
      <c r="J18" s="52"/>
      <c r="K18" s="53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21" sqref="E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User Guide</vt:lpstr>
      <vt:lpstr>output</vt:lpstr>
      <vt:lpstr>import</vt:lpstr>
      <vt:lpstr>calibration</vt:lpstr>
      <vt:lpstr>front</vt:lpstr>
      <vt:lpstr>rear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2018-02-09T08:55:42Z</dcterms:modified>
</cp:coreProperties>
</file>